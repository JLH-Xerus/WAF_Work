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ase Data" sheetId="1" state="visible" r:id="rId3"/>
    <sheet name="Monthly Summary" sheetId="2" state="visible" r:id="rId4"/>
    <sheet name="Daily Velocity" sheetId="3" state="visible" r:id="rId5"/>
    <sheet name="Forward Projections" sheetId="4" state="visible" r:id="rId6"/>
    <sheet name="IOPS &amp; Capac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<sst xmlns="http://schemas.openxmlformats.org/spreadsheetml/2006/main" count="873" uniqueCount="121">
  <si>
    <t xml:space="preserve">eventYr</t>
  </si>
  <si>
    <t xml:space="preserve">eventMth</t>
  </si>
  <si>
    <t xml:space="preserve">eventDay</t>
  </si>
  <si>
    <t xml:space="preserve">rowcnt</t>
  </si>
  <si>
    <t xml:space="preserve">(null)</t>
  </si>
  <si>
    <t xml:space="preserve">EvtEvent — Monthly Volume Summary</t>
  </si>
  <si>
    <t xml:space="preserve">Month</t>
  </si>
  <si>
    <t xml:space="preserve">Total Rows</t>
  </si>
  <si>
    <t xml:space="preserve">Days in Data</t>
  </si>
  <si>
    <t xml:space="preserve">Avg Daily Volume</t>
  </si>
  <si>
    <t xml:space="preserve">MoM Growth</t>
  </si>
  <si>
    <t xml:space="preserve">Cumulative Rows</t>
  </si>
  <si>
    <t xml:space="preserve">Avg Row Size Est (bytes)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</si>
  <si>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</si>
  <si>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</si>
  <si>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</si>
  <si>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</si>
  <si>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</si>
  <si>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</si>
  <si>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</si>
  <si>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</si>
  <si>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</si>
  <si>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</si>
  <si>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</si>
  <si>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</si>
  <si>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</si>
  <si>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Summary Statistics</t>
  </si>
  <si>
    <t xml:space="preserve">Grand Total Rows</t>
  </si>
  <si>
    <t xml:space="preserve">Overall Avg Daily Volume</t>
  </si>
  <si>
    <t xml:space="preserve">Avg MoM Growth (full months)</t>
  </si>
  <si>
    <t xml:space="preserve">Peak Month Volume</t>
  </si>
  <si>
    <t xml:space="preserve">Est. Table Size (GB)</t>
  </si>
  <si>
    <t xml:space="preserve">EvtEvent — Daily Velocity Analysis</t>
  </si>
  <si>
    <t xml:space="preserve">Date</t>
  </si>
  <si>
    <t xml:space="preserve">Day of Week</t>
  </si>
  <si>
    <t xml:space="preserve">Row Count</t>
  </si>
  <si>
    <t xml:space="preserve">7-Day Moving Avg</t>
  </si>
  <si>
    <t xml:space="preserve">30-Day Moving Avg</t>
  </si>
  <si>
    <t xml:space="preserve">Weekday/Weekend</t>
  </si>
  <si>
    <t xml:space="preserve">Day-of-Week Summary</t>
  </si>
  <si>
    <t xml:space="preserve">Wednesday</t>
  </si>
  <si>
    <t xml:space="preserve">Weekday</t>
  </si>
  <si>
    <t xml:space="preserve">Day</t>
  </si>
  <si>
    <t xml:space="preserve">Avg Volume</t>
  </si>
  <si>
    <t xml:space="preserve">% of Peak</t>
  </si>
  <si>
    <t xml:space="preserve">Thursday</t>
  </si>
  <si>
    <t xml:space="preserve">Monday</t>
  </si>
  <si>
    <t xml:space="preserve">Friday</t>
  </si>
  <si>
    <t xml:space="preserve">Tuesday</t>
  </si>
  <si>
    <t xml:space="preserve">Saturday</t>
  </si>
  <si>
    <t xml:space="preserve">Weekend</t>
  </si>
  <si>
    <t xml:space="preserve">Sunday</t>
  </si>
  <si>
    <t xml:space="preserve">Weekday Avg</t>
  </si>
  <si>
    <t xml:space="preserve">Weekend Avg</t>
  </si>
  <si>
    <t xml:space="preserve">Weekend/Weekday Ratio</t>
  </si>
  <si>
    <t xml:space="preserve">EvtEvent — Forward Projections &amp; Critical Mass Analysis</t>
  </si>
  <si>
    <t xml:space="preserve">Projection Assumptions</t>
  </si>
  <si>
    <t xml:space="preserve">Current Monthly Volume (Jan 2026)</t>
  </si>
  <si>
    <t xml:space="preserve">Source: Base Data extract, 2026-02-26</t>
  </si>
  <si>
    <t xml:space="preserve">Avg MoM Growth Rate (Mar 25 - Jan 26)</t>
  </si>
  <si>
    <t xml:space="preserve">Calculated from Base Data</t>
  </si>
  <si>
    <t xml:space="preserve">Current Total Rows</t>
  </si>
  <si>
    <t xml:space="preserve">Est. Avg Row Size (bytes)</t>
  </si>
  <si>
    <t xml:space="preserve">Source: INFORMATION_SCHEMA.COLUMNS, PharmAssist DB, 2026-02-26 (17 cols, avg estimate)</t>
  </si>
  <si>
    <t xml:space="preserve">Delete Block Size (rows/iteration)</t>
  </si>
  <si>
    <t xml:space="preserve">From lsp_DbDeleteOldEvents default</t>
  </si>
  <si>
    <t xml:space="preserve">Est. Time Per Block Iteration (sec)</t>
  </si>
  <si>
    <t xml:space="preserve">Estimate — update with actual measurement</t>
  </si>
  <si>
    <t xml:space="preserve">Retention Period (days)</t>
  </si>
  <si>
    <t xml:space="preserve">Current configured retention</t>
  </si>
  <si>
    <t xml:space="preserve">Monthly Forward Projection</t>
  </si>
  <si>
    <t xml:space="preserve">Projected Monthly Volume</t>
  </si>
  <si>
    <t xml:space="preserve">Cumulative Total Rows</t>
  </si>
  <si>
    <t xml:space="preserve">Est. Rows to Purge/Month</t>
  </si>
  <si>
    <t xml:space="preserve">Delete Iterations Needed</t>
  </si>
  <si>
    <t xml:space="preserve">Est. Purge Duration (hrs)</t>
  </si>
  <si>
    <t xml:space="preserve">Status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</si>
  <si>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</si>
  <si>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</si>
  <si>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</si>
  <si>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</si>
  <si>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</si>
  <si>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</si>
  <si>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</si>
  <si>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</si>
  <si>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</si>
  <si>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</si>
  <si>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</si>
  <si>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</si>
  <si>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</si>
  <si>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</si>
  <si>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</si>
  <si>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</si>
  <si>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</si>
  <si>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</si>
  <si>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</si>
  <si>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</si>
  <si>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</si>
  <si>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</si>
  <si>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2028-01</t>
  </si>
  <si>
    <t xml:space="preserve">2028-02</t>
  </si>
  <si>
    <t xml:space="preserve">Status Key:</t>
  </si>
  <si>
    <t xml:space="preserve">OK = Purge &lt; 4 hrs</t>
  </si>
  <si>
    <t xml:space="preserve">WARNING = Purge 4-8 hrs</t>
  </si>
  <si>
    <t xml:space="preserve">CRITICAL = Purge &gt; 8 hrs (exceeds nightly window)</t>
  </si>
  <si>
    <t xml:space="preserve">Note: Time Per Block Iteration (B9) is an estimate. Update with actual measurement from your cluster.</t>
  </si>
  <si>
    <t xml:space="preserve">IOPS capacity and storage throughput will be added when cluster specs are available.</t>
  </si>
  <si>
    <t xml:space="preserve">EvtEvent — IOPS &amp; Storage Capacity Analysis</t>
  </si>
  <si>
    <t xml:space="preserve">Cluster Specifications</t>
  </si>
  <si>
    <t xml:space="preserve">Storage Type (SSD/HDD/NVMe)</t>
  </si>
  <si>
    <t xml:space="preserve">Total Storage Capacity (TB)</t>
  </si>
  <si>
    <t xml:space="preserve">Available Storage (TB)</t>
  </si>
  <si>
    <t xml:space="preserve">Max Sequential Read IOPS</t>
  </si>
  <si>
    <t xml:space="preserve">Max Sequential Write IOPS</t>
  </si>
  <si>
    <t xml:space="preserve">Max Throughput (MB/s)</t>
  </si>
  <si>
    <t xml:space="preserve">SQL Server Max Memory (GB)</t>
  </si>
  <si>
    <t xml:space="preserve">CPU Cores</t>
  </si>
  <si>
    <t xml:space="preserve">TempDB Drive Type</t>
  </si>
  <si>
    <t xml:space="preserve">T-Log Drive Type</t>
  </si>
  <si>
    <t xml:space="preserve">Enter your cluster specifications above (yellow cells).</t>
  </si>
  <si>
    <t xml:space="preserve">These values will feed into capacity projections and IOPS-based timeline estimates.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</si>
</sst>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"/>
    <numFmt numFmtId="168" formatCode="yyyy\-mm\-dd"/>
    <numFmt numFmtId="169" formatCode="0.0"/>
  </numFmts>
  <fonts count="1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1"/>
      <color rgb="FF2F5496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80808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Monthly Row Volume — EvtEvent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Summary'!$B$3</c:f>
              <c:strCache>
                <c:ptCount val="1"/>
                <c:pt idx="0">
                  <c:v>Total Rows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'Monthly Summary'!$A$4:$A$16</c:f>
              <c:strCache>
                <c:ptCount val="13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</c:strCache>
            </c:strRef>
          </c:cat>
          <c:val>
            <c:numRef>
              <c:f>'Monthly Summary'!$B$4:$B$16</c:f>
              <c:numCache>
                <c:formatCode>#,##0</c:formatCode>
                <c:ptCount val="13"/>
                <c:pt idx="0">
                  <c:v>7841818</c:v>
                </c:pt>
                <c:pt idx="1">
                  <c:v>79293348</c:v>
                </c:pt>
                <c:pt idx="2">
                  <c:v>81470630</c:v>
                </c:pt>
                <c:pt idx="3">
                  <c:v>85155819</c:v>
                </c:pt>
                <c:pt idx="4">
                  <c:v>81037117</c:v>
                </c:pt>
                <c:pt idx="5">
                  <c:v>81914502</c:v>
                </c:pt>
                <c:pt idx="6">
                  <c:v>81824777</c:v>
                </c:pt>
                <c:pt idx="7">
                  <c:v>82688899</c:v>
                </c:pt>
                <c:pt idx="8">
                  <c:v>93860361</c:v>
                </c:pt>
                <c:pt idx="9">
                  <c:v>109950579</c:v>
                </c:pt>
                <c:pt idx="10">
                  <c:v>116206240</c:v>
                </c:pt>
                <c:pt idx="11">
                  <c:v>122846116</c:v>
                </c:pt>
                <c:pt idx="12">
                  <c:v>102119984</c:v>
                </c:pt>
              </c:numCache>
            </c:numRef>
          </c:val>
        </c:ser>
        <c:gapWidth val="150"/>
        <c:overlap val="0"/>
        <c:axId val="48727689"/>
        <c:axId val="89877823"/>
      </c:barChart>
      <c:catAx>
        <c:axId val="487276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877823"/>
        <c:crosses val="autoZero"/>
        <c:auto val="1"/>
        <c:lblAlgn val="ctr"/>
        <c:lblOffset val="100"/>
        <c:noMultiLvlLbl val="0"/>
      </c:catAx>
      <c:valAx>
        <c:axId val="89877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7276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Cumulative Row Growth — EvtEvent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Summary'!$F$3</c:f>
              <c:strCache>
                <c:ptCount val="1"/>
                <c:pt idx="0">
                  <c:v>Cumulative Rows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'Monthly Summary'!$A$4:$A$16</c:f>
              <c:strCache>
                <c:ptCount val="13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  <c:pt idx="11">
                  <c:v>2026-01</c:v>
                </c:pt>
                <c:pt idx="12">
                  <c:v>2026-02</c:v>
                </c:pt>
              </c:strCache>
            </c:strRef>
          </c:cat>
          <c:val>
            <c:numRef>
              <c:f>'Monthly Summary'!$F$4:$F$16</c:f>
              <c:numCache>
                <c:formatCode>#,##0</c:formatCode>
                <c:ptCount val="13"/>
                <c:pt idx="0">
                  <c:v>7841818</c:v>
                </c:pt>
                <c:pt idx="1">
                  <c:v>87135166</c:v>
                </c:pt>
                <c:pt idx="2">
                  <c:v>168605796</c:v>
                </c:pt>
                <c:pt idx="3">
                  <c:v>253761615</c:v>
                </c:pt>
                <c:pt idx="4">
                  <c:v>334798732</c:v>
                </c:pt>
                <c:pt idx="5">
                  <c:v>416713234</c:v>
                </c:pt>
                <c:pt idx="6">
                  <c:v>498538011</c:v>
                </c:pt>
                <c:pt idx="7">
                  <c:v>581226910</c:v>
                </c:pt>
                <c:pt idx="8">
                  <c:v>675087271</c:v>
                </c:pt>
                <c:pt idx="9">
                  <c:v>785037850</c:v>
                </c:pt>
                <c:pt idx="10">
                  <c:v>901244090</c:v>
                </c:pt>
                <c:pt idx="11">
                  <c:v>1024090206</c:v>
                </c:pt>
                <c:pt idx="12">
                  <c:v>1126210190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081184"/>
        <c:axId val="46537283"/>
      </c:lineChart>
      <c:catAx>
        <c:axId val="440811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537283"/>
        <c:crosses val="autoZero"/>
        <c:auto val="1"/>
        <c:lblAlgn val="ctr"/>
        <c:lblOffset val="100"/>
        <c:noMultiLvlLbl val="0"/>
      </c:catAx>
      <c:valAx>
        <c:axId val="46537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Cumulative 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08118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Daily Row Volume with Moving Averages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Velocity'!$C$3</c:f>
              <c:strCache>
                <c:ptCount val="1"/>
                <c:pt idx="0">
                  <c:v>Row Count</c:v>
                </c:pt>
              </c:strCache>
            </c:strRef>
          </c:tx>
          <c:spPr>
            <a:solidFill>
              <a:srgbClr val="b4c7e7"/>
            </a:solidFill>
            <a:ln w="10080">
              <a:solidFill>
                <a:srgbClr val="b4c7e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Velocity'!$A$4:$A$369</c:f>
              <c:numCache>
                <c:formatCode>yyyy\-mm\-dd</c:formatCode>
                <c:ptCount val="366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45717</c:v>
                </c:pt>
                <c:pt idx="4">
                  <c:v>45718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45724</c:v>
                </c:pt>
                <c:pt idx="11">
                  <c:v>45725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45731</c:v>
                </c:pt>
                <c:pt idx="18">
                  <c:v>45732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45738</c:v>
                </c:pt>
                <c:pt idx="25">
                  <c:v>45739</c:v>
                </c:pt>
                <c:pt idx="26">
                  <c:v>45740</c:v>
                </c:pt>
                <c:pt idx="27">
                  <c:v>45741</c:v>
                </c:pt>
                <c:pt idx="28">
                  <c:v>45742</c:v>
                </c:pt>
                <c:pt idx="29">
                  <c:v>45743</c:v>
                </c:pt>
                <c:pt idx="30">
                  <c:v>45744</c:v>
                </c:pt>
                <c:pt idx="31">
                  <c:v>45745</c:v>
                </c:pt>
                <c:pt idx="32">
                  <c:v>45746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45752</c:v>
                </c:pt>
                <c:pt idx="39">
                  <c:v>45753</c:v>
                </c:pt>
                <c:pt idx="40">
                  <c:v>45754</c:v>
                </c:pt>
                <c:pt idx="41">
                  <c:v>45755</c:v>
                </c:pt>
                <c:pt idx="42">
                  <c:v>45756</c:v>
                </c:pt>
                <c:pt idx="43">
                  <c:v>45757</c:v>
                </c:pt>
                <c:pt idx="44">
                  <c:v>45758</c:v>
                </c:pt>
                <c:pt idx="45">
                  <c:v>45759</c:v>
                </c:pt>
                <c:pt idx="46">
                  <c:v>45760</c:v>
                </c:pt>
                <c:pt idx="47">
                  <c:v>45761</c:v>
                </c:pt>
                <c:pt idx="48">
                  <c:v>45762</c:v>
                </c:pt>
                <c:pt idx="49">
                  <c:v>45763</c:v>
                </c:pt>
                <c:pt idx="50">
                  <c:v>45764</c:v>
                </c:pt>
                <c:pt idx="51">
                  <c:v>45765</c:v>
                </c:pt>
                <c:pt idx="52">
                  <c:v>45766</c:v>
                </c:pt>
                <c:pt idx="53">
                  <c:v>45767</c:v>
                </c:pt>
                <c:pt idx="54">
                  <c:v>45768</c:v>
                </c:pt>
                <c:pt idx="55">
                  <c:v>45769</c:v>
                </c:pt>
                <c:pt idx="56">
                  <c:v>45770</c:v>
                </c:pt>
                <c:pt idx="57">
                  <c:v>45771</c:v>
                </c:pt>
                <c:pt idx="58">
                  <c:v>45772</c:v>
                </c:pt>
                <c:pt idx="59">
                  <c:v>45773</c:v>
                </c:pt>
                <c:pt idx="60">
                  <c:v>45774</c:v>
                </c:pt>
                <c:pt idx="61">
                  <c:v>45775</c:v>
                </c:pt>
                <c:pt idx="62">
                  <c:v>45776</c:v>
                </c:pt>
                <c:pt idx="63">
                  <c:v>45777</c:v>
                </c:pt>
                <c:pt idx="64">
                  <c:v>45778</c:v>
                </c:pt>
                <c:pt idx="65">
                  <c:v>45779</c:v>
                </c:pt>
                <c:pt idx="66">
                  <c:v>45780</c:v>
                </c:pt>
                <c:pt idx="67">
                  <c:v>45781</c:v>
                </c:pt>
                <c:pt idx="68">
                  <c:v>45782</c:v>
                </c:pt>
                <c:pt idx="69">
                  <c:v>45783</c:v>
                </c:pt>
                <c:pt idx="70">
                  <c:v>45784</c:v>
                </c:pt>
                <c:pt idx="71">
                  <c:v>45785</c:v>
                </c:pt>
                <c:pt idx="72">
                  <c:v>45786</c:v>
                </c:pt>
                <c:pt idx="73">
                  <c:v>45787</c:v>
                </c:pt>
                <c:pt idx="74">
                  <c:v>45788</c:v>
                </c:pt>
                <c:pt idx="75">
                  <c:v>45789</c:v>
                </c:pt>
                <c:pt idx="76">
                  <c:v>45790</c:v>
                </c:pt>
                <c:pt idx="77">
                  <c:v>45791</c:v>
                </c:pt>
                <c:pt idx="78">
                  <c:v>45792</c:v>
                </c:pt>
                <c:pt idx="79">
                  <c:v>45793</c:v>
                </c:pt>
                <c:pt idx="80">
                  <c:v>45794</c:v>
                </c:pt>
                <c:pt idx="81">
                  <c:v>45795</c:v>
                </c:pt>
                <c:pt idx="82">
                  <c:v>45796</c:v>
                </c:pt>
                <c:pt idx="83">
                  <c:v>45797</c:v>
                </c:pt>
                <c:pt idx="84">
                  <c:v>45798</c:v>
                </c:pt>
                <c:pt idx="85">
                  <c:v>45799</c:v>
                </c:pt>
                <c:pt idx="86">
                  <c:v>45800</c:v>
                </c:pt>
                <c:pt idx="87">
                  <c:v>45801</c:v>
                </c:pt>
                <c:pt idx="88">
                  <c:v>45802</c:v>
                </c:pt>
                <c:pt idx="89">
                  <c:v>45803</c:v>
                </c:pt>
                <c:pt idx="90">
                  <c:v>45804</c:v>
                </c:pt>
                <c:pt idx="91">
                  <c:v>45805</c:v>
                </c:pt>
                <c:pt idx="92">
                  <c:v>45806</c:v>
                </c:pt>
                <c:pt idx="93">
                  <c:v>45807</c:v>
                </c:pt>
                <c:pt idx="94">
                  <c:v>45808</c:v>
                </c:pt>
                <c:pt idx="95">
                  <c:v>45809</c:v>
                </c:pt>
                <c:pt idx="96">
                  <c:v>45810</c:v>
                </c:pt>
                <c:pt idx="97">
                  <c:v>45811</c:v>
                </c:pt>
                <c:pt idx="98">
                  <c:v>45812</c:v>
                </c:pt>
                <c:pt idx="99">
                  <c:v>45813</c:v>
                </c:pt>
                <c:pt idx="100">
                  <c:v>45814</c:v>
                </c:pt>
                <c:pt idx="101">
                  <c:v>45815</c:v>
                </c:pt>
                <c:pt idx="102">
                  <c:v>45816</c:v>
                </c:pt>
                <c:pt idx="103">
                  <c:v>45817</c:v>
                </c:pt>
                <c:pt idx="104">
                  <c:v>45818</c:v>
                </c:pt>
                <c:pt idx="105">
                  <c:v>45819</c:v>
                </c:pt>
                <c:pt idx="106">
                  <c:v>45820</c:v>
                </c:pt>
                <c:pt idx="107">
                  <c:v>45821</c:v>
                </c:pt>
                <c:pt idx="108">
                  <c:v>45822</c:v>
                </c:pt>
                <c:pt idx="109">
                  <c:v>45823</c:v>
                </c:pt>
                <c:pt idx="110">
                  <c:v>45824</c:v>
                </c:pt>
                <c:pt idx="111">
                  <c:v>45825</c:v>
                </c:pt>
                <c:pt idx="112">
                  <c:v>45826</c:v>
                </c:pt>
                <c:pt idx="113">
                  <c:v>45827</c:v>
                </c:pt>
                <c:pt idx="114">
                  <c:v>45828</c:v>
                </c:pt>
                <c:pt idx="115">
                  <c:v>45829</c:v>
                </c:pt>
                <c:pt idx="116">
                  <c:v>45830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45836</c:v>
                </c:pt>
                <c:pt idx="123">
                  <c:v>45837</c:v>
                </c:pt>
                <c:pt idx="124">
                  <c:v>45838</c:v>
                </c:pt>
                <c:pt idx="125">
                  <c:v>45839</c:v>
                </c:pt>
                <c:pt idx="126">
                  <c:v>45840</c:v>
                </c:pt>
                <c:pt idx="127">
                  <c:v>45841</c:v>
                </c:pt>
                <c:pt idx="128">
                  <c:v>45842</c:v>
                </c:pt>
                <c:pt idx="129">
                  <c:v>45843</c:v>
                </c:pt>
                <c:pt idx="130">
                  <c:v>45844</c:v>
                </c:pt>
                <c:pt idx="131">
                  <c:v>45845</c:v>
                </c:pt>
                <c:pt idx="132">
                  <c:v>45846</c:v>
                </c:pt>
                <c:pt idx="133">
                  <c:v>45847</c:v>
                </c:pt>
                <c:pt idx="134">
                  <c:v>45848</c:v>
                </c:pt>
                <c:pt idx="135">
                  <c:v>45849</c:v>
                </c:pt>
                <c:pt idx="136">
                  <c:v>45850</c:v>
                </c:pt>
                <c:pt idx="137">
                  <c:v>45851</c:v>
                </c:pt>
                <c:pt idx="138">
                  <c:v>45852</c:v>
                </c:pt>
                <c:pt idx="139">
                  <c:v>45853</c:v>
                </c:pt>
                <c:pt idx="140">
                  <c:v>45854</c:v>
                </c:pt>
                <c:pt idx="141">
                  <c:v>45855</c:v>
                </c:pt>
                <c:pt idx="142">
                  <c:v>45856</c:v>
                </c:pt>
                <c:pt idx="143">
                  <c:v>45857</c:v>
                </c:pt>
                <c:pt idx="144">
                  <c:v>45858</c:v>
                </c:pt>
                <c:pt idx="145">
                  <c:v>45859</c:v>
                </c:pt>
                <c:pt idx="146">
                  <c:v>45860</c:v>
                </c:pt>
                <c:pt idx="147">
                  <c:v>45861</c:v>
                </c:pt>
                <c:pt idx="148">
                  <c:v>45862</c:v>
                </c:pt>
                <c:pt idx="149">
                  <c:v>45863</c:v>
                </c:pt>
                <c:pt idx="150">
                  <c:v>45864</c:v>
                </c:pt>
                <c:pt idx="151">
                  <c:v>45865</c:v>
                </c:pt>
                <c:pt idx="152">
                  <c:v>45866</c:v>
                </c:pt>
                <c:pt idx="153">
                  <c:v>45867</c:v>
                </c:pt>
                <c:pt idx="154">
                  <c:v>45868</c:v>
                </c:pt>
                <c:pt idx="155">
                  <c:v>45869</c:v>
                </c:pt>
                <c:pt idx="156">
                  <c:v>45870</c:v>
                </c:pt>
                <c:pt idx="157">
                  <c:v>45871</c:v>
                </c:pt>
                <c:pt idx="158">
                  <c:v>45872</c:v>
                </c:pt>
                <c:pt idx="159">
                  <c:v>45873</c:v>
                </c:pt>
                <c:pt idx="160">
                  <c:v>45874</c:v>
                </c:pt>
                <c:pt idx="161">
                  <c:v>45875</c:v>
                </c:pt>
                <c:pt idx="162">
                  <c:v>45876</c:v>
                </c:pt>
                <c:pt idx="163">
                  <c:v>45877</c:v>
                </c:pt>
                <c:pt idx="164">
                  <c:v>45878</c:v>
                </c:pt>
                <c:pt idx="165">
                  <c:v>45879</c:v>
                </c:pt>
                <c:pt idx="166">
                  <c:v>45880</c:v>
                </c:pt>
                <c:pt idx="167">
                  <c:v>45881</c:v>
                </c:pt>
                <c:pt idx="168">
                  <c:v>45882</c:v>
                </c:pt>
                <c:pt idx="169">
                  <c:v>45883</c:v>
                </c:pt>
                <c:pt idx="170">
                  <c:v>45884</c:v>
                </c:pt>
                <c:pt idx="171">
                  <c:v>45885</c:v>
                </c:pt>
                <c:pt idx="172">
                  <c:v>45886</c:v>
                </c:pt>
                <c:pt idx="173">
                  <c:v>45887</c:v>
                </c:pt>
                <c:pt idx="174">
                  <c:v>45888</c:v>
                </c:pt>
                <c:pt idx="175">
                  <c:v>45889</c:v>
                </c:pt>
                <c:pt idx="176">
                  <c:v>45890</c:v>
                </c:pt>
                <c:pt idx="177">
                  <c:v>45891</c:v>
                </c:pt>
                <c:pt idx="178">
                  <c:v>45892</c:v>
                </c:pt>
                <c:pt idx="179">
                  <c:v>45893</c:v>
                </c:pt>
                <c:pt idx="180">
                  <c:v>45894</c:v>
                </c:pt>
                <c:pt idx="181">
                  <c:v>45895</c:v>
                </c:pt>
                <c:pt idx="182">
                  <c:v>45896</c:v>
                </c:pt>
                <c:pt idx="183">
                  <c:v>45897</c:v>
                </c:pt>
                <c:pt idx="184">
                  <c:v>45898</c:v>
                </c:pt>
                <c:pt idx="185">
                  <c:v>45899</c:v>
                </c:pt>
                <c:pt idx="186">
                  <c:v>45900</c:v>
                </c:pt>
                <c:pt idx="187">
                  <c:v>45901</c:v>
                </c:pt>
                <c:pt idx="188">
                  <c:v>45902</c:v>
                </c:pt>
                <c:pt idx="189">
                  <c:v>45903</c:v>
                </c:pt>
                <c:pt idx="190">
                  <c:v>45904</c:v>
                </c:pt>
                <c:pt idx="191">
                  <c:v>45905</c:v>
                </c:pt>
                <c:pt idx="192">
                  <c:v>45906</c:v>
                </c:pt>
                <c:pt idx="193">
                  <c:v>45907</c:v>
                </c:pt>
                <c:pt idx="194">
                  <c:v>45908</c:v>
                </c:pt>
                <c:pt idx="195">
                  <c:v>45909</c:v>
                </c:pt>
                <c:pt idx="196">
                  <c:v>45910</c:v>
                </c:pt>
                <c:pt idx="197">
                  <c:v>45911</c:v>
                </c:pt>
                <c:pt idx="198">
                  <c:v>45912</c:v>
                </c:pt>
                <c:pt idx="199">
                  <c:v>45913</c:v>
                </c:pt>
                <c:pt idx="200">
                  <c:v>45914</c:v>
                </c:pt>
                <c:pt idx="201">
                  <c:v>45915</c:v>
                </c:pt>
                <c:pt idx="202">
                  <c:v>45916</c:v>
                </c:pt>
                <c:pt idx="203">
                  <c:v>45917</c:v>
                </c:pt>
                <c:pt idx="204">
                  <c:v>45918</c:v>
                </c:pt>
                <c:pt idx="205">
                  <c:v>45919</c:v>
                </c:pt>
                <c:pt idx="206">
                  <c:v>45920</c:v>
                </c:pt>
                <c:pt idx="207">
                  <c:v>45921</c:v>
                </c:pt>
                <c:pt idx="208">
                  <c:v>45922</c:v>
                </c:pt>
                <c:pt idx="209">
                  <c:v>45923</c:v>
                </c:pt>
                <c:pt idx="210">
                  <c:v>45924</c:v>
                </c:pt>
                <c:pt idx="211">
                  <c:v>45925</c:v>
                </c:pt>
                <c:pt idx="212">
                  <c:v>45926</c:v>
                </c:pt>
                <c:pt idx="213">
                  <c:v>45927</c:v>
                </c:pt>
                <c:pt idx="214">
                  <c:v>45928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45934</c:v>
                </c:pt>
                <c:pt idx="221">
                  <c:v>45935</c:v>
                </c:pt>
                <c:pt idx="222">
                  <c:v>45936</c:v>
                </c:pt>
                <c:pt idx="223">
                  <c:v>45937</c:v>
                </c:pt>
                <c:pt idx="224">
                  <c:v>45938</c:v>
                </c:pt>
                <c:pt idx="225">
                  <c:v>45939</c:v>
                </c:pt>
                <c:pt idx="226">
                  <c:v>45940</c:v>
                </c:pt>
                <c:pt idx="227">
                  <c:v>45941</c:v>
                </c:pt>
                <c:pt idx="228">
                  <c:v>45942</c:v>
                </c:pt>
                <c:pt idx="229">
                  <c:v>45943</c:v>
                </c:pt>
                <c:pt idx="230">
                  <c:v>45944</c:v>
                </c:pt>
                <c:pt idx="231">
                  <c:v>45945</c:v>
                </c:pt>
                <c:pt idx="232">
                  <c:v>45946</c:v>
                </c:pt>
                <c:pt idx="233">
                  <c:v>45947</c:v>
                </c:pt>
                <c:pt idx="234">
                  <c:v>45948</c:v>
                </c:pt>
                <c:pt idx="235">
                  <c:v>45949</c:v>
                </c:pt>
                <c:pt idx="236">
                  <c:v>45950</c:v>
                </c:pt>
                <c:pt idx="237">
                  <c:v>45951</c:v>
                </c:pt>
                <c:pt idx="238">
                  <c:v>45952</c:v>
                </c:pt>
                <c:pt idx="239">
                  <c:v>45953</c:v>
                </c:pt>
                <c:pt idx="240">
                  <c:v>45954</c:v>
                </c:pt>
                <c:pt idx="241">
                  <c:v>45955</c:v>
                </c:pt>
                <c:pt idx="242">
                  <c:v>45956</c:v>
                </c:pt>
                <c:pt idx="243">
                  <c:v>45957</c:v>
                </c:pt>
                <c:pt idx="244">
                  <c:v>45958</c:v>
                </c:pt>
                <c:pt idx="245">
                  <c:v>45959</c:v>
                </c:pt>
                <c:pt idx="246">
                  <c:v>45960</c:v>
                </c:pt>
                <c:pt idx="247">
                  <c:v>45961</c:v>
                </c:pt>
                <c:pt idx="248">
                  <c:v>45962</c:v>
                </c:pt>
                <c:pt idx="249">
                  <c:v>45963</c:v>
                </c:pt>
                <c:pt idx="250">
                  <c:v>45964</c:v>
                </c:pt>
                <c:pt idx="251">
                  <c:v>45965</c:v>
                </c:pt>
                <c:pt idx="252">
                  <c:v>45966</c:v>
                </c:pt>
                <c:pt idx="253">
                  <c:v>45967</c:v>
                </c:pt>
                <c:pt idx="254">
                  <c:v>45968</c:v>
                </c:pt>
                <c:pt idx="255">
                  <c:v>45969</c:v>
                </c:pt>
                <c:pt idx="256">
                  <c:v>45970</c:v>
                </c:pt>
                <c:pt idx="257">
                  <c:v>45971</c:v>
                </c:pt>
                <c:pt idx="258">
                  <c:v>45972</c:v>
                </c:pt>
                <c:pt idx="259">
                  <c:v>45973</c:v>
                </c:pt>
                <c:pt idx="260">
                  <c:v>45974</c:v>
                </c:pt>
                <c:pt idx="261">
                  <c:v>45975</c:v>
                </c:pt>
                <c:pt idx="262">
                  <c:v>45976</c:v>
                </c:pt>
                <c:pt idx="263">
                  <c:v>45977</c:v>
                </c:pt>
                <c:pt idx="264">
                  <c:v>45978</c:v>
                </c:pt>
                <c:pt idx="265">
                  <c:v>45979</c:v>
                </c:pt>
                <c:pt idx="266">
                  <c:v>45980</c:v>
                </c:pt>
                <c:pt idx="267">
                  <c:v>45981</c:v>
                </c:pt>
                <c:pt idx="268">
                  <c:v>45982</c:v>
                </c:pt>
                <c:pt idx="269">
                  <c:v>45983</c:v>
                </c:pt>
                <c:pt idx="270">
                  <c:v>45984</c:v>
                </c:pt>
                <c:pt idx="271">
                  <c:v>45985</c:v>
                </c:pt>
                <c:pt idx="272">
                  <c:v>45986</c:v>
                </c:pt>
                <c:pt idx="273">
                  <c:v>45987</c:v>
                </c:pt>
                <c:pt idx="274">
                  <c:v>45988</c:v>
                </c:pt>
                <c:pt idx="275">
                  <c:v>45989</c:v>
                </c:pt>
                <c:pt idx="276">
                  <c:v>45990</c:v>
                </c:pt>
                <c:pt idx="277">
                  <c:v>45991</c:v>
                </c:pt>
                <c:pt idx="278">
                  <c:v>45992</c:v>
                </c:pt>
                <c:pt idx="279">
                  <c:v>45993</c:v>
                </c:pt>
                <c:pt idx="280">
                  <c:v>45994</c:v>
                </c:pt>
                <c:pt idx="281">
                  <c:v>45995</c:v>
                </c:pt>
                <c:pt idx="282">
                  <c:v>45996</c:v>
                </c:pt>
                <c:pt idx="283">
                  <c:v>45997</c:v>
                </c:pt>
                <c:pt idx="284">
                  <c:v>45998</c:v>
                </c:pt>
                <c:pt idx="285">
                  <c:v>45999</c:v>
                </c:pt>
                <c:pt idx="286">
                  <c:v>46000</c:v>
                </c:pt>
                <c:pt idx="287">
                  <c:v>46001</c:v>
                </c:pt>
                <c:pt idx="288">
                  <c:v>46002</c:v>
                </c:pt>
                <c:pt idx="289">
                  <c:v>46003</c:v>
                </c:pt>
                <c:pt idx="290">
                  <c:v>46004</c:v>
                </c:pt>
                <c:pt idx="291">
                  <c:v>46005</c:v>
                </c:pt>
                <c:pt idx="292">
                  <c:v>46006</c:v>
                </c:pt>
                <c:pt idx="293">
                  <c:v>46007</c:v>
                </c:pt>
                <c:pt idx="294">
                  <c:v>46008</c:v>
                </c:pt>
                <c:pt idx="295">
                  <c:v>46009</c:v>
                </c:pt>
                <c:pt idx="296">
                  <c:v>46010</c:v>
                </c:pt>
                <c:pt idx="297">
                  <c:v>46011</c:v>
                </c:pt>
                <c:pt idx="298">
                  <c:v>46012</c:v>
                </c:pt>
                <c:pt idx="299">
                  <c:v>46013</c:v>
                </c:pt>
                <c:pt idx="300">
                  <c:v>46014</c:v>
                </c:pt>
                <c:pt idx="301">
                  <c:v>46015</c:v>
                </c:pt>
                <c:pt idx="302">
                  <c:v>46016</c:v>
                </c:pt>
                <c:pt idx="303">
                  <c:v>46017</c:v>
                </c:pt>
                <c:pt idx="304">
                  <c:v>46018</c:v>
                </c:pt>
                <c:pt idx="305">
                  <c:v>46019</c:v>
                </c:pt>
                <c:pt idx="306">
                  <c:v>46020</c:v>
                </c:pt>
                <c:pt idx="307">
                  <c:v>46021</c:v>
                </c:pt>
                <c:pt idx="308">
                  <c:v>46022</c:v>
                </c:pt>
                <c:pt idx="309">
                  <c:v>46023</c:v>
                </c:pt>
                <c:pt idx="310">
                  <c:v>46024</c:v>
                </c:pt>
                <c:pt idx="311">
                  <c:v>46025</c:v>
                </c:pt>
                <c:pt idx="312">
                  <c:v>46026</c:v>
                </c:pt>
                <c:pt idx="313">
                  <c:v>46027</c:v>
                </c:pt>
                <c:pt idx="314">
                  <c:v>46028</c:v>
                </c:pt>
                <c:pt idx="315">
                  <c:v>46029</c:v>
                </c:pt>
                <c:pt idx="316">
                  <c:v>46030</c:v>
                </c:pt>
                <c:pt idx="317">
                  <c:v>46031</c:v>
                </c:pt>
                <c:pt idx="318">
                  <c:v>46032</c:v>
                </c:pt>
                <c:pt idx="319">
                  <c:v>46033</c:v>
                </c:pt>
                <c:pt idx="320">
                  <c:v>46034</c:v>
                </c:pt>
                <c:pt idx="321">
                  <c:v>46035</c:v>
                </c:pt>
                <c:pt idx="322">
                  <c:v>46036</c:v>
                </c:pt>
                <c:pt idx="323">
                  <c:v>46037</c:v>
                </c:pt>
                <c:pt idx="324">
                  <c:v>46038</c:v>
                </c:pt>
                <c:pt idx="325">
                  <c:v>46039</c:v>
                </c:pt>
                <c:pt idx="326">
                  <c:v>46040</c:v>
                </c:pt>
                <c:pt idx="327">
                  <c:v>46041</c:v>
                </c:pt>
                <c:pt idx="328">
                  <c:v>46042</c:v>
                </c:pt>
                <c:pt idx="329">
                  <c:v>46043</c:v>
                </c:pt>
                <c:pt idx="330">
                  <c:v>46044</c:v>
                </c:pt>
                <c:pt idx="331">
                  <c:v>46045</c:v>
                </c:pt>
                <c:pt idx="332">
                  <c:v>46046</c:v>
                </c:pt>
                <c:pt idx="333">
                  <c:v>46047</c:v>
                </c:pt>
                <c:pt idx="334">
                  <c:v>46048</c:v>
                </c:pt>
                <c:pt idx="335">
                  <c:v>46049</c:v>
                </c:pt>
                <c:pt idx="336">
                  <c:v>46050</c:v>
                </c:pt>
                <c:pt idx="337">
                  <c:v>46051</c:v>
                </c:pt>
                <c:pt idx="338">
                  <c:v>46052</c:v>
                </c:pt>
                <c:pt idx="339">
                  <c:v>46053</c:v>
                </c:pt>
                <c:pt idx="340">
                  <c:v>46054</c:v>
                </c:pt>
                <c:pt idx="341">
                  <c:v>46055</c:v>
                </c:pt>
                <c:pt idx="342">
                  <c:v>46056</c:v>
                </c:pt>
                <c:pt idx="343">
                  <c:v>46057</c:v>
                </c:pt>
                <c:pt idx="344">
                  <c:v>46058</c:v>
                </c:pt>
                <c:pt idx="345">
                  <c:v>46059</c:v>
                </c:pt>
                <c:pt idx="346">
                  <c:v>46060</c:v>
                </c:pt>
                <c:pt idx="347">
                  <c:v>46061</c:v>
                </c:pt>
                <c:pt idx="348">
                  <c:v>46062</c:v>
                </c:pt>
                <c:pt idx="349">
                  <c:v>46063</c:v>
                </c:pt>
                <c:pt idx="350">
                  <c:v>46064</c:v>
                </c:pt>
                <c:pt idx="351">
                  <c:v>46065</c:v>
                </c:pt>
                <c:pt idx="352">
                  <c:v>46066</c:v>
                </c:pt>
                <c:pt idx="353">
                  <c:v>46067</c:v>
                </c:pt>
                <c:pt idx="354">
                  <c:v>46068</c:v>
                </c:pt>
                <c:pt idx="355">
                  <c:v>46069</c:v>
                </c:pt>
                <c:pt idx="356">
                  <c:v>46070</c:v>
                </c:pt>
                <c:pt idx="357">
                  <c:v>46071</c:v>
                </c:pt>
                <c:pt idx="358">
                  <c:v>46072</c:v>
                </c:pt>
                <c:pt idx="359">
                  <c:v>46073</c:v>
                </c:pt>
                <c:pt idx="360">
                  <c:v>46074</c:v>
                </c:pt>
                <c:pt idx="361">
                  <c:v>46075</c:v>
                </c:pt>
                <c:pt idx="362">
                  <c:v>46076</c:v>
                </c:pt>
                <c:pt idx="363">
                  <c:v>46077</c:v>
                </c:pt>
                <c:pt idx="364">
                  <c:v>46078</c:v>
                </c:pt>
                <c:pt idx="365">
                  <c:v>46079</c:v>
                </c:pt>
              </c:numCache>
            </c:numRef>
          </c:cat>
          <c:val>
            <c:numRef>
              <c:f>'Daily Velocity'!$C$4:$C$369</c:f>
              <c:numCache>
                <c:formatCode>#,##0</c:formatCode>
                <c:ptCount val="366"/>
                <c:pt idx="0">
                  <c:v>2907530</c:v>
                </c:pt>
                <c:pt idx="1">
                  <c:v>2937615</c:v>
                </c:pt>
                <c:pt idx="2">
                  <c:v>1996673</c:v>
                </c:pt>
                <c:pt idx="3">
                  <c:v>1250591</c:v>
                </c:pt>
                <c:pt idx="4">
                  <c:v>2352405</c:v>
                </c:pt>
                <c:pt idx="5">
                  <c:v>3197873</c:v>
                </c:pt>
                <c:pt idx="6">
                  <c:v>3236332</c:v>
                </c:pt>
                <c:pt idx="7">
                  <c:v>3054050</c:v>
                </c:pt>
                <c:pt idx="8">
                  <c:v>3033483</c:v>
                </c:pt>
                <c:pt idx="9">
                  <c:v>2114616</c:v>
                </c:pt>
                <c:pt idx="10">
                  <c:v>1457678</c:v>
                </c:pt>
                <c:pt idx="11">
                  <c:v>2486755</c:v>
                </c:pt>
                <c:pt idx="12">
                  <c:v>3213051</c:v>
                </c:pt>
                <c:pt idx="13">
                  <c:v>3260796</c:v>
                </c:pt>
                <c:pt idx="14">
                  <c:v>3068046</c:v>
                </c:pt>
                <c:pt idx="15">
                  <c:v>2943392</c:v>
                </c:pt>
                <c:pt idx="16">
                  <c:v>1785178</c:v>
                </c:pt>
                <c:pt idx="17">
                  <c:v>1508307</c:v>
                </c:pt>
                <c:pt idx="18">
                  <c:v>2370945</c:v>
                </c:pt>
                <c:pt idx="19">
                  <c:v>3226337</c:v>
                </c:pt>
                <c:pt idx="20">
                  <c:v>3260363</c:v>
                </c:pt>
                <c:pt idx="21">
                  <c:v>3030522</c:v>
                </c:pt>
                <c:pt idx="22">
                  <c:v>2950559</c:v>
                </c:pt>
                <c:pt idx="23">
                  <c:v>2039354</c:v>
                </c:pt>
                <c:pt idx="24">
                  <c:v>1507476</c:v>
                </c:pt>
                <c:pt idx="25">
                  <c:v>1951130</c:v>
                </c:pt>
                <c:pt idx="26">
                  <c:v>3261638</c:v>
                </c:pt>
                <c:pt idx="27">
                  <c:v>3234662</c:v>
                </c:pt>
                <c:pt idx="28">
                  <c:v>2914887</c:v>
                </c:pt>
                <c:pt idx="29">
                  <c:v>2793137</c:v>
                </c:pt>
                <c:pt idx="30">
                  <c:v>1962120</c:v>
                </c:pt>
                <c:pt idx="31">
                  <c:v>1507461</c:v>
                </c:pt>
                <c:pt idx="32">
                  <c:v>2178796</c:v>
                </c:pt>
                <c:pt idx="33">
                  <c:v>3141408</c:v>
                </c:pt>
                <c:pt idx="34">
                  <c:v>3216682</c:v>
                </c:pt>
                <c:pt idx="35">
                  <c:v>3089688</c:v>
                </c:pt>
                <c:pt idx="36">
                  <c:v>3045916</c:v>
                </c:pt>
                <c:pt idx="37">
                  <c:v>2019818</c:v>
                </c:pt>
                <c:pt idx="38">
                  <c:v>1438644</c:v>
                </c:pt>
                <c:pt idx="39">
                  <c:v>2398328</c:v>
                </c:pt>
                <c:pt idx="40">
                  <c:v>3272218</c:v>
                </c:pt>
                <c:pt idx="41">
                  <c:v>3349875</c:v>
                </c:pt>
                <c:pt idx="42">
                  <c:v>3073009</c:v>
                </c:pt>
                <c:pt idx="43">
                  <c:v>3041083</c:v>
                </c:pt>
                <c:pt idx="44">
                  <c:v>1988045</c:v>
                </c:pt>
                <c:pt idx="45">
                  <c:v>1346092</c:v>
                </c:pt>
                <c:pt idx="46">
                  <c:v>2450056</c:v>
                </c:pt>
                <c:pt idx="47">
                  <c:v>3330272</c:v>
                </c:pt>
                <c:pt idx="48">
                  <c:v>3329167</c:v>
                </c:pt>
                <c:pt idx="49">
                  <c:v>3269592</c:v>
                </c:pt>
                <c:pt idx="50">
                  <c:v>3445833</c:v>
                </c:pt>
                <c:pt idx="51">
                  <c:v>1937766</c:v>
                </c:pt>
                <c:pt idx="52">
                  <c:v>1564552</c:v>
                </c:pt>
                <c:pt idx="53">
                  <c:v>2275029</c:v>
                </c:pt>
                <c:pt idx="54">
                  <c:v>3149195</c:v>
                </c:pt>
                <c:pt idx="55">
                  <c:v>3204000</c:v>
                </c:pt>
                <c:pt idx="56">
                  <c:v>3142257</c:v>
                </c:pt>
                <c:pt idx="57">
                  <c:v>3077372</c:v>
                </c:pt>
                <c:pt idx="58">
                  <c:v>2197313</c:v>
                </c:pt>
                <c:pt idx="59">
                  <c:v>1519935</c:v>
                </c:pt>
                <c:pt idx="60">
                  <c:v>2265815</c:v>
                </c:pt>
                <c:pt idx="61">
                  <c:v>3138942</c:v>
                </c:pt>
                <c:pt idx="62">
                  <c:v>3390360</c:v>
                </c:pt>
                <c:pt idx="63">
                  <c:v>3503776</c:v>
                </c:pt>
                <c:pt idx="64">
                  <c:v>3446841</c:v>
                </c:pt>
                <c:pt idx="65">
                  <c:v>2128508</c:v>
                </c:pt>
                <c:pt idx="66">
                  <c:v>1598699</c:v>
                </c:pt>
                <c:pt idx="67">
                  <c:v>2507622</c:v>
                </c:pt>
                <c:pt idx="68">
                  <c:v>3441639</c:v>
                </c:pt>
                <c:pt idx="69">
                  <c:v>3481246</c:v>
                </c:pt>
                <c:pt idx="70">
                  <c:v>3553828</c:v>
                </c:pt>
                <c:pt idx="71">
                  <c:v>3747505</c:v>
                </c:pt>
                <c:pt idx="72">
                  <c:v>2429854</c:v>
                </c:pt>
                <c:pt idx="73">
                  <c:v>1601148</c:v>
                </c:pt>
                <c:pt idx="74">
                  <c:v>2262267</c:v>
                </c:pt>
                <c:pt idx="75">
                  <c:v>3512309</c:v>
                </c:pt>
                <c:pt idx="76">
                  <c:v>3569054</c:v>
                </c:pt>
                <c:pt idx="77">
                  <c:v>3763177</c:v>
                </c:pt>
                <c:pt idx="78">
                  <c:v>3364753</c:v>
                </c:pt>
                <c:pt idx="79">
                  <c:v>2047594</c:v>
                </c:pt>
                <c:pt idx="80">
                  <c:v>1683293</c:v>
                </c:pt>
                <c:pt idx="81">
                  <c:v>2338753</c:v>
                </c:pt>
                <c:pt idx="82">
                  <c:v>3477703</c:v>
                </c:pt>
                <c:pt idx="83">
                  <c:v>3531332</c:v>
                </c:pt>
                <c:pt idx="84">
                  <c:v>3323006</c:v>
                </c:pt>
                <c:pt idx="85">
                  <c:v>3407862</c:v>
                </c:pt>
                <c:pt idx="86">
                  <c:v>2029227</c:v>
                </c:pt>
                <c:pt idx="87">
                  <c:v>1645436</c:v>
                </c:pt>
                <c:pt idx="88">
                  <c:v>2170773</c:v>
                </c:pt>
                <c:pt idx="89">
                  <c:v>1024258</c:v>
                </c:pt>
                <c:pt idx="90">
                  <c:v>3506081</c:v>
                </c:pt>
                <c:pt idx="91">
                  <c:v>3364858</c:v>
                </c:pt>
                <c:pt idx="92">
                  <c:v>3493969</c:v>
                </c:pt>
                <c:pt idx="93">
                  <c:v>2017393</c:v>
                </c:pt>
                <c:pt idx="94">
                  <c:v>1685831</c:v>
                </c:pt>
                <c:pt idx="95">
                  <c:v>2396076</c:v>
                </c:pt>
                <c:pt idx="96">
                  <c:v>3429127</c:v>
                </c:pt>
                <c:pt idx="97">
                  <c:v>3396590</c:v>
                </c:pt>
                <c:pt idx="98">
                  <c:v>3369663</c:v>
                </c:pt>
                <c:pt idx="99">
                  <c:v>3426213</c:v>
                </c:pt>
                <c:pt idx="100">
                  <c:v>2049880</c:v>
                </c:pt>
                <c:pt idx="101">
                  <c:v>1640418</c:v>
                </c:pt>
                <c:pt idx="102">
                  <c:v>2369031</c:v>
                </c:pt>
                <c:pt idx="103">
                  <c:v>3479225</c:v>
                </c:pt>
                <c:pt idx="104">
                  <c:v>3317487</c:v>
                </c:pt>
                <c:pt idx="105">
                  <c:v>3401605</c:v>
                </c:pt>
                <c:pt idx="106">
                  <c:v>3079232</c:v>
                </c:pt>
                <c:pt idx="107">
                  <c:v>1930308</c:v>
                </c:pt>
                <c:pt idx="108">
                  <c:v>1609971</c:v>
                </c:pt>
                <c:pt idx="109">
                  <c:v>2246232</c:v>
                </c:pt>
                <c:pt idx="110">
                  <c:v>3146224</c:v>
                </c:pt>
                <c:pt idx="111">
                  <c:v>3367771</c:v>
                </c:pt>
                <c:pt idx="112">
                  <c:v>3194270</c:v>
                </c:pt>
                <c:pt idx="113">
                  <c:v>3103713</c:v>
                </c:pt>
                <c:pt idx="114">
                  <c:v>1720192</c:v>
                </c:pt>
                <c:pt idx="115">
                  <c:v>1559881</c:v>
                </c:pt>
                <c:pt idx="116">
                  <c:v>2295462</c:v>
                </c:pt>
                <c:pt idx="117">
                  <c:v>3166579</c:v>
                </c:pt>
                <c:pt idx="118">
                  <c:v>3205898</c:v>
                </c:pt>
                <c:pt idx="119">
                  <c:v>3146672</c:v>
                </c:pt>
                <c:pt idx="120">
                  <c:v>3066184</c:v>
                </c:pt>
                <c:pt idx="121">
                  <c:v>1838802</c:v>
                </c:pt>
                <c:pt idx="122">
                  <c:v>1483684</c:v>
                </c:pt>
                <c:pt idx="123">
                  <c:v>2422056</c:v>
                </c:pt>
                <c:pt idx="124">
                  <c:v>3178671</c:v>
                </c:pt>
                <c:pt idx="125">
                  <c:v>3151641</c:v>
                </c:pt>
                <c:pt idx="126">
                  <c:v>3122476</c:v>
                </c:pt>
                <c:pt idx="127">
                  <c:v>2804700</c:v>
                </c:pt>
                <c:pt idx="128">
                  <c:v>1166657</c:v>
                </c:pt>
                <c:pt idx="129">
                  <c:v>1627139</c:v>
                </c:pt>
                <c:pt idx="130">
                  <c:v>2018642</c:v>
                </c:pt>
                <c:pt idx="131">
                  <c:v>3169610</c:v>
                </c:pt>
                <c:pt idx="132">
                  <c:v>3573411</c:v>
                </c:pt>
                <c:pt idx="133">
                  <c:v>3088038</c:v>
                </c:pt>
                <c:pt idx="134">
                  <c:v>2977961</c:v>
                </c:pt>
                <c:pt idx="135">
                  <c:v>1698839</c:v>
                </c:pt>
                <c:pt idx="136">
                  <c:v>1580710</c:v>
                </c:pt>
                <c:pt idx="137">
                  <c:v>2356403</c:v>
                </c:pt>
                <c:pt idx="138">
                  <c:v>3272340</c:v>
                </c:pt>
                <c:pt idx="139">
                  <c:v>3309799</c:v>
                </c:pt>
                <c:pt idx="140">
                  <c:v>3113333</c:v>
                </c:pt>
                <c:pt idx="141">
                  <c:v>3053138</c:v>
                </c:pt>
                <c:pt idx="142">
                  <c:v>1791622</c:v>
                </c:pt>
                <c:pt idx="143">
                  <c:v>1433656</c:v>
                </c:pt>
                <c:pt idx="144">
                  <c:v>2292707</c:v>
                </c:pt>
                <c:pt idx="145">
                  <c:v>3178201</c:v>
                </c:pt>
                <c:pt idx="146">
                  <c:v>3117630</c:v>
                </c:pt>
                <c:pt idx="147">
                  <c:v>3120125</c:v>
                </c:pt>
                <c:pt idx="148">
                  <c:v>3105297</c:v>
                </c:pt>
                <c:pt idx="149">
                  <c:v>1872562</c:v>
                </c:pt>
                <c:pt idx="150">
                  <c:v>1455875</c:v>
                </c:pt>
                <c:pt idx="151">
                  <c:v>2509568</c:v>
                </c:pt>
                <c:pt idx="152">
                  <c:v>3321526</c:v>
                </c:pt>
                <c:pt idx="153">
                  <c:v>3345736</c:v>
                </c:pt>
                <c:pt idx="154">
                  <c:v>3136249</c:v>
                </c:pt>
                <c:pt idx="155">
                  <c:v>3148911</c:v>
                </c:pt>
                <c:pt idx="156">
                  <c:v>2023987</c:v>
                </c:pt>
                <c:pt idx="157">
                  <c:v>1484815</c:v>
                </c:pt>
                <c:pt idx="158">
                  <c:v>2466427</c:v>
                </c:pt>
                <c:pt idx="159">
                  <c:v>3334400</c:v>
                </c:pt>
                <c:pt idx="160">
                  <c:v>3246672</c:v>
                </c:pt>
                <c:pt idx="161">
                  <c:v>3255849</c:v>
                </c:pt>
                <c:pt idx="162">
                  <c:v>3262632</c:v>
                </c:pt>
                <c:pt idx="163">
                  <c:v>2000501</c:v>
                </c:pt>
                <c:pt idx="164">
                  <c:v>1521872</c:v>
                </c:pt>
                <c:pt idx="165">
                  <c:v>2456769</c:v>
                </c:pt>
                <c:pt idx="166">
                  <c:v>3361886</c:v>
                </c:pt>
                <c:pt idx="167">
                  <c:v>3389225</c:v>
                </c:pt>
                <c:pt idx="168">
                  <c:v>3209317</c:v>
                </c:pt>
                <c:pt idx="169">
                  <c:v>3346066</c:v>
                </c:pt>
                <c:pt idx="170">
                  <c:v>1918519</c:v>
                </c:pt>
                <c:pt idx="171">
                  <c:v>1586434</c:v>
                </c:pt>
                <c:pt idx="172">
                  <c:v>2419507</c:v>
                </c:pt>
                <c:pt idx="173">
                  <c:v>3389499</c:v>
                </c:pt>
                <c:pt idx="174">
                  <c:v>3215276</c:v>
                </c:pt>
                <c:pt idx="175">
                  <c:v>3111127</c:v>
                </c:pt>
                <c:pt idx="176">
                  <c:v>3074762</c:v>
                </c:pt>
                <c:pt idx="177">
                  <c:v>1768893</c:v>
                </c:pt>
                <c:pt idx="178">
                  <c:v>1536066</c:v>
                </c:pt>
                <c:pt idx="179">
                  <c:v>2576694</c:v>
                </c:pt>
                <c:pt idx="180">
                  <c:v>3319040</c:v>
                </c:pt>
                <c:pt idx="181">
                  <c:v>3435280</c:v>
                </c:pt>
                <c:pt idx="182">
                  <c:v>3218109</c:v>
                </c:pt>
                <c:pt idx="183">
                  <c:v>3194342</c:v>
                </c:pt>
                <c:pt idx="184">
                  <c:v>1885045</c:v>
                </c:pt>
                <c:pt idx="185">
                  <c:v>1534214</c:v>
                </c:pt>
                <c:pt idx="186">
                  <c:v>2281552</c:v>
                </c:pt>
                <c:pt idx="187">
                  <c:v>1192959</c:v>
                </c:pt>
                <c:pt idx="188">
                  <c:v>3403494</c:v>
                </c:pt>
                <c:pt idx="189">
                  <c:v>3356439</c:v>
                </c:pt>
                <c:pt idx="190">
                  <c:v>3318489</c:v>
                </c:pt>
                <c:pt idx="191">
                  <c:v>1964848</c:v>
                </c:pt>
                <c:pt idx="192">
                  <c:v>1565541</c:v>
                </c:pt>
                <c:pt idx="193">
                  <c:v>2638187</c:v>
                </c:pt>
                <c:pt idx="194">
                  <c:v>3440425</c:v>
                </c:pt>
                <c:pt idx="195">
                  <c:v>3641440</c:v>
                </c:pt>
                <c:pt idx="196">
                  <c:v>3671630</c:v>
                </c:pt>
                <c:pt idx="197">
                  <c:v>3663534</c:v>
                </c:pt>
                <c:pt idx="198">
                  <c:v>1820236</c:v>
                </c:pt>
                <c:pt idx="199">
                  <c:v>1511269</c:v>
                </c:pt>
                <c:pt idx="200">
                  <c:v>2621485</c:v>
                </c:pt>
                <c:pt idx="201">
                  <c:v>3439972</c:v>
                </c:pt>
                <c:pt idx="202">
                  <c:v>3385654</c:v>
                </c:pt>
                <c:pt idx="203">
                  <c:v>3576693</c:v>
                </c:pt>
                <c:pt idx="204">
                  <c:v>3181391</c:v>
                </c:pt>
                <c:pt idx="205">
                  <c:v>1882101</c:v>
                </c:pt>
                <c:pt idx="206">
                  <c:v>1517299</c:v>
                </c:pt>
                <c:pt idx="207">
                  <c:v>2452672</c:v>
                </c:pt>
                <c:pt idx="208">
                  <c:v>3229391</c:v>
                </c:pt>
                <c:pt idx="209">
                  <c:v>3266934</c:v>
                </c:pt>
                <c:pt idx="210">
                  <c:v>3360624</c:v>
                </c:pt>
                <c:pt idx="211">
                  <c:v>3323209</c:v>
                </c:pt>
                <c:pt idx="212">
                  <c:v>1981622</c:v>
                </c:pt>
                <c:pt idx="213">
                  <c:v>1521398</c:v>
                </c:pt>
                <c:pt idx="214">
                  <c:v>2345313</c:v>
                </c:pt>
                <c:pt idx="215">
                  <c:v>3055439</c:v>
                </c:pt>
                <c:pt idx="216">
                  <c:v>3359211</c:v>
                </c:pt>
                <c:pt idx="217">
                  <c:v>3397397</c:v>
                </c:pt>
                <c:pt idx="218">
                  <c:v>3097838</c:v>
                </c:pt>
                <c:pt idx="219">
                  <c:v>1830067</c:v>
                </c:pt>
                <c:pt idx="220">
                  <c:v>1508585</c:v>
                </c:pt>
                <c:pt idx="221">
                  <c:v>2492968</c:v>
                </c:pt>
                <c:pt idx="222">
                  <c:v>3257105</c:v>
                </c:pt>
                <c:pt idx="223">
                  <c:v>3463835</c:v>
                </c:pt>
                <c:pt idx="224">
                  <c:v>3481639</c:v>
                </c:pt>
                <c:pt idx="225">
                  <c:v>3350701</c:v>
                </c:pt>
                <c:pt idx="226">
                  <c:v>1935208</c:v>
                </c:pt>
                <c:pt idx="227">
                  <c:v>1580311</c:v>
                </c:pt>
                <c:pt idx="228">
                  <c:v>2516309</c:v>
                </c:pt>
                <c:pt idx="229">
                  <c:v>3334529</c:v>
                </c:pt>
                <c:pt idx="230">
                  <c:v>3580269</c:v>
                </c:pt>
                <c:pt idx="231">
                  <c:v>3371483</c:v>
                </c:pt>
                <c:pt idx="232">
                  <c:v>3560694</c:v>
                </c:pt>
                <c:pt idx="233">
                  <c:v>1932931</c:v>
                </c:pt>
                <c:pt idx="234">
                  <c:v>1275385</c:v>
                </c:pt>
                <c:pt idx="235">
                  <c:v>2691752</c:v>
                </c:pt>
                <c:pt idx="236">
                  <c:v>3476334</c:v>
                </c:pt>
                <c:pt idx="237">
                  <c:v>3306658</c:v>
                </c:pt>
                <c:pt idx="238">
                  <c:v>3643536</c:v>
                </c:pt>
                <c:pt idx="239">
                  <c:v>3312676</c:v>
                </c:pt>
                <c:pt idx="240">
                  <c:v>3110717</c:v>
                </c:pt>
                <c:pt idx="241">
                  <c:v>2004265</c:v>
                </c:pt>
                <c:pt idx="242">
                  <c:v>3252432</c:v>
                </c:pt>
                <c:pt idx="243">
                  <c:v>4247668</c:v>
                </c:pt>
                <c:pt idx="244">
                  <c:v>4300087</c:v>
                </c:pt>
                <c:pt idx="245">
                  <c:v>4744359</c:v>
                </c:pt>
                <c:pt idx="246">
                  <c:v>4049749</c:v>
                </c:pt>
                <c:pt idx="247">
                  <c:v>2752874</c:v>
                </c:pt>
                <c:pt idx="248">
                  <c:v>1917900</c:v>
                </c:pt>
                <c:pt idx="249">
                  <c:v>3556361</c:v>
                </c:pt>
                <c:pt idx="250">
                  <c:v>4522633</c:v>
                </c:pt>
                <c:pt idx="251">
                  <c:v>4424012</c:v>
                </c:pt>
                <c:pt idx="252">
                  <c:v>4298326</c:v>
                </c:pt>
                <c:pt idx="253">
                  <c:v>4800163</c:v>
                </c:pt>
                <c:pt idx="254">
                  <c:v>4429114</c:v>
                </c:pt>
                <c:pt idx="255">
                  <c:v>2280987</c:v>
                </c:pt>
                <c:pt idx="256">
                  <c:v>3692905</c:v>
                </c:pt>
                <c:pt idx="257">
                  <c:v>4597191</c:v>
                </c:pt>
                <c:pt idx="258">
                  <c:v>4410752</c:v>
                </c:pt>
                <c:pt idx="259">
                  <c:v>3953416</c:v>
                </c:pt>
                <c:pt idx="260">
                  <c:v>4305035</c:v>
                </c:pt>
                <c:pt idx="261">
                  <c:v>4099751</c:v>
                </c:pt>
                <c:pt idx="262">
                  <c:v>2235168</c:v>
                </c:pt>
                <c:pt idx="263">
                  <c:v>3929392</c:v>
                </c:pt>
                <c:pt idx="264">
                  <c:v>4783157</c:v>
                </c:pt>
                <c:pt idx="265">
                  <c:v>4582127</c:v>
                </c:pt>
                <c:pt idx="266">
                  <c:v>4498950</c:v>
                </c:pt>
                <c:pt idx="267">
                  <c:v>4218325</c:v>
                </c:pt>
                <c:pt idx="268">
                  <c:v>3504357</c:v>
                </c:pt>
                <c:pt idx="269">
                  <c:v>1819803</c:v>
                </c:pt>
                <c:pt idx="270">
                  <c:v>3254389</c:v>
                </c:pt>
                <c:pt idx="271">
                  <c:v>4206007</c:v>
                </c:pt>
                <c:pt idx="272">
                  <c:v>4127664</c:v>
                </c:pt>
                <c:pt idx="273">
                  <c:v>4354258</c:v>
                </c:pt>
                <c:pt idx="274">
                  <c:v>1958069</c:v>
                </c:pt>
                <c:pt idx="275">
                  <c:v>2122297</c:v>
                </c:pt>
                <c:pt idx="276">
                  <c:v>1853998</c:v>
                </c:pt>
                <c:pt idx="277">
                  <c:v>3214072</c:v>
                </c:pt>
                <c:pt idx="278">
                  <c:v>4195875</c:v>
                </c:pt>
                <c:pt idx="279">
                  <c:v>4758493</c:v>
                </c:pt>
                <c:pt idx="280">
                  <c:v>4879857</c:v>
                </c:pt>
                <c:pt idx="281">
                  <c:v>4794773</c:v>
                </c:pt>
                <c:pt idx="282">
                  <c:v>2905408</c:v>
                </c:pt>
                <c:pt idx="283">
                  <c:v>1949156</c:v>
                </c:pt>
                <c:pt idx="284">
                  <c:v>3496845</c:v>
                </c:pt>
                <c:pt idx="285">
                  <c:v>5031084</c:v>
                </c:pt>
                <c:pt idx="286">
                  <c:v>5136258</c:v>
                </c:pt>
                <c:pt idx="287">
                  <c:v>4595341</c:v>
                </c:pt>
                <c:pt idx="288">
                  <c:v>4609952</c:v>
                </c:pt>
                <c:pt idx="289">
                  <c:v>2779969</c:v>
                </c:pt>
                <c:pt idx="290">
                  <c:v>1827550</c:v>
                </c:pt>
                <c:pt idx="291">
                  <c:v>3933962</c:v>
                </c:pt>
                <c:pt idx="292">
                  <c:v>4698112</c:v>
                </c:pt>
                <c:pt idx="293">
                  <c:v>4951631</c:v>
                </c:pt>
                <c:pt idx="294">
                  <c:v>4723500</c:v>
                </c:pt>
                <c:pt idx="295">
                  <c:v>4742389</c:v>
                </c:pt>
                <c:pt idx="296">
                  <c:v>2727382</c:v>
                </c:pt>
                <c:pt idx="297">
                  <c:v>2135605</c:v>
                </c:pt>
                <c:pt idx="298">
                  <c:v>3493264</c:v>
                </c:pt>
                <c:pt idx="299">
                  <c:v>4405623</c:v>
                </c:pt>
                <c:pt idx="300">
                  <c:v>4495071</c:v>
                </c:pt>
                <c:pt idx="301">
                  <c:v>2369797</c:v>
                </c:pt>
                <c:pt idx="302">
                  <c:v>1962904</c:v>
                </c:pt>
                <c:pt idx="303">
                  <c:v>2512244</c:v>
                </c:pt>
                <c:pt idx="304">
                  <c:v>2181656</c:v>
                </c:pt>
                <c:pt idx="305">
                  <c:v>4081758</c:v>
                </c:pt>
                <c:pt idx="306">
                  <c:v>4689216</c:v>
                </c:pt>
                <c:pt idx="307">
                  <c:v>4699824</c:v>
                </c:pt>
                <c:pt idx="308">
                  <c:v>2441741</c:v>
                </c:pt>
                <c:pt idx="309">
                  <c:v>1943551</c:v>
                </c:pt>
                <c:pt idx="310">
                  <c:v>3350589</c:v>
                </c:pt>
                <c:pt idx="311">
                  <c:v>2154073</c:v>
                </c:pt>
                <c:pt idx="312">
                  <c:v>3695905</c:v>
                </c:pt>
                <c:pt idx="313">
                  <c:v>5217831</c:v>
                </c:pt>
                <c:pt idx="314">
                  <c:v>5327459</c:v>
                </c:pt>
                <c:pt idx="315">
                  <c:v>5221217</c:v>
                </c:pt>
                <c:pt idx="316">
                  <c:v>5152016</c:v>
                </c:pt>
                <c:pt idx="317">
                  <c:v>3980213</c:v>
                </c:pt>
                <c:pt idx="318">
                  <c:v>1843441</c:v>
                </c:pt>
                <c:pt idx="319">
                  <c:v>3862803</c:v>
                </c:pt>
                <c:pt idx="320">
                  <c:v>4843494</c:v>
                </c:pt>
                <c:pt idx="321">
                  <c:v>5245107</c:v>
                </c:pt>
                <c:pt idx="322">
                  <c:v>4939243</c:v>
                </c:pt>
                <c:pt idx="323">
                  <c:v>4991496</c:v>
                </c:pt>
                <c:pt idx="324">
                  <c:v>3030825</c:v>
                </c:pt>
                <c:pt idx="325">
                  <c:v>2340686</c:v>
                </c:pt>
                <c:pt idx="326">
                  <c:v>3921633</c:v>
                </c:pt>
                <c:pt idx="327">
                  <c:v>5068727</c:v>
                </c:pt>
                <c:pt idx="328">
                  <c:v>5092829</c:v>
                </c:pt>
                <c:pt idx="329">
                  <c:v>4597939</c:v>
                </c:pt>
                <c:pt idx="330">
                  <c:v>4453274</c:v>
                </c:pt>
                <c:pt idx="331">
                  <c:v>2776381</c:v>
                </c:pt>
                <c:pt idx="332">
                  <c:v>2167996</c:v>
                </c:pt>
                <c:pt idx="333">
                  <c:v>3670308</c:v>
                </c:pt>
                <c:pt idx="334">
                  <c:v>4915798</c:v>
                </c:pt>
                <c:pt idx="335">
                  <c:v>4970736</c:v>
                </c:pt>
                <c:pt idx="336">
                  <c:v>4605813</c:v>
                </c:pt>
                <c:pt idx="337">
                  <c:v>4724403</c:v>
                </c:pt>
                <c:pt idx="338">
                  <c:v>2734258</c:v>
                </c:pt>
                <c:pt idx="339">
                  <c:v>2006072</c:v>
                </c:pt>
                <c:pt idx="340">
                  <c:v>3825083</c:v>
                </c:pt>
                <c:pt idx="341">
                  <c:v>4972404</c:v>
                </c:pt>
                <c:pt idx="342">
                  <c:v>5109935</c:v>
                </c:pt>
                <c:pt idx="343">
                  <c:v>4739935</c:v>
                </c:pt>
                <c:pt idx="344">
                  <c:v>4636373</c:v>
                </c:pt>
                <c:pt idx="345">
                  <c:v>2903760</c:v>
                </c:pt>
                <c:pt idx="346">
                  <c:v>1867565</c:v>
                </c:pt>
                <c:pt idx="347">
                  <c:v>3471980</c:v>
                </c:pt>
                <c:pt idx="348">
                  <c:v>4703706</c:v>
                </c:pt>
                <c:pt idx="349">
                  <c:v>4919377</c:v>
                </c:pt>
                <c:pt idx="350">
                  <c:v>4766286</c:v>
                </c:pt>
                <c:pt idx="351">
                  <c:v>4798004</c:v>
                </c:pt>
                <c:pt idx="352">
                  <c:v>2898665</c:v>
                </c:pt>
                <c:pt idx="353">
                  <c:v>1857040</c:v>
                </c:pt>
                <c:pt idx="354">
                  <c:v>3776866</c:v>
                </c:pt>
                <c:pt idx="355">
                  <c:v>4816016</c:v>
                </c:pt>
                <c:pt idx="356">
                  <c:v>4870475</c:v>
                </c:pt>
                <c:pt idx="357">
                  <c:v>4757647</c:v>
                </c:pt>
                <c:pt idx="358">
                  <c:v>4796771</c:v>
                </c:pt>
                <c:pt idx="359">
                  <c:v>2991948</c:v>
                </c:pt>
                <c:pt idx="360">
                  <c:v>2236911</c:v>
                </c:pt>
                <c:pt idx="361">
                  <c:v>3409595</c:v>
                </c:pt>
                <c:pt idx="362">
                  <c:v>4726602</c:v>
                </c:pt>
                <c:pt idx="363">
                  <c:v>4975720</c:v>
                </c:pt>
                <c:pt idx="364">
                  <c:v>4622233</c:v>
                </c:pt>
                <c:pt idx="365">
                  <c:v>669087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'Daily Velocity'!$D$3</c:f>
              <c:strCache>
                <c:ptCount val="1"/>
                <c:pt idx="0">
                  <c:v>7-Day Moving Avg</c:v>
                </c:pt>
              </c:strCache>
            </c:strRef>
          </c:tx>
          <c:spPr>
            <a:solidFill>
              <a:srgbClr val="2f5496"/>
            </a:solidFill>
            <a:ln w="2196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Velocity'!$A$4:$A$369</c:f>
              <c:numCache>
                <c:formatCode>yyyy\-mm\-dd</c:formatCode>
                <c:ptCount val="366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45717</c:v>
                </c:pt>
                <c:pt idx="4">
                  <c:v>45718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45724</c:v>
                </c:pt>
                <c:pt idx="11">
                  <c:v>45725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45731</c:v>
                </c:pt>
                <c:pt idx="18">
                  <c:v>45732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45738</c:v>
                </c:pt>
                <c:pt idx="25">
                  <c:v>45739</c:v>
                </c:pt>
                <c:pt idx="26">
                  <c:v>45740</c:v>
                </c:pt>
                <c:pt idx="27">
                  <c:v>45741</c:v>
                </c:pt>
                <c:pt idx="28">
                  <c:v>45742</c:v>
                </c:pt>
                <c:pt idx="29">
                  <c:v>45743</c:v>
                </c:pt>
                <c:pt idx="30">
                  <c:v>45744</c:v>
                </c:pt>
                <c:pt idx="31">
                  <c:v>45745</c:v>
                </c:pt>
                <c:pt idx="32">
                  <c:v>45746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45752</c:v>
                </c:pt>
                <c:pt idx="39">
                  <c:v>45753</c:v>
                </c:pt>
                <c:pt idx="40">
                  <c:v>45754</c:v>
                </c:pt>
                <c:pt idx="41">
                  <c:v>45755</c:v>
                </c:pt>
                <c:pt idx="42">
                  <c:v>45756</c:v>
                </c:pt>
                <c:pt idx="43">
                  <c:v>45757</c:v>
                </c:pt>
                <c:pt idx="44">
                  <c:v>45758</c:v>
                </c:pt>
                <c:pt idx="45">
                  <c:v>45759</c:v>
                </c:pt>
                <c:pt idx="46">
                  <c:v>45760</c:v>
                </c:pt>
                <c:pt idx="47">
                  <c:v>45761</c:v>
                </c:pt>
                <c:pt idx="48">
                  <c:v>45762</c:v>
                </c:pt>
                <c:pt idx="49">
                  <c:v>45763</c:v>
                </c:pt>
                <c:pt idx="50">
                  <c:v>45764</c:v>
                </c:pt>
                <c:pt idx="51">
                  <c:v>45765</c:v>
                </c:pt>
                <c:pt idx="52">
                  <c:v>45766</c:v>
                </c:pt>
                <c:pt idx="53">
                  <c:v>45767</c:v>
                </c:pt>
                <c:pt idx="54">
                  <c:v>45768</c:v>
                </c:pt>
                <c:pt idx="55">
                  <c:v>45769</c:v>
                </c:pt>
                <c:pt idx="56">
                  <c:v>45770</c:v>
                </c:pt>
                <c:pt idx="57">
                  <c:v>45771</c:v>
                </c:pt>
                <c:pt idx="58">
                  <c:v>45772</c:v>
                </c:pt>
                <c:pt idx="59">
                  <c:v>45773</c:v>
                </c:pt>
                <c:pt idx="60">
                  <c:v>45774</c:v>
                </c:pt>
                <c:pt idx="61">
                  <c:v>45775</c:v>
                </c:pt>
                <c:pt idx="62">
                  <c:v>45776</c:v>
                </c:pt>
                <c:pt idx="63">
                  <c:v>45777</c:v>
                </c:pt>
                <c:pt idx="64">
                  <c:v>45778</c:v>
                </c:pt>
                <c:pt idx="65">
                  <c:v>45779</c:v>
                </c:pt>
                <c:pt idx="66">
                  <c:v>45780</c:v>
                </c:pt>
                <c:pt idx="67">
                  <c:v>45781</c:v>
                </c:pt>
                <c:pt idx="68">
                  <c:v>45782</c:v>
                </c:pt>
                <c:pt idx="69">
                  <c:v>45783</c:v>
                </c:pt>
                <c:pt idx="70">
                  <c:v>45784</c:v>
                </c:pt>
                <c:pt idx="71">
                  <c:v>45785</c:v>
                </c:pt>
                <c:pt idx="72">
                  <c:v>45786</c:v>
                </c:pt>
                <c:pt idx="73">
                  <c:v>45787</c:v>
                </c:pt>
                <c:pt idx="74">
                  <c:v>45788</c:v>
                </c:pt>
                <c:pt idx="75">
                  <c:v>45789</c:v>
                </c:pt>
                <c:pt idx="76">
                  <c:v>45790</c:v>
                </c:pt>
                <c:pt idx="77">
                  <c:v>45791</c:v>
                </c:pt>
                <c:pt idx="78">
                  <c:v>45792</c:v>
                </c:pt>
                <c:pt idx="79">
                  <c:v>45793</c:v>
                </c:pt>
                <c:pt idx="80">
                  <c:v>45794</c:v>
                </c:pt>
                <c:pt idx="81">
                  <c:v>45795</c:v>
                </c:pt>
                <c:pt idx="82">
                  <c:v>45796</c:v>
                </c:pt>
                <c:pt idx="83">
                  <c:v>45797</c:v>
                </c:pt>
                <c:pt idx="84">
                  <c:v>45798</c:v>
                </c:pt>
                <c:pt idx="85">
                  <c:v>45799</c:v>
                </c:pt>
                <c:pt idx="86">
                  <c:v>45800</c:v>
                </c:pt>
                <c:pt idx="87">
                  <c:v>45801</c:v>
                </c:pt>
                <c:pt idx="88">
                  <c:v>45802</c:v>
                </c:pt>
                <c:pt idx="89">
                  <c:v>45803</c:v>
                </c:pt>
                <c:pt idx="90">
                  <c:v>45804</c:v>
                </c:pt>
                <c:pt idx="91">
                  <c:v>45805</c:v>
                </c:pt>
                <c:pt idx="92">
                  <c:v>45806</c:v>
                </c:pt>
                <c:pt idx="93">
                  <c:v>45807</c:v>
                </c:pt>
                <c:pt idx="94">
                  <c:v>45808</c:v>
                </c:pt>
                <c:pt idx="95">
                  <c:v>45809</c:v>
                </c:pt>
                <c:pt idx="96">
                  <c:v>45810</c:v>
                </c:pt>
                <c:pt idx="97">
                  <c:v>45811</c:v>
                </c:pt>
                <c:pt idx="98">
                  <c:v>45812</c:v>
                </c:pt>
                <c:pt idx="99">
                  <c:v>45813</c:v>
                </c:pt>
                <c:pt idx="100">
                  <c:v>45814</c:v>
                </c:pt>
                <c:pt idx="101">
                  <c:v>45815</c:v>
                </c:pt>
                <c:pt idx="102">
                  <c:v>45816</c:v>
                </c:pt>
                <c:pt idx="103">
                  <c:v>45817</c:v>
                </c:pt>
                <c:pt idx="104">
                  <c:v>45818</c:v>
                </c:pt>
                <c:pt idx="105">
                  <c:v>45819</c:v>
                </c:pt>
                <c:pt idx="106">
                  <c:v>45820</c:v>
                </c:pt>
                <c:pt idx="107">
                  <c:v>45821</c:v>
                </c:pt>
                <c:pt idx="108">
                  <c:v>45822</c:v>
                </c:pt>
                <c:pt idx="109">
                  <c:v>45823</c:v>
                </c:pt>
                <c:pt idx="110">
                  <c:v>45824</c:v>
                </c:pt>
                <c:pt idx="111">
                  <c:v>45825</c:v>
                </c:pt>
                <c:pt idx="112">
                  <c:v>45826</c:v>
                </c:pt>
                <c:pt idx="113">
                  <c:v>45827</c:v>
                </c:pt>
                <c:pt idx="114">
                  <c:v>45828</c:v>
                </c:pt>
                <c:pt idx="115">
                  <c:v>45829</c:v>
                </c:pt>
                <c:pt idx="116">
                  <c:v>45830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45836</c:v>
                </c:pt>
                <c:pt idx="123">
                  <c:v>45837</c:v>
                </c:pt>
                <c:pt idx="124">
                  <c:v>45838</c:v>
                </c:pt>
                <c:pt idx="125">
                  <c:v>45839</c:v>
                </c:pt>
                <c:pt idx="126">
                  <c:v>45840</c:v>
                </c:pt>
                <c:pt idx="127">
                  <c:v>45841</c:v>
                </c:pt>
                <c:pt idx="128">
                  <c:v>45842</c:v>
                </c:pt>
                <c:pt idx="129">
                  <c:v>45843</c:v>
                </c:pt>
                <c:pt idx="130">
                  <c:v>45844</c:v>
                </c:pt>
                <c:pt idx="131">
                  <c:v>45845</c:v>
                </c:pt>
                <c:pt idx="132">
                  <c:v>45846</c:v>
                </c:pt>
                <c:pt idx="133">
                  <c:v>45847</c:v>
                </c:pt>
                <c:pt idx="134">
                  <c:v>45848</c:v>
                </c:pt>
                <c:pt idx="135">
                  <c:v>45849</c:v>
                </c:pt>
                <c:pt idx="136">
                  <c:v>45850</c:v>
                </c:pt>
                <c:pt idx="137">
                  <c:v>45851</c:v>
                </c:pt>
                <c:pt idx="138">
                  <c:v>45852</c:v>
                </c:pt>
                <c:pt idx="139">
                  <c:v>45853</c:v>
                </c:pt>
                <c:pt idx="140">
                  <c:v>45854</c:v>
                </c:pt>
                <c:pt idx="141">
                  <c:v>45855</c:v>
                </c:pt>
                <c:pt idx="142">
                  <c:v>45856</c:v>
                </c:pt>
                <c:pt idx="143">
                  <c:v>45857</c:v>
                </c:pt>
                <c:pt idx="144">
                  <c:v>45858</c:v>
                </c:pt>
                <c:pt idx="145">
                  <c:v>45859</c:v>
                </c:pt>
                <c:pt idx="146">
                  <c:v>45860</c:v>
                </c:pt>
                <c:pt idx="147">
                  <c:v>45861</c:v>
                </c:pt>
                <c:pt idx="148">
                  <c:v>45862</c:v>
                </c:pt>
                <c:pt idx="149">
                  <c:v>45863</c:v>
                </c:pt>
                <c:pt idx="150">
                  <c:v>45864</c:v>
                </c:pt>
                <c:pt idx="151">
                  <c:v>45865</c:v>
                </c:pt>
                <c:pt idx="152">
                  <c:v>45866</c:v>
                </c:pt>
                <c:pt idx="153">
                  <c:v>45867</c:v>
                </c:pt>
                <c:pt idx="154">
                  <c:v>45868</c:v>
                </c:pt>
                <c:pt idx="155">
                  <c:v>45869</c:v>
                </c:pt>
                <c:pt idx="156">
                  <c:v>45870</c:v>
                </c:pt>
                <c:pt idx="157">
                  <c:v>45871</c:v>
                </c:pt>
                <c:pt idx="158">
                  <c:v>45872</c:v>
                </c:pt>
                <c:pt idx="159">
                  <c:v>45873</c:v>
                </c:pt>
                <c:pt idx="160">
                  <c:v>45874</c:v>
                </c:pt>
                <c:pt idx="161">
                  <c:v>45875</c:v>
                </c:pt>
                <c:pt idx="162">
                  <c:v>45876</c:v>
                </c:pt>
                <c:pt idx="163">
                  <c:v>45877</c:v>
                </c:pt>
                <c:pt idx="164">
                  <c:v>45878</c:v>
                </c:pt>
                <c:pt idx="165">
                  <c:v>45879</c:v>
                </c:pt>
                <c:pt idx="166">
                  <c:v>45880</c:v>
                </c:pt>
                <c:pt idx="167">
                  <c:v>45881</c:v>
                </c:pt>
                <c:pt idx="168">
                  <c:v>45882</c:v>
                </c:pt>
                <c:pt idx="169">
                  <c:v>45883</c:v>
                </c:pt>
                <c:pt idx="170">
                  <c:v>45884</c:v>
                </c:pt>
                <c:pt idx="171">
                  <c:v>45885</c:v>
                </c:pt>
                <c:pt idx="172">
                  <c:v>45886</c:v>
                </c:pt>
                <c:pt idx="173">
                  <c:v>45887</c:v>
                </c:pt>
                <c:pt idx="174">
                  <c:v>45888</c:v>
                </c:pt>
                <c:pt idx="175">
                  <c:v>45889</c:v>
                </c:pt>
                <c:pt idx="176">
                  <c:v>45890</c:v>
                </c:pt>
                <c:pt idx="177">
                  <c:v>45891</c:v>
                </c:pt>
                <c:pt idx="178">
                  <c:v>45892</c:v>
                </c:pt>
                <c:pt idx="179">
                  <c:v>45893</c:v>
                </c:pt>
                <c:pt idx="180">
                  <c:v>45894</c:v>
                </c:pt>
                <c:pt idx="181">
                  <c:v>45895</c:v>
                </c:pt>
                <c:pt idx="182">
                  <c:v>45896</c:v>
                </c:pt>
                <c:pt idx="183">
                  <c:v>45897</c:v>
                </c:pt>
                <c:pt idx="184">
                  <c:v>45898</c:v>
                </c:pt>
                <c:pt idx="185">
                  <c:v>45899</c:v>
                </c:pt>
                <c:pt idx="186">
                  <c:v>45900</c:v>
                </c:pt>
                <c:pt idx="187">
                  <c:v>45901</c:v>
                </c:pt>
                <c:pt idx="188">
                  <c:v>45902</c:v>
                </c:pt>
                <c:pt idx="189">
                  <c:v>45903</c:v>
                </c:pt>
                <c:pt idx="190">
                  <c:v>45904</c:v>
                </c:pt>
                <c:pt idx="191">
                  <c:v>45905</c:v>
                </c:pt>
                <c:pt idx="192">
                  <c:v>45906</c:v>
                </c:pt>
                <c:pt idx="193">
                  <c:v>45907</c:v>
                </c:pt>
                <c:pt idx="194">
                  <c:v>45908</c:v>
                </c:pt>
                <c:pt idx="195">
                  <c:v>45909</c:v>
                </c:pt>
                <c:pt idx="196">
                  <c:v>45910</c:v>
                </c:pt>
                <c:pt idx="197">
                  <c:v>45911</c:v>
                </c:pt>
                <c:pt idx="198">
                  <c:v>45912</c:v>
                </c:pt>
                <c:pt idx="199">
                  <c:v>45913</c:v>
                </c:pt>
                <c:pt idx="200">
                  <c:v>45914</c:v>
                </c:pt>
                <c:pt idx="201">
                  <c:v>45915</c:v>
                </c:pt>
                <c:pt idx="202">
                  <c:v>45916</c:v>
                </c:pt>
                <c:pt idx="203">
                  <c:v>45917</c:v>
                </c:pt>
                <c:pt idx="204">
                  <c:v>45918</c:v>
                </c:pt>
                <c:pt idx="205">
                  <c:v>45919</c:v>
                </c:pt>
                <c:pt idx="206">
                  <c:v>45920</c:v>
                </c:pt>
                <c:pt idx="207">
                  <c:v>45921</c:v>
                </c:pt>
                <c:pt idx="208">
                  <c:v>45922</c:v>
                </c:pt>
                <c:pt idx="209">
                  <c:v>45923</c:v>
                </c:pt>
                <c:pt idx="210">
                  <c:v>45924</c:v>
                </c:pt>
                <c:pt idx="211">
                  <c:v>45925</c:v>
                </c:pt>
                <c:pt idx="212">
                  <c:v>45926</c:v>
                </c:pt>
                <c:pt idx="213">
                  <c:v>45927</c:v>
                </c:pt>
                <c:pt idx="214">
                  <c:v>45928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45934</c:v>
                </c:pt>
                <c:pt idx="221">
                  <c:v>45935</c:v>
                </c:pt>
                <c:pt idx="222">
                  <c:v>45936</c:v>
                </c:pt>
                <c:pt idx="223">
                  <c:v>45937</c:v>
                </c:pt>
                <c:pt idx="224">
                  <c:v>45938</c:v>
                </c:pt>
                <c:pt idx="225">
                  <c:v>45939</c:v>
                </c:pt>
                <c:pt idx="226">
                  <c:v>45940</c:v>
                </c:pt>
                <c:pt idx="227">
                  <c:v>45941</c:v>
                </c:pt>
                <c:pt idx="228">
                  <c:v>45942</c:v>
                </c:pt>
                <c:pt idx="229">
                  <c:v>45943</c:v>
                </c:pt>
                <c:pt idx="230">
                  <c:v>45944</c:v>
                </c:pt>
                <c:pt idx="231">
                  <c:v>45945</c:v>
                </c:pt>
                <c:pt idx="232">
                  <c:v>45946</c:v>
                </c:pt>
                <c:pt idx="233">
                  <c:v>45947</c:v>
                </c:pt>
                <c:pt idx="234">
                  <c:v>45948</c:v>
                </c:pt>
                <c:pt idx="235">
                  <c:v>45949</c:v>
                </c:pt>
                <c:pt idx="236">
                  <c:v>45950</c:v>
                </c:pt>
                <c:pt idx="237">
                  <c:v>45951</c:v>
                </c:pt>
                <c:pt idx="238">
                  <c:v>45952</c:v>
                </c:pt>
                <c:pt idx="239">
                  <c:v>45953</c:v>
                </c:pt>
                <c:pt idx="240">
                  <c:v>45954</c:v>
                </c:pt>
                <c:pt idx="241">
                  <c:v>45955</c:v>
                </c:pt>
                <c:pt idx="242">
                  <c:v>45956</c:v>
                </c:pt>
                <c:pt idx="243">
                  <c:v>45957</c:v>
                </c:pt>
                <c:pt idx="244">
                  <c:v>45958</c:v>
                </c:pt>
                <c:pt idx="245">
                  <c:v>45959</c:v>
                </c:pt>
                <c:pt idx="246">
                  <c:v>45960</c:v>
                </c:pt>
                <c:pt idx="247">
                  <c:v>45961</c:v>
                </c:pt>
                <c:pt idx="248">
                  <c:v>45962</c:v>
                </c:pt>
                <c:pt idx="249">
                  <c:v>45963</c:v>
                </c:pt>
                <c:pt idx="250">
                  <c:v>45964</c:v>
                </c:pt>
                <c:pt idx="251">
                  <c:v>45965</c:v>
                </c:pt>
                <c:pt idx="252">
                  <c:v>45966</c:v>
                </c:pt>
                <c:pt idx="253">
                  <c:v>45967</c:v>
                </c:pt>
                <c:pt idx="254">
                  <c:v>45968</c:v>
                </c:pt>
                <c:pt idx="255">
                  <c:v>45969</c:v>
                </c:pt>
                <c:pt idx="256">
                  <c:v>45970</c:v>
                </c:pt>
                <c:pt idx="257">
                  <c:v>45971</c:v>
                </c:pt>
                <c:pt idx="258">
                  <c:v>45972</c:v>
                </c:pt>
                <c:pt idx="259">
                  <c:v>45973</c:v>
                </c:pt>
                <c:pt idx="260">
                  <c:v>45974</c:v>
                </c:pt>
                <c:pt idx="261">
                  <c:v>45975</c:v>
                </c:pt>
                <c:pt idx="262">
                  <c:v>45976</c:v>
                </c:pt>
                <c:pt idx="263">
                  <c:v>45977</c:v>
                </c:pt>
                <c:pt idx="264">
                  <c:v>45978</c:v>
                </c:pt>
                <c:pt idx="265">
                  <c:v>45979</c:v>
                </c:pt>
                <c:pt idx="266">
                  <c:v>45980</c:v>
                </c:pt>
                <c:pt idx="267">
                  <c:v>45981</c:v>
                </c:pt>
                <c:pt idx="268">
                  <c:v>45982</c:v>
                </c:pt>
                <c:pt idx="269">
                  <c:v>45983</c:v>
                </c:pt>
                <c:pt idx="270">
                  <c:v>45984</c:v>
                </c:pt>
                <c:pt idx="271">
                  <c:v>45985</c:v>
                </c:pt>
                <c:pt idx="272">
                  <c:v>45986</c:v>
                </c:pt>
                <c:pt idx="273">
                  <c:v>45987</c:v>
                </c:pt>
                <c:pt idx="274">
                  <c:v>45988</c:v>
                </c:pt>
                <c:pt idx="275">
                  <c:v>45989</c:v>
                </c:pt>
                <c:pt idx="276">
                  <c:v>45990</c:v>
                </c:pt>
                <c:pt idx="277">
                  <c:v>45991</c:v>
                </c:pt>
                <c:pt idx="278">
                  <c:v>45992</c:v>
                </c:pt>
                <c:pt idx="279">
                  <c:v>45993</c:v>
                </c:pt>
                <c:pt idx="280">
                  <c:v>45994</c:v>
                </c:pt>
                <c:pt idx="281">
                  <c:v>45995</c:v>
                </c:pt>
                <c:pt idx="282">
                  <c:v>45996</c:v>
                </c:pt>
                <c:pt idx="283">
                  <c:v>45997</c:v>
                </c:pt>
                <c:pt idx="284">
                  <c:v>45998</c:v>
                </c:pt>
                <c:pt idx="285">
                  <c:v>45999</c:v>
                </c:pt>
                <c:pt idx="286">
                  <c:v>46000</c:v>
                </c:pt>
                <c:pt idx="287">
                  <c:v>46001</c:v>
                </c:pt>
                <c:pt idx="288">
                  <c:v>46002</c:v>
                </c:pt>
                <c:pt idx="289">
                  <c:v>46003</c:v>
                </c:pt>
                <c:pt idx="290">
                  <c:v>46004</c:v>
                </c:pt>
                <c:pt idx="291">
                  <c:v>46005</c:v>
                </c:pt>
                <c:pt idx="292">
                  <c:v>46006</c:v>
                </c:pt>
                <c:pt idx="293">
                  <c:v>46007</c:v>
                </c:pt>
                <c:pt idx="294">
                  <c:v>46008</c:v>
                </c:pt>
                <c:pt idx="295">
                  <c:v>46009</c:v>
                </c:pt>
                <c:pt idx="296">
                  <c:v>46010</c:v>
                </c:pt>
                <c:pt idx="297">
                  <c:v>46011</c:v>
                </c:pt>
                <c:pt idx="298">
                  <c:v>46012</c:v>
                </c:pt>
                <c:pt idx="299">
                  <c:v>46013</c:v>
                </c:pt>
                <c:pt idx="300">
                  <c:v>46014</c:v>
                </c:pt>
                <c:pt idx="301">
                  <c:v>46015</c:v>
                </c:pt>
                <c:pt idx="302">
                  <c:v>46016</c:v>
                </c:pt>
                <c:pt idx="303">
                  <c:v>46017</c:v>
                </c:pt>
                <c:pt idx="304">
                  <c:v>46018</c:v>
                </c:pt>
                <c:pt idx="305">
                  <c:v>46019</c:v>
                </c:pt>
                <c:pt idx="306">
                  <c:v>46020</c:v>
                </c:pt>
                <c:pt idx="307">
                  <c:v>46021</c:v>
                </c:pt>
                <c:pt idx="308">
                  <c:v>46022</c:v>
                </c:pt>
                <c:pt idx="309">
                  <c:v>46023</c:v>
                </c:pt>
                <c:pt idx="310">
                  <c:v>46024</c:v>
                </c:pt>
                <c:pt idx="311">
                  <c:v>46025</c:v>
                </c:pt>
                <c:pt idx="312">
                  <c:v>46026</c:v>
                </c:pt>
                <c:pt idx="313">
                  <c:v>46027</c:v>
                </c:pt>
                <c:pt idx="314">
                  <c:v>46028</c:v>
                </c:pt>
                <c:pt idx="315">
                  <c:v>46029</c:v>
                </c:pt>
                <c:pt idx="316">
                  <c:v>46030</c:v>
                </c:pt>
                <c:pt idx="317">
                  <c:v>46031</c:v>
                </c:pt>
                <c:pt idx="318">
                  <c:v>46032</c:v>
                </c:pt>
                <c:pt idx="319">
                  <c:v>46033</c:v>
                </c:pt>
                <c:pt idx="320">
                  <c:v>46034</c:v>
                </c:pt>
                <c:pt idx="321">
                  <c:v>46035</c:v>
                </c:pt>
                <c:pt idx="322">
                  <c:v>46036</c:v>
                </c:pt>
                <c:pt idx="323">
                  <c:v>46037</c:v>
                </c:pt>
                <c:pt idx="324">
                  <c:v>46038</c:v>
                </c:pt>
                <c:pt idx="325">
                  <c:v>46039</c:v>
                </c:pt>
                <c:pt idx="326">
                  <c:v>46040</c:v>
                </c:pt>
                <c:pt idx="327">
                  <c:v>46041</c:v>
                </c:pt>
                <c:pt idx="328">
                  <c:v>46042</c:v>
                </c:pt>
                <c:pt idx="329">
                  <c:v>46043</c:v>
                </c:pt>
                <c:pt idx="330">
                  <c:v>46044</c:v>
                </c:pt>
                <c:pt idx="331">
                  <c:v>46045</c:v>
                </c:pt>
                <c:pt idx="332">
                  <c:v>46046</c:v>
                </c:pt>
                <c:pt idx="333">
                  <c:v>46047</c:v>
                </c:pt>
                <c:pt idx="334">
                  <c:v>46048</c:v>
                </c:pt>
                <c:pt idx="335">
                  <c:v>46049</c:v>
                </c:pt>
                <c:pt idx="336">
                  <c:v>46050</c:v>
                </c:pt>
                <c:pt idx="337">
                  <c:v>46051</c:v>
                </c:pt>
                <c:pt idx="338">
                  <c:v>46052</c:v>
                </c:pt>
                <c:pt idx="339">
                  <c:v>46053</c:v>
                </c:pt>
                <c:pt idx="340">
                  <c:v>46054</c:v>
                </c:pt>
                <c:pt idx="341">
                  <c:v>46055</c:v>
                </c:pt>
                <c:pt idx="342">
                  <c:v>46056</c:v>
                </c:pt>
                <c:pt idx="343">
                  <c:v>46057</c:v>
                </c:pt>
                <c:pt idx="344">
                  <c:v>46058</c:v>
                </c:pt>
                <c:pt idx="345">
                  <c:v>46059</c:v>
                </c:pt>
                <c:pt idx="346">
                  <c:v>46060</c:v>
                </c:pt>
                <c:pt idx="347">
                  <c:v>46061</c:v>
                </c:pt>
                <c:pt idx="348">
                  <c:v>46062</c:v>
                </c:pt>
                <c:pt idx="349">
                  <c:v>46063</c:v>
                </c:pt>
                <c:pt idx="350">
                  <c:v>46064</c:v>
                </c:pt>
                <c:pt idx="351">
                  <c:v>46065</c:v>
                </c:pt>
                <c:pt idx="352">
                  <c:v>46066</c:v>
                </c:pt>
                <c:pt idx="353">
                  <c:v>46067</c:v>
                </c:pt>
                <c:pt idx="354">
                  <c:v>46068</c:v>
                </c:pt>
                <c:pt idx="355">
                  <c:v>46069</c:v>
                </c:pt>
                <c:pt idx="356">
                  <c:v>46070</c:v>
                </c:pt>
                <c:pt idx="357">
                  <c:v>46071</c:v>
                </c:pt>
                <c:pt idx="358">
                  <c:v>46072</c:v>
                </c:pt>
                <c:pt idx="359">
                  <c:v>46073</c:v>
                </c:pt>
                <c:pt idx="360">
                  <c:v>46074</c:v>
                </c:pt>
                <c:pt idx="361">
                  <c:v>46075</c:v>
                </c:pt>
                <c:pt idx="362">
                  <c:v>46076</c:v>
                </c:pt>
                <c:pt idx="363">
                  <c:v>46077</c:v>
                </c:pt>
                <c:pt idx="364">
                  <c:v>46078</c:v>
                </c:pt>
                <c:pt idx="365">
                  <c:v>46079</c:v>
                </c:pt>
              </c:numCache>
            </c:numRef>
          </c:cat>
          <c:val>
            <c:numRef>
              <c:f>'Daily Velocity'!$D$4:$D$369</c:f>
              <c:numCache>
                <c:formatCode>#,##0</c:formatCode>
                <c:ptCount val="366"/>
                <c:pt idx="6">
                  <c:v>2554145.57142857</c:v>
                </c:pt>
                <c:pt idx="7">
                  <c:v>2575077</c:v>
                </c:pt>
                <c:pt idx="8">
                  <c:v>2588772.42857143</c:v>
                </c:pt>
                <c:pt idx="9">
                  <c:v>2605621.42857143</c:v>
                </c:pt>
                <c:pt idx="10">
                  <c:v>2635205.28571429</c:v>
                </c:pt>
                <c:pt idx="11">
                  <c:v>2654398.14285714</c:v>
                </c:pt>
                <c:pt idx="12">
                  <c:v>2656566.42857143</c:v>
                </c:pt>
                <c:pt idx="13">
                  <c:v>2660061.28571429</c:v>
                </c:pt>
                <c:pt idx="14">
                  <c:v>2662060.71428571</c:v>
                </c:pt>
                <c:pt idx="15">
                  <c:v>2649190.57142857</c:v>
                </c:pt>
                <c:pt idx="16">
                  <c:v>2602128</c:v>
                </c:pt>
                <c:pt idx="17">
                  <c:v>2609360.71428571</c:v>
                </c:pt>
                <c:pt idx="18">
                  <c:v>2592816.42857143</c:v>
                </c:pt>
                <c:pt idx="19">
                  <c:v>2594714.42857143</c:v>
                </c:pt>
                <c:pt idx="20">
                  <c:v>2594652.57142857</c:v>
                </c:pt>
                <c:pt idx="21">
                  <c:v>2589292</c:v>
                </c:pt>
                <c:pt idx="22">
                  <c:v>2590315.85714286</c:v>
                </c:pt>
                <c:pt idx="23">
                  <c:v>2626626.71428571</c:v>
                </c:pt>
                <c:pt idx="24">
                  <c:v>2626508</c:v>
                </c:pt>
                <c:pt idx="25">
                  <c:v>2566534.42857143</c:v>
                </c:pt>
                <c:pt idx="26">
                  <c:v>2571577.42857143</c:v>
                </c:pt>
                <c:pt idx="27">
                  <c:v>2567905.85714286</c:v>
                </c:pt>
                <c:pt idx="28">
                  <c:v>2551386.57142857</c:v>
                </c:pt>
                <c:pt idx="29">
                  <c:v>2528897.71428571</c:v>
                </c:pt>
                <c:pt idx="30">
                  <c:v>2517864.28571429</c:v>
                </c:pt>
                <c:pt idx="31">
                  <c:v>2517862.14285714</c:v>
                </c:pt>
                <c:pt idx="32">
                  <c:v>2550385.85714286</c:v>
                </c:pt>
                <c:pt idx="33">
                  <c:v>2533210.14285714</c:v>
                </c:pt>
                <c:pt idx="34">
                  <c:v>2530641.57142857</c:v>
                </c:pt>
                <c:pt idx="35">
                  <c:v>2555613.14285714</c:v>
                </c:pt>
                <c:pt idx="36">
                  <c:v>2591724.42857143</c:v>
                </c:pt>
                <c:pt idx="37">
                  <c:v>2599967</c:v>
                </c:pt>
                <c:pt idx="38">
                  <c:v>2590136</c:v>
                </c:pt>
                <c:pt idx="39">
                  <c:v>2621497.71428571</c:v>
                </c:pt>
                <c:pt idx="40">
                  <c:v>2640184.85714286</c:v>
                </c:pt>
                <c:pt idx="41">
                  <c:v>2659212.42857143</c:v>
                </c:pt>
                <c:pt idx="42">
                  <c:v>2656829.71428571</c:v>
                </c:pt>
                <c:pt idx="43">
                  <c:v>2656139.28571429</c:v>
                </c:pt>
                <c:pt idx="44">
                  <c:v>2651600.28571429</c:v>
                </c:pt>
                <c:pt idx="45">
                  <c:v>2638378.57142857</c:v>
                </c:pt>
                <c:pt idx="46">
                  <c:v>2645768.28571429</c:v>
                </c:pt>
                <c:pt idx="47">
                  <c:v>2654061.71428571</c:v>
                </c:pt>
                <c:pt idx="48">
                  <c:v>2651103.42857143</c:v>
                </c:pt>
                <c:pt idx="49">
                  <c:v>2679186.71428571</c:v>
                </c:pt>
                <c:pt idx="50">
                  <c:v>2737008.14285714</c:v>
                </c:pt>
                <c:pt idx="51">
                  <c:v>2729825.42857143</c:v>
                </c:pt>
                <c:pt idx="52">
                  <c:v>2761034</c:v>
                </c:pt>
                <c:pt idx="53">
                  <c:v>2736030.14285714</c:v>
                </c:pt>
                <c:pt idx="54">
                  <c:v>2710162</c:v>
                </c:pt>
                <c:pt idx="55">
                  <c:v>2692281</c:v>
                </c:pt>
                <c:pt idx="56">
                  <c:v>2674090.28571429</c:v>
                </c:pt>
                <c:pt idx="57">
                  <c:v>2621453</c:v>
                </c:pt>
                <c:pt idx="58">
                  <c:v>2658531.14285714</c:v>
                </c:pt>
                <c:pt idx="59">
                  <c:v>2652157.28571429</c:v>
                </c:pt>
                <c:pt idx="60">
                  <c:v>2650841</c:v>
                </c:pt>
                <c:pt idx="61">
                  <c:v>2649376.28571429</c:v>
                </c:pt>
                <c:pt idx="62">
                  <c:v>2675999.14285714</c:v>
                </c:pt>
                <c:pt idx="63">
                  <c:v>2727644.71428571</c:v>
                </c:pt>
                <c:pt idx="64">
                  <c:v>2780426</c:v>
                </c:pt>
                <c:pt idx="65">
                  <c:v>2770596.71428571</c:v>
                </c:pt>
                <c:pt idx="66">
                  <c:v>2781848.71428571</c:v>
                </c:pt>
                <c:pt idx="67">
                  <c:v>2816392.57142857</c:v>
                </c:pt>
                <c:pt idx="68">
                  <c:v>2859635</c:v>
                </c:pt>
                <c:pt idx="69">
                  <c:v>2872618.71428571</c:v>
                </c:pt>
                <c:pt idx="70">
                  <c:v>2879769</c:v>
                </c:pt>
                <c:pt idx="71">
                  <c:v>2922721</c:v>
                </c:pt>
                <c:pt idx="72">
                  <c:v>2965770.42857143</c:v>
                </c:pt>
                <c:pt idx="73">
                  <c:v>2966120.28571429</c:v>
                </c:pt>
                <c:pt idx="74">
                  <c:v>2931069.57142857</c:v>
                </c:pt>
                <c:pt idx="75">
                  <c:v>2941165.28571429</c:v>
                </c:pt>
                <c:pt idx="76">
                  <c:v>2953709.28571429</c:v>
                </c:pt>
                <c:pt idx="77">
                  <c:v>2983616.28571429</c:v>
                </c:pt>
                <c:pt idx="78">
                  <c:v>2928937.42857143</c:v>
                </c:pt>
                <c:pt idx="79">
                  <c:v>2874328.85714286</c:v>
                </c:pt>
                <c:pt idx="80">
                  <c:v>2886063.85714286</c:v>
                </c:pt>
                <c:pt idx="81">
                  <c:v>2896990.42857143</c:v>
                </c:pt>
                <c:pt idx="82">
                  <c:v>2892046.71428571</c:v>
                </c:pt>
                <c:pt idx="83">
                  <c:v>2886657.85714286</c:v>
                </c:pt>
                <c:pt idx="84">
                  <c:v>2823776.28571429</c:v>
                </c:pt>
                <c:pt idx="85">
                  <c:v>2829934.71428571</c:v>
                </c:pt>
                <c:pt idx="86">
                  <c:v>2827310.85714286</c:v>
                </c:pt>
                <c:pt idx="87">
                  <c:v>2821902.71428571</c:v>
                </c:pt>
                <c:pt idx="88">
                  <c:v>2797905.57142857</c:v>
                </c:pt>
                <c:pt idx="89">
                  <c:v>2447413.42857143</c:v>
                </c:pt>
                <c:pt idx="90">
                  <c:v>2443806.14285714</c:v>
                </c:pt>
                <c:pt idx="91">
                  <c:v>2449785</c:v>
                </c:pt>
                <c:pt idx="92">
                  <c:v>2462086</c:v>
                </c:pt>
                <c:pt idx="93">
                  <c:v>2460395.42857143</c:v>
                </c:pt>
                <c:pt idx="94">
                  <c:v>2466166.14285714</c:v>
                </c:pt>
                <c:pt idx="95">
                  <c:v>2498352.28571429</c:v>
                </c:pt>
                <c:pt idx="96">
                  <c:v>2841905</c:v>
                </c:pt>
                <c:pt idx="97">
                  <c:v>2826263.42857143</c:v>
                </c:pt>
                <c:pt idx="98">
                  <c:v>2826949.85714286</c:v>
                </c:pt>
                <c:pt idx="99">
                  <c:v>2817270.42857143</c:v>
                </c:pt>
                <c:pt idx="100">
                  <c:v>2821911.42857143</c:v>
                </c:pt>
                <c:pt idx="101">
                  <c:v>2815423.85714286</c:v>
                </c:pt>
                <c:pt idx="102">
                  <c:v>2811560.28571429</c:v>
                </c:pt>
                <c:pt idx="103">
                  <c:v>2818717.14285714</c:v>
                </c:pt>
                <c:pt idx="104">
                  <c:v>2807416.71428571</c:v>
                </c:pt>
                <c:pt idx="105">
                  <c:v>2811979.85714286</c:v>
                </c:pt>
                <c:pt idx="106">
                  <c:v>2762411.14285714</c:v>
                </c:pt>
                <c:pt idx="107">
                  <c:v>2745329.42857143</c:v>
                </c:pt>
                <c:pt idx="108">
                  <c:v>2740979.85714286</c:v>
                </c:pt>
                <c:pt idx="109">
                  <c:v>2723437.14285714</c:v>
                </c:pt>
                <c:pt idx="110">
                  <c:v>2675865.57142857</c:v>
                </c:pt>
                <c:pt idx="111">
                  <c:v>2683049</c:v>
                </c:pt>
                <c:pt idx="112">
                  <c:v>2653429.71428571</c:v>
                </c:pt>
                <c:pt idx="113">
                  <c:v>2656927</c:v>
                </c:pt>
                <c:pt idx="114">
                  <c:v>2626910.42857143</c:v>
                </c:pt>
                <c:pt idx="115">
                  <c:v>2619754.71428571</c:v>
                </c:pt>
                <c:pt idx="116">
                  <c:v>2626787.57142857</c:v>
                </c:pt>
                <c:pt idx="117">
                  <c:v>2629695.42857143</c:v>
                </c:pt>
                <c:pt idx="118">
                  <c:v>2606570.71428571</c:v>
                </c:pt>
                <c:pt idx="119">
                  <c:v>2599771</c:v>
                </c:pt>
                <c:pt idx="120">
                  <c:v>2594409.71428571</c:v>
                </c:pt>
                <c:pt idx="121">
                  <c:v>2611354</c:v>
                </c:pt>
                <c:pt idx="122">
                  <c:v>2600468.71428571</c:v>
                </c:pt>
                <c:pt idx="123">
                  <c:v>2618553.57142857</c:v>
                </c:pt>
                <c:pt idx="124">
                  <c:v>2620281</c:v>
                </c:pt>
                <c:pt idx="125">
                  <c:v>2612530</c:v>
                </c:pt>
                <c:pt idx="126">
                  <c:v>2609073.42857143</c:v>
                </c:pt>
                <c:pt idx="127">
                  <c:v>2571718.57142857</c:v>
                </c:pt>
                <c:pt idx="128">
                  <c:v>2475697.85714286</c:v>
                </c:pt>
                <c:pt idx="129">
                  <c:v>2496191.42857143</c:v>
                </c:pt>
                <c:pt idx="130">
                  <c:v>2438560.85714286</c:v>
                </c:pt>
                <c:pt idx="131">
                  <c:v>2437266.42857143</c:v>
                </c:pt>
                <c:pt idx="132">
                  <c:v>2497519.28571429</c:v>
                </c:pt>
                <c:pt idx="133">
                  <c:v>2492599.57142857</c:v>
                </c:pt>
                <c:pt idx="134">
                  <c:v>2517351.14285714</c:v>
                </c:pt>
                <c:pt idx="135">
                  <c:v>2593377.14285714</c:v>
                </c:pt>
                <c:pt idx="136">
                  <c:v>2586744.42857143</c:v>
                </c:pt>
                <c:pt idx="137">
                  <c:v>2634996</c:v>
                </c:pt>
                <c:pt idx="138">
                  <c:v>2649671.71428571</c:v>
                </c:pt>
                <c:pt idx="139">
                  <c:v>2612012.85714286</c:v>
                </c:pt>
                <c:pt idx="140">
                  <c:v>2615626.42857143</c:v>
                </c:pt>
                <c:pt idx="141">
                  <c:v>2626366</c:v>
                </c:pt>
                <c:pt idx="142">
                  <c:v>2639620.71428571</c:v>
                </c:pt>
                <c:pt idx="143">
                  <c:v>2618613</c:v>
                </c:pt>
                <c:pt idx="144">
                  <c:v>2609513.57142857</c:v>
                </c:pt>
                <c:pt idx="145">
                  <c:v>2596065.14285714</c:v>
                </c:pt>
                <c:pt idx="146">
                  <c:v>2568612.42857143</c:v>
                </c:pt>
                <c:pt idx="147">
                  <c:v>2569582.71428571</c:v>
                </c:pt>
                <c:pt idx="148">
                  <c:v>2577034</c:v>
                </c:pt>
                <c:pt idx="149">
                  <c:v>2588596.85714286</c:v>
                </c:pt>
                <c:pt idx="150">
                  <c:v>2591771</c:v>
                </c:pt>
                <c:pt idx="151">
                  <c:v>2622751.14285714</c:v>
                </c:pt>
                <c:pt idx="152">
                  <c:v>2643226.14285714</c:v>
                </c:pt>
                <c:pt idx="153">
                  <c:v>2675812.71428571</c:v>
                </c:pt>
                <c:pt idx="154">
                  <c:v>2678116.14285714</c:v>
                </c:pt>
                <c:pt idx="155">
                  <c:v>2684346.71428571</c:v>
                </c:pt>
                <c:pt idx="156">
                  <c:v>2705978.85714286</c:v>
                </c:pt>
                <c:pt idx="157">
                  <c:v>2710113.14285714</c:v>
                </c:pt>
                <c:pt idx="158">
                  <c:v>2703950.14285714</c:v>
                </c:pt>
                <c:pt idx="159">
                  <c:v>2705789.28571429</c:v>
                </c:pt>
                <c:pt idx="160">
                  <c:v>2691637.28571429</c:v>
                </c:pt>
                <c:pt idx="161">
                  <c:v>2708723</c:v>
                </c:pt>
                <c:pt idx="162">
                  <c:v>2724968.85714286</c:v>
                </c:pt>
                <c:pt idx="163">
                  <c:v>2721613.71428571</c:v>
                </c:pt>
                <c:pt idx="164">
                  <c:v>2726907.57142857</c:v>
                </c:pt>
                <c:pt idx="165">
                  <c:v>2725527.85714286</c:v>
                </c:pt>
                <c:pt idx="166">
                  <c:v>2729454.42857143</c:v>
                </c:pt>
                <c:pt idx="167">
                  <c:v>2749819.14285714</c:v>
                </c:pt>
                <c:pt idx="168">
                  <c:v>2743171.71428571</c:v>
                </c:pt>
                <c:pt idx="169">
                  <c:v>2755090.85714286</c:v>
                </c:pt>
                <c:pt idx="170">
                  <c:v>2743379.14285714</c:v>
                </c:pt>
                <c:pt idx="171">
                  <c:v>2752602.28571429</c:v>
                </c:pt>
                <c:pt idx="172">
                  <c:v>2747279.14285714</c:v>
                </c:pt>
                <c:pt idx="173">
                  <c:v>2751223.85714286</c:v>
                </c:pt>
                <c:pt idx="174">
                  <c:v>2726374</c:v>
                </c:pt>
                <c:pt idx="175">
                  <c:v>2712346.85714286</c:v>
                </c:pt>
                <c:pt idx="176">
                  <c:v>2673589.14285714</c:v>
                </c:pt>
                <c:pt idx="177">
                  <c:v>2652214</c:v>
                </c:pt>
                <c:pt idx="178">
                  <c:v>2645018.57142857</c:v>
                </c:pt>
                <c:pt idx="179">
                  <c:v>2667473.85714286</c:v>
                </c:pt>
                <c:pt idx="180">
                  <c:v>2657408.28571429</c:v>
                </c:pt>
                <c:pt idx="181">
                  <c:v>2688837.42857143</c:v>
                </c:pt>
                <c:pt idx="182">
                  <c:v>2704120.57142857</c:v>
                </c:pt>
                <c:pt idx="183">
                  <c:v>2721203.42857143</c:v>
                </c:pt>
                <c:pt idx="184">
                  <c:v>2737796.57142857</c:v>
                </c:pt>
                <c:pt idx="185">
                  <c:v>2737532</c:v>
                </c:pt>
                <c:pt idx="186">
                  <c:v>2695368.85714286</c:v>
                </c:pt>
                <c:pt idx="187">
                  <c:v>2391643</c:v>
                </c:pt>
                <c:pt idx="188">
                  <c:v>2387102.14285714</c:v>
                </c:pt>
                <c:pt idx="189">
                  <c:v>2406863.57142857</c:v>
                </c:pt>
                <c:pt idx="190">
                  <c:v>2424598.85714286</c:v>
                </c:pt>
                <c:pt idx="191">
                  <c:v>2435999.28571429</c:v>
                </c:pt>
                <c:pt idx="192">
                  <c:v>2440474.57142857</c:v>
                </c:pt>
                <c:pt idx="193">
                  <c:v>2491422.42857143</c:v>
                </c:pt>
                <c:pt idx="194">
                  <c:v>2812489</c:v>
                </c:pt>
                <c:pt idx="195">
                  <c:v>2846481.28571429</c:v>
                </c:pt>
                <c:pt idx="196">
                  <c:v>2891508.57142857</c:v>
                </c:pt>
                <c:pt idx="197">
                  <c:v>2940800.71428571</c:v>
                </c:pt>
                <c:pt idx="198">
                  <c:v>2920141.85714286</c:v>
                </c:pt>
                <c:pt idx="199">
                  <c:v>2912388.71428571</c:v>
                </c:pt>
                <c:pt idx="200">
                  <c:v>2910002.71428571</c:v>
                </c:pt>
                <c:pt idx="201">
                  <c:v>2909938</c:v>
                </c:pt>
                <c:pt idx="202">
                  <c:v>2873397.14285714</c:v>
                </c:pt>
                <c:pt idx="203">
                  <c:v>2859834.71428571</c:v>
                </c:pt>
                <c:pt idx="204">
                  <c:v>2790957.14285714</c:v>
                </c:pt>
                <c:pt idx="205">
                  <c:v>2799795</c:v>
                </c:pt>
                <c:pt idx="206">
                  <c:v>2800656.42857143</c:v>
                </c:pt>
                <c:pt idx="207">
                  <c:v>2776540.28571429</c:v>
                </c:pt>
                <c:pt idx="208">
                  <c:v>2746457.28571429</c:v>
                </c:pt>
                <c:pt idx="209">
                  <c:v>2729497.28571429</c:v>
                </c:pt>
                <c:pt idx="210">
                  <c:v>2698630.28571429</c:v>
                </c:pt>
                <c:pt idx="211">
                  <c:v>2718890</c:v>
                </c:pt>
                <c:pt idx="212">
                  <c:v>2733107.28571429</c:v>
                </c:pt>
                <c:pt idx="213">
                  <c:v>2733692.85714286</c:v>
                </c:pt>
                <c:pt idx="214">
                  <c:v>2718355.85714286</c:v>
                </c:pt>
                <c:pt idx="215">
                  <c:v>2693505.57142857</c:v>
                </c:pt>
                <c:pt idx="216">
                  <c:v>2706688</c:v>
                </c:pt>
                <c:pt idx="217">
                  <c:v>2711941.28571429</c:v>
                </c:pt>
                <c:pt idx="218">
                  <c:v>2679745.42857143</c:v>
                </c:pt>
                <c:pt idx="219">
                  <c:v>2658094.71428571</c:v>
                </c:pt>
                <c:pt idx="220">
                  <c:v>2656264.28571429</c:v>
                </c:pt>
                <c:pt idx="221">
                  <c:v>2677357.85714286</c:v>
                </c:pt>
                <c:pt idx="222">
                  <c:v>2706167.28571429</c:v>
                </c:pt>
                <c:pt idx="223">
                  <c:v>2721113.57142857</c:v>
                </c:pt>
                <c:pt idx="224">
                  <c:v>2733148.14285714</c:v>
                </c:pt>
                <c:pt idx="225">
                  <c:v>2769271.42857143</c:v>
                </c:pt>
                <c:pt idx="226">
                  <c:v>2784291.57142857</c:v>
                </c:pt>
                <c:pt idx="227">
                  <c:v>2794538.14285714</c:v>
                </c:pt>
                <c:pt idx="228">
                  <c:v>2797872.57142857</c:v>
                </c:pt>
                <c:pt idx="229">
                  <c:v>2808933.14285714</c:v>
                </c:pt>
                <c:pt idx="230">
                  <c:v>2825566.57142857</c:v>
                </c:pt>
                <c:pt idx="231">
                  <c:v>2809830</c:v>
                </c:pt>
                <c:pt idx="232">
                  <c:v>2839829</c:v>
                </c:pt>
                <c:pt idx="233">
                  <c:v>2839503.71428571</c:v>
                </c:pt>
                <c:pt idx="234">
                  <c:v>2795942.85714286</c:v>
                </c:pt>
                <c:pt idx="235">
                  <c:v>2821006.14285714</c:v>
                </c:pt>
                <c:pt idx="236">
                  <c:v>2841264</c:v>
                </c:pt>
                <c:pt idx="237">
                  <c:v>2802176.71428571</c:v>
                </c:pt>
                <c:pt idx="238">
                  <c:v>2841041.42857143</c:v>
                </c:pt>
                <c:pt idx="239">
                  <c:v>2805610.28571429</c:v>
                </c:pt>
                <c:pt idx="240">
                  <c:v>2973865.42857143</c:v>
                </c:pt>
                <c:pt idx="241">
                  <c:v>3077991.14285714</c:v>
                </c:pt>
                <c:pt idx="242">
                  <c:v>3158088.28571429</c:v>
                </c:pt>
                <c:pt idx="243">
                  <c:v>3268278.85714286</c:v>
                </c:pt>
                <c:pt idx="244">
                  <c:v>3410197.28571429</c:v>
                </c:pt>
                <c:pt idx="245">
                  <c:v>3567457.71428571</c:v>
                </c:pt>
                <c:pt idx="246">
                  <c:v>3672753.85714286</c:v>
                </c:pt>
                <c:pt idx="247">
                  <c:v>3621633.42857143</c:v>
                </c:pt>
                <c:pt idx="248">
                  <c:v>3609295.57142857</c:v>
                </c:pt>
                <c:pt idx="249">
                  <c:v>3652714</c:v>
                </c:pt>
                <c:pt idx="250">
                  <c:v>3691994.71428571</c:v>
                </c:pt>
                <c:pt idx="251">
                  <c:v>3709698.28571429</c:v>
                </c:pt>
                <c:pt idx="252">
                  <c:v>3645979.28571429</c:v>
                </c:pt>
                <c:pt idx="253">
                  <c:v>3753181.28571429</c:v>
                </c:pt>
                <c:pt idx="254">
                  <c:v>3992644.14285714</c:v>
                </c:pt>
                <c:pt idx="255">
                  <c:v>4044513.71428571</c:v>
                </c:pt>
                <c:pt idx="256">
                  <c:v>4064020</c:v>
                </c:pt>
                <c:pt idx="257">
                  <c:v>4074671.14285714</c:v>
                </c:pt>
                <c:pt idx="258">
                  <c:v>4072776.85714286</c:v>
                </c:pt>
                <c:pt idx="259">
                  <c:v>4023504</c:v>
                </c:pt>
                <c:pt idx="260">
                  <c:v>3952771.42857143</c:v>
                </c:pt>
                <c:pt idx="261">
                  <c:v>3905719.57142857</c:v>
                </c:pt>
                <c:pt idx="262">
                  <c:v>3899174</c:v>
                </c:pt>
                <c:pt idx="263">
                  <c:v>3932957.85714286</c:v>
                </c:pt>
                <c:pt idx="264">
                  <c:v>3959524.42857143</c:v>
                </c:pt>
                <c:pt idx="265">
                  <c:v>3984006.57142857</c:v>
                </c:pt>
                <c:pt idx="266">
                  <c:v>4061940</c:v>
                </c:pt>
                <c:pt idx="267">
                  <c:v>4049552.85714286</c:v>
                </c:pt>
                <c:pt idx="268">
                  <c:v>3964496.57142857</c:v>
                </c:pt>
                <c:pt idx="269">
                  <c:v>3905158.71428571</c:v>
                </c:pt>
                <c:pt idx="270">
                  <c:v>3808729.71428571</c:v>
                </c:pt>
                <c:pt idx="271">
                  <c:v>3726279.71428571</c:v>
                </c:pt>
                <c:pt idx="272">
                  <c:v>3661356.42857143</c:v>
                </c:pt>
                <c:pt idx="273">
                  <c:v>3640686.14285714</c:v>
                </c:pt>
                <c:pt idx="274">
                  <c:v>3317792.42857143</c:v>
                </c:pt>
                <c:pt idx="275">
                  <c:v>3120355.28571429</c:v>
                </c:pt>
                <c:pt idx="276">
                  <c:v>3125240.28571429</c:v>
                </c:pt>
                <c:pt idx="277">
                  <c:v>3119480.71428571</c:v>
                </c:pt>
                <c:pt idx="278">
                  <c:v>3118033.28571429</c:v>
                </c:pt>
                <c:pt idx="279">
                  <c:v>3208151.71428571</c:v>
                </c:pt>
                <c:pt idx="280">
                  <c:v>3283237.28571429</c:v>
                </c:pt>
                <c:pt idx="281">
                  <c:v>3688480.71428571</c:v>
                </c:pt>
                <c:pt idx="282">
                  <c:v>3800353.71428571</c:v>
                </c:pt>
                <c:pt idx="283">
                  <c:v>3813947.71428571</c:v>
                </c:pt>
                <c:pt idx="284">
                  <c:v>3854343.85714286</c:v>
                </c:pt>
                <c:pt idx="285">
                  <c:v>3973659.42857143</c:v>
                </c:pt>
                <c:pt idx="286">
                  <c:v>4027625.85714286</c:v>
                </c:pt>
                <c:pt idx="287">
                  <c:v>3986980.71428571</c:v>
                </c:pt>
                <c:pt idx="288">
                  <c:v>3960577.71428571</c:v>
                </c:pt>
                <c:pt idx="289">
                  <c:v>3942657.85714286</c:v>
                </c:pt>
                <c:pt idx="290">
                  <c:v>3925285.57142857</c:v>
                </c:pt>
                <c:pt idx="291">
                  <c:v>3987730.85714286</c:v>
                </c:pt>
                <c:pt idx="292">
                  <c:v>3940163.42857143</c:v>
                </c:pt>
                <c:pt idx="293">
                  <c:v>3913788.14285714</c:v>
                </c:pt>
                <c:pt idx="294">
                  <c:v>3932096.57142857</c:v>
                </c:pt>
                <c:pt idx="295">
                  <c:v>3951016.14285714</c:v>
                </c:pt>
                <c:pt idx="296">
                  <c:v>3943503.71428571</c:v>
                </c:pt>
                <c:pt idx="297">
                  <c:v>3987511.57142857</c:v>
                </c:pt>
                <c:pt idx="298">
                  <c:v>3924554.71428571</c:v>
                </c:pt>
                <c:pt idx="299">
                  <c:v>3882770.57142857</c:v>
                </c:pt>
                <c:pt idx="300">
                  <c:v>3817547.71428571</c:v>
                </c:pt>
                <c:pt idx="301">
                  <c:v>3481304.42857143</c:v>
                </c:pt>
                <c:pt idx="302">
                  <c:v>3084235.14285714</c:v>
                </c:pt>
                <c:pt idx="303">
                  <c:v>3053501.14285714</c:v>
                </c:pt>
                <c:pt idx="304">
                  <c:v>3060079.85714286</c:v>
                </c:pt>
                <c:pt idx="305">
                  <c:v>3144150.42857143</c:v>
                </c:pt>
                <c:pt idx="306">
                  <c:v>3184663.71428571</c:v>
                </c:pt>
                <c:pt idx="307">
                  <c:v>3213914.14285714</c:v>
                </c:pt>
                <c:pt idx="308">
                  <c:v>3224191.85714286</c:v>
                </c:pt>
                <c:pt idx="309">
                  <c:v>3221427.14285714</c:v>
                </c:pt>
                <c:pt idx="310">
                  <c:v>3341190.71428571</c:v>
                </c:pt>
                <c:pt idx="311">
                  <c:v>3337250.28571429</c:v>
                </c:pt>
                <c:pt idx="312">
                  <c:v>3282128.42857143</c:v>
                </c:pt>
                <c:pt idx="313">
                  <c:v>3357644.85714286</c:v>
                </c:pt>
                <c:pt idx="314">
                  <c:v>3447307</c:v>
                </c:pt>
                <c:pt idx="315">
                  <c:v>3844375</c:v>
                </c:pt>
                <c:pt idx="316">
                  <c:v>4302727.14285714</c:v>
                </c:pt>
                <c:pt idx="317">
                  <c:v>4392673.42857143</c:v>
                </c:pt>
                <c:pt idx="318">
                  <c:v>4348297.42857143</c:v>
                </c:pt>
                <c:pt idx="319">
                  <c:v>4372140</c:v>
                </c:pt>
                <c:pt idx="320">
                  <c:v>4318663.28571429</c:v>
                </c:pt>
                <c:pt idx="321">
                  <c:v>4306898.71428572</c:v>
                </c:pt>
                <c:pt idx="322">
                  <c:v>4266616.71428572</c:v>
                </c:pt>
                <c:pt idx="323">
                  <c:v>4243685.28571429</c:v>
                </c:pt>
                <c:pt idx="324">
                  <c:v>4108058.42857143</c:v>
                </c:pt>
                <c:pt idx="325">
                  <c:v>4179093.42857143</c:v>
                </c:pt>
                <c:pt idx="326">
                  <c:v>4187497.71428571</c:v>
                </c:pt>
                <c:pt idx="327">
                  <c:v>4219673.85714286</c:v>
                </c:pt>
                <c:pt idx="328">
                  <c:v>4197919.85714286</c:v>
                </c:pt>
                <c:pt idx="329">
                  <c:v>4149162.14285714</c:v>
                </c:pt>
                <c:pt idx="330">
                  <c:v>4072273.28571429</c:v>
                </c:pt>
                <c:pt idx="331">
                  <c:v>4035924.14285714</c:v>
                </c:pt>
                <c:pt idx="332">
                  <c:v>4011254.14285714</c:v>
                </c:pt>
                <c:pt idx="333">
                  <c:v>3975350.57142857</c:v>
                </c:pt>
                <c:pt idx="334">
                  <c:v>3953503.57142857</c:v>
                </c:pt>
                <c:pt idx="335">
                  <c:v>3936061.71428571</c:v>
                </c:pt>
                <c:pt idx="336">
                  <c:v>3937186.57142857</c:v>
                </c:pt>
                <c:pt idx="337">
                  <c:v>3975919.28571429</c:v>
                </c:pt>
                <c:pt idx="338">
                  <c:v>3969901.71428571</c:v>
                </c:pt>
                <c:pt idx="339">
                  <c:v>3946769.71428571</c:v>
                </c:pt>
                <c:pt idx="340">
                  <c:v>3968880.42857143</c:v>
                </c:pt>
                <c:pt idx="341">
                  <c:v>3976967</c:v>
                </c:pt>
                <c:pt idx="342">
                  <c:v>3996852.57142857</c:v>
                </c:pt>
                <c:pt idx="343">
                  <c:v>4016012.85714286</c:v>
                </c:pt>
                <c:pt idx="344">
                  <c:v>4003437.14285714</c:v>
                </c:pt>
                <c:pt idx="345">
                  <c:v>4027651.71428571</c:v>
                </c:pt>
                <c:pt idx="346">
                  <c:v>4007865</c:v>
                </c:pt>
                <c:pt idx="347">
                  <c:v>3957421.71428571</c:v>
                </c:pt>
                <c:pt idx="348">
                  <c:v>3919036.28571429</c:v>
                </c:pt>
                <c:pt idx="349">
                  <c:v>3891813.71428571</c:v>
                </c:pt>
                <c:pt idx="350">
                  <c:v>3895578.14285714</c:v>
                </c:pt>
                <c:pt idx="351">
                  <c:v>3918668.28571429</c:v>
                </c:pt>
                <c:pt idx="352">
                  <c:v>3917940.42857143</c:v>
                </c:pt>
                <c:pt idx="353">
                  <c:v>3916436.85714286</c:v>
                </c:pt>
                <c:pt idx="354">
                  <c:v>3959992</c:v>
                </c:pt>
                <c:pt idx="355">
                  <c:v>3976036.28571429</c:v>
                </c:pt>
                <c:pt idx="356">
                  <c:v>3969050.28571429</c:v>
                </c:pt>
                <c:pt idx="357">
                  <c:v>3967816.14285714</c:v>
                </c:pt>
                <c:pt idx="358">
                  <c:v>3967640</c:v>
                </c:pt>
                <c:pt idx="359">
                  <c:v>3980966.14285714</c:v>
                </c:pt>
                <c:pt idx="360">
                  <c:v>4035233.42857143</c:v>
                </c:pt>
                <c:pt idx="361">
                  <c:v>3982766.14285714</c:v>
                </c:pt>
                <c:pt idx="362">
                  <c:v>3969992.71428571</c:v>
                </c:pt>
                <c:pt idx="363">
                  <c:v>3985027.71428571</c:v>
                </c:pt>
                <c:pt idx="364">
                  <c:v>3965682.85714286</c:v>
                </c:pt>
                <c:pt idx="365">
                  <c:v>3376013.71428571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'Daily Velocity'!$E$3</c:f>
              <c:strCache>
                <c:ptCount val="1"/>
                <c:pt idx="0">
                  <c:v>30-Day Moving Avg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'Daily Velocity'!$A$4:$A$369</c:f>
              <c:numCache>
                <c:formatCode>yyyy\-mm\-dd</c:formatCode>
                <c:ptCount val="366"/>
                <c:pt idx="0">
                  <c:v>45714</c:v>
                </c:pt>
                <c:pt idx="1">
                  <c:v>45715</c:v>
                </c:pt>
                <c:pt idx="2">
                  <c:v>45716</c:v>
                </c:pt>
                <c:pt idx="3">
                  <c:v>45717</c:v>
                </c:pt>
                <c:pt idx="4">
                  <c:v>45718</c:v>
                </c:pt>
                <c:pt idx="5">
                  <c:v>45719</c:v>
                </c:pt>
                <c:pt idx="6">
                  <c:v>45720</c:v>
                </c:pt>
                <c:pt idx="7">
                  <c:v>45721</c:v>
                </c:pt>
                <c:pt idx="8">
                  <c:v>45722</c:v>
                </c:pt>
                <c:pt idx="9">
                  <c:v>45723</c:v>
                </c:pt>
                <c:pt idx="10">
                  <c:v>45724</c:v>
                </c:pt>
                <c:pt idx="11">
                  <c:v>45725</c:v>
                </c:pt>
                <c:pt idx="12">
                  <c:v>45726</c:v>
                </c:pt>
                <c:pt idx="13">
                  <c:v>45727</c:v>
                </c:pt>
                <c:pt idx="14">
                  <c:v>45728</c:v>
                </c:pt>
                <c:pt idx="15">
                  <c:v>45729</c:v>
                </c:pt>
                <c:pt idx="16">
                  <c:v>45730</c:v>
                </c:pt>
                <c:pt idx="17">
                  <c:v>45731</c:v>
                </c:pt>
                <c:pt idx="18">
                  <c:v>45732</c:v>
                </c:pt>
                <c:pt idx="19">
                  <c:v>45733</c:v>
                </c:pt>
                <c:pt idx="20">
                  <c:v>45734</c:v>
                </c:pt>
                <c:pt idx="21">
                  <c:v>45735</c:v>
                </c:pt>
                <c:pt idx="22">
                  <c:v>45736</c:v>
                </c:pt>
                <c:pt idx="23">
                  <c:v>45737</c:v>
                </c:pt>
                <c:pt idx="24">
                  <c:v>45738</c:v>
                </c:pt>
                <c:pt idx="25">
                  <c:v>45739</c:v>
                </c:pt>
                <c:pt idx="26">
                  <c:v>45740</c:v>
                </c:pt>
                <c:pt idx="27">
                  <c:v>45741</c:v>
                </c:pt>
                <c:pt idx="28">
                  <c:v>45742</c:v>
                </c:pt>
                <c:pt idx="29">
                  <c:v>45743</c:v>
                </c:pt>
                <c:pt idx="30">
                  <c:v>45744</c:v>
                </c:pt>
                <c:pt idx="31">
                  <c:v>45745</c:v>
                </c:pt>
                <c:pt idx="32">
                  <c:v>45746</c:v>
                </c:pt>
                <c:pt idx="33">
                  <c:v>45747</c:v>
                </c:pt>
                <c:pt idx="34">
                  <c:v>45748</c:v>
                </c:pt>
                <c:pt idx="35">
                  <c:v>45749</c:v>
                </c:pt>
                <c:pt idx="36">
                  <c:v>45750</c:v>
                </c:pt>
                <c:pt idx="37">
                  <c:v>45751</c:v>
                </c:pt>
                <c:pt idx="38">
                  <c:v>45752</c:v>
                </c:pt>
                <c:pt idx="39">
                  <c:v>45753</c:v>
                </c:pt>
                <c:pt idx="40">
                  <c:v>45754</c:v>
                </c:pt>
                <c:pt idx="41">
                  <c:v>45755</c:v>
                </c:pt>
                <c:pt idx="42">
                  <c:v>45756</c:v>
                </c:pt>
                <c:pt idx="43">
                  <c:v>45757</c:v>
                </c:pt>
                <c:pt idx="44">
                  <c:v>45758</c:v>
                </c:pt>
                <c:pt idx="45">
                  <c:v>45759</c:v>
                </c:pt>
                <c:pt idx="46">
                  <c:v>45760</c:v>
                </c:pt>
                <c:pt idx="47">
                  <c:v>45761</c:v>
                </c:pt>
                <c:pt idx="48">
                  <c:v>45762</c:v>
                </c:pt>
                <c:pt idx="49">
                  <c:v>45763</c:v>
                </c:pt>
                <c:pt idx="50">
                  <c:v>45764</c:v>
                </c:pt>
                <c:pt idx="51">
                  <c:v>45765</c:v>
                </c:pt>
                <c:pt idx="52">
                  <c:v>45766</c:v>
                </c:pt>
                <c:pt idx="53">
                  <c:v>45767</c:v>
                </c:pt>
                <c:pt idx="54">
                  <c:v>45768</c:v>
                </c:pt>
                <c:pt idx="55">
                  <c:v>45769</c:v>
                </c:pt>
                <c:pt idx="56">
                  <c:v>45770</c:v>
                </c:pt>
                <c:pt idx="57">
                  <c:v>45771</c:v>
                </c:pt>
                <c:pt idx="58">
                  <c:v>45772</c:v>
                </c:pt>
                <c:pt idx="59">
                  <c:v>45773</c:v>
                </c:pt>
                <c:pt idx="60">
                  <c:v>45774</c:v>
                </c:pt>
                <c:pt idx="61">
                  <c:v>45775</c:v>
                </c:pt>
                <c:pt idx="62">
                  <c:v>45776</c:v>
                </c:pt>
                <c:pt idx="63">
                  <c:v>45777</c:v>
                </c:pt>
                <c:pt idx="64">
                  <c:v>45778</c:v>
                </c:pt>
                <c:pt idx="65">
                  <c:v>45779</c:v>
                </c:pt>
                <c:pt idx="66">
                  <c:v>45780</c:v>
                </c:pt>
                <c:pt idx="67">
                  <c:v>45781</c:v>
                </c:pt>
                <c:pt idx="68">
                  <c:v>45782</c:v>
                </c:pt>
                <c:pt idx="69">
                  <c:v>45783</c:v>
                </c:pt>
                <c:pt idx="70">
                  <c:v>45784</c:v>
                </c:pt>
                <c:pt idx="71">
                  <c:v>45785</c:v>
                </c:pt>
                <c:pt idx="72">
                  <c:v>45786</c:v>
                </c:pt>
                <c:pt idx="73">
                  <c:v>45787</c:v>
                </c:pt>
                <c:pt idx="74">
                  <c:v>45788</c:v>
                </c:pt>
                <c:pt idx="75">
                  <c:v>45789</c:v>
                </c:pt>
                <c:pt idx="76">
                  <c:v>45790</c:v>
                </c:pt>
                <c:pt idx="77">
                  <c:v>45791</c:v>
                </c:pt>
                <c:pt idx="78">
                  <c:v>45792</c:v>
                </c:pt>
                <c:pt idx="79">
                  <c:v>45793</c:v>
                </c:pt>
                <c:pt idx="80">
                  <c:v>45794</c:v>
                </c:pt>
                <c:pt idx="81">
                  <c:v>45795</c:v>
                </c:pt>
                <c:pt idx="82">
                  <c:v>45796</c:v>
                </c:pt>
                <c:pt idx="83">
                  <c:v>45797</c:v>
                </c:pt>
                <c:pt idx="84">
                  <c:v>45798</c:v>
                </c:pt>
                <c:pt idx="85">
                  <c:v>45799</c:v>
                </c:pt>
                <c:pt idx="86">
                  <c:v>45800</c:v>
                </c:pt>
                <c:pt idx="87">
                  <c:v>45801</c:v>
                </c:pt>
                <c:pt idx="88">
                  <c:v>45802</c:v>
                </c:pt>
                <c:pt idx="89">
                  <c:v>45803</c:v>
                </c:pt>
                <c:pt idx="90">
                  <c:v>45804</c:v>
                </c:pt>
                <c:pt idx="91">
                  <c:v>45805</c:v>
                </c:pt>
                <c:pt idx="92">
                  <c:v>45806</c:v>
                </c:pt>
                <c:pt idx="93">
                  <c:v>45807</c:v>
                </c:pt>
                <c:pt idx="94">
                  <c:v>45808</c:v>
                </c:pt>
                <c:pt idx="95">
                  <c:v>45809</c:v>
                </c:pt>
                <c:pt idx="96">
                  <c:v>45810</c:v>
                </c:pt>
                <c:pt idx="97">
                  <c:v>45811</c:v>
                </c:pt>
                <c:pt idx="98">
                  <c:v>45812</c:v>
                </c:pt>
                <c:pt idx="99">
                  <c:v>45813</c:v>
                </c:pt>
                <c:pt idx="100">
                  <c:v>45814</c:v>
                </c:pt>
                <c:pt idx="101">
                  <c:v>45815</c:v>
                </c:pt>
                <c:pt idx="102">
                  <c:v>45816</c:v>
                </c:pt>
                <c:pt idx="103">
                  <c:v>45817</c:v>
                </c:pt>
                <c:pt idx="104">
                  <c:v>45818</c:v>
                </c:pt>
                <c:pt idx="105">
                  <c:v>45819</c:v>
                </c:pt>
                <c:pt idx="106">
                  <c:v>45820</c:v>
                </c:pt>
                <c:pt idx="107">
                  <c:v>45821</c:v>
                </c:pt>
                <c:pt idx="108">
                  <c:v>45822</c:v>
                </c:pt>
                <c:pt idx="109">
                  <c:v>45823</c:v>
                </c:pt>
                <c:pt idx="110">
                  <c:v>45824</c:v>
                </c:pt>
                <c:pt idx="111">
                  <c:v>45825</c:v>
                </c:pt>
                <c:pt idx="112">
                  <c:v>45826</c:v>
                </c:pt>
                <c:pt idx="113">
                  <c:v>45827</c:v>
                </c:pt>
                <c:pt idx="114">
                  <c:v>45828</c:v>
                </c:pt>
                <c:pt idx="115">
                  <c:v>45829</c:v>
                </c:pt>
                <c:pt idx="116">
                  <c:v>45830</c:v>
                </c:pt>
                <c:pt idx="117">
                  <c:v>45831</c:v>
                </c:pt>
                <c:pt idx="118">
                  <c:v>45832</c:v>
                </c:pt>
                <c:pt idx="119">
                  <c:v>45833</c:v>
                </c:pt>
                <c:pt idx="120">
                  <c:v>45834</c:v>
                </c:pt>
                <c:pt idx="121">
                  <c:v>45835</c:v>
                </c:pt>
                <c:pt idx="122">
                  <c:v>45836</c:v>
                </c:pt>
                <c:pt idx="123">
                  <c:v>45837</c:v>
                </c:pt>
                <c:pt idx="124">
                  <c:v>45838</c:v>
                </c:pt>
                <c:pt idx="125">
                  <c:v>45839</c:v>
                </c:pt>
                <c:pt idx="126">
                  <c:v>45840</c:v>
                </c:pt>
                <c:pt idx="127">
                  <c:v>45841</c:v>
                </c:pt>
                <c:pt idx="128">
                  <c:v>45842</c:v>
                </c:pt>
                <c:pt idx="129">
                  <c:v>45843</c:v>
                </c:pt>
                <c:pt idx="130">
                  <c:v>45844</c:v>
                </c:pt>
                <c:pt idx="131">
                  <c:v>45845</c:v>
                </c:pt>
                <c:pt idx="132">
                  <c:v>45846</c:v>
                </c:pt>
                <c:pt idx="133">
                  <c:v>45847</c:v>
                </c:pt>
                <c:pt idx="134">
                  <c:v>45848</c:v>
                </c:pt>
                <c:pt idx="135">
                  <c:v>45849</c:v>
                </c:pt>
                <c:pt idx="136">
                  <c:v>45850</c:v>
                </c:pt>
                <c:pt idx="137">
                  <c:v>45851</c:v>
                </c:pt>
                <c:pt idx="138">
                  <c:v>45852</c:v>
                </c:pt>
                <c:pt idx="139">
                  <c:v>45853</c:v>
                </c:pt>
                <c:pt idx="140">
                  <c:v>45854</c:v>
                </c:pt>
                <c:pt idx="141">
                  <c:v>45855</c:v>
                </c:pt>
                <c:pt idx="142">
                  <c:v>45856</c:v>
                </c:pt>
                <c:pt idx="143">
                  <c:v>45857</c:v>
                </c:pt>
                <c:pt idx="144">
                  <c:v>45858</c:v>
                </c:pt>
                <c:pt idx="145">
                  <c:v>45859</c:v>
                </c:pt>
                <c:pt idx="146">
                  <c:v>45860</c:v>
                </c:pt>
                <c:pt idx="147">
                  <c:v>45861</c:v>
                </c:pt>
                <c:pt idx="148">
                  <c:v>45862</c:v>
                </c:pt>
                <c:pt idx="149">
                  <c:v>45863</c:v>
                </c:pt>
                <c:pt idx="150">
                  <c:v>45864</c:v>
                </c:pt>
                <c:pt idx="151">
                  <c:v>45865</c:v>
                </c:pt>
                <c:pt idx="152">
                  <c:v>45866</c:v>
                </c:pt>
                <c:pt idx="153">
                  <c:v>45867</c:v>
                </c:pt>
                <c:pt idx="154">
                  <c:v>45868</c:v>
                </c:pt>
                <c:pt idx="155">
                  <c:v>45869</c:v>
                </c:pt>
                <c:pt idx="156">
                  <c:v>45870</c:v>
                </c:pt>
                <c:pt idx="157">
                  <c:v>45871</c:v>
                </c:pt>
                <c:pt idx="158">
                  <c:v>45872</c:v>
                </c:pt>
                <c:pt idx="159">
                  <c:v>45873</c:v>
                </c:pt>
                <c:pt idx="160">
                  <c:v>45874</c:v>
                </c:pt>
                <c:pt idx="161">
                  <c:v>45875</c:v>
                </c:pt>
                <c:pt idx="162">
                  <c:v>45876</c:v>
                </c:pt>
                <c:pt idx="163">
                  <c:v>45877</c:v>
                </c:pt>
                <c:pt idx="164">
                  <c:v>45878</c:v>
                </c:pt>
                <c:pt idx="165">
                  <c:v>45879</c:v>
                </c:pt>
                <c:pt idx="166">
                  <c:v>45880</c:v>
                </c:pt>
                <c:pt idx="167">
                  <c:v>45881</c:v>
                </c:pt>
                <c:pt idx="168">
                  <c:v>45882</c:v>
                </c:pt>
                <c:pt idx="169">
                  <c:v>45883</c:v>
                </c:pt>
                <c:pt idx="170">
                  <c:v>45884</c:v>
                </c:pt>
                <c:pt idx="171">
                  <c:v>45885</c:v>
                </c:pt>
                <c:pt idx="172">
                  <c:v>45886</c:v>
                </c:pt>
                <c:pt idx="173">
                  <c:v>45887</c:v>
                </c:pt>
                <c:pt idx="174">
                  <c:v>45888</c:v>
                </c:pt>
                <c:pt idx="175">
                  <c:v>45889</c:v>
                </c:pt>
                <c:pt idx="176">
                  <c:v>45890</c:v>
                </c:pt>
                <c:pt idx="177">
                  <c:v>45891</c:v>
                </c:pt>
                <c:pt idx="178">
                  <c:v>45892</c:v>
                </c:pt>
                <c:pt idx="179">
                  <c:v>45893</c:v>
                </c:pt>
                <c:pt idx="180">
                  <c:v>45894</c:v>
                </c:pt>
                <c:pt idx="181">
                  <c:v>45895</c:v>
                </c:pt>
                <c:pt idx="182">
                  <c:v>45896</c:v>
                </c:pt>
                <c:pt idx="183">
                  <c:v>45897</c:v>
                </c:pt>
                <c:pt idx="184">
                  <c:v>45898</c:v>
                </c:pt>
                <c:pt idx="185">
                  <c:v>45899</c:v>
                </c:pt>
                <c:pt idx="186">
                  <c:v>45900</c:v>
                </c:pt>
                <c:pt idx="187">
                  <c:v>45901</c:v>
                </c:pt>
                <c:pt idx="188">
                  <c:v>45902</c:v>
                </c:pt>
                <c:pt idx="189">
                  <c:v>45903</c:v>
                </c:pt>
                <c:pt idx="190">
                  <c:v>45904</c:v>
                </c:pt>
                <c:pt idx="191">
                  <c:v>45905</c:v>
                </c:pt>
                <c:pt idx="192">
                  <c:v>45906</c:v>
                </c:pt>
                <c:pt idx="193">
                  <c:v>45907</c:v>
                </c:pt>
                <c:pt idx="194">
                  <c:v>45908</c:v>
                </c:pt>
                <c:pt idx="195">
                  <c:v>45909</c:v>
                </c:pt>
                <c:pt idx="196">
                  <c:v>45910</c:v>
                </c:pt>
                <c:pt idx="197">
                  <c:v>45911</c:v>
                </c:pt>
                <c:pt idx="198">
                  <c:v>45912</c:v>
                </c:pt>
                <c:pt idx="199">
                  <c:v>45913</c:v>
                </c:pt>
                <c:pt idx="200">
                  <c:v>45914</c:v>
                </c:pt>
                <c:pt idx="201">
                  <c:v>45915</c:v>
                </c:pt>
                <c:pt idx="202">
                  <c:v>45916</c:v>
                </c:pt>
                <c:pt idx="203">
                  <c:v>45917</c:v>
                </c:pt>
                <c:pt idx="204">
                  <c:v>45918</c:v>
                </c:pt>
                <c:pt idx="205">
                  <c:v>45919</c:v>
                </c:pt>
                <c:pt idx="206">
                  <c:v>45920</c:v>
                </c:pt>
                <c:pt idx="207">
                  <c:v>45921</c:v>
                </c:pt>
                <c:pt idx="208">
                  <c:v>45922</c:v>
                </c:pt>
                <c:pt idx="209">
                  <c:v>45923</c:v>
                </c:pt>
                <c:pt idx="210">
                  <c:v>45924</c:v>
                </c:pt>
                <c:pt idx="211">
                  <c:v>45925</c:v>
                </c:pt>
                <c:pt idx="212">
                  <c:v>45926</c:v>
                </c:pt>
                <c:pt idx="213">
                  <c:v>45927</c:v>
                </c:pt>
                <c:pt idx="214">
                  <c:v>45928</c:v>
                </c:pt>
                <c:pt idx="215">
                  <c:v>45929</c:v>
                </c:pt>
                <c:pt idx="216">
                  <c:v>45930</c:v>
                </c:pt>
                <c:pt idx="217">
                  <c:v>45931</c:v>
                </c:pt>
                <c:pt idx="218">
                  <c:v>45932</c:v>
                </c:pt>
                <c:pt idx="219">
                  <c:v>45933</c:v>
                </c:pt>
                <c:pt idx="220">
                  <c:v>45934</c:v>
                </c:pt>
                <c:pt idx="221">
                  <c:v>45935</c:v>
                </c:pt>
                <c:pt idx="222">
                  <c:v>45936</c:v>
                </c:pt>
                <c:pt idx="223">
                  <c:v>45937</c:v>
                </c:pt>
                <c:pt idx="224">
                  <c:v>45938</c:v>
                </c:pt>
                <c:pt idx="225">
                  <c:v>45939</c:v>
                </c:pt>
                <c:pt idx="226">
                  <c:v>45940</c:v>
                </c:pt>
                <c:pt idx="227">
                  <c:v>45941</c:v>
                </c:pt>
                <c:pt idx="228">
                  <c:v>45942</c:v>
                </c:pt>
                <c:pt idx="229">
                  <c:v>45943</c:v>
                </c:pt>
                <c:pt idx="230">
                  <c:v>45944</c:v>
                </c:pt>
                <c:pt idx="231">
                  <c:v>45945</c:v>
                </c:pt>
                <c:pt idx="232">
                  <c:v>45946</c:v>
                </c:pt>
                <c:pt idx="233">
                  <c:v>45947</c:v>
                </c:pt>
                <c:pt idx="234">
                  <c:v>45948</c:v>
                </c:pt>
                <c:pt idx="235">
                  <c:v>45949</c:v>
                </c:pt>
                <c:pt idx="236">
                  <c:v>45950</c:v>
                </c:pt>
                <c:pt idx="237">
                  <c:v>45951</c:v>
                </c:pt>
                <c:pt idx="238">
                  <c:v>45952</c:v>
                </c:pt>
                <c:pt idx="239">
                  <c:v>45953</c:v>
                </c:pt>
                <c:pt idx="240">
                  <c:v>45954</c:v>
                </c:pt>
                <c:pt idx="241">
                  <c:v>45955</c:v>
                </c:pt>
                <c:pt idx="242">
                  <c:v>45956</c:v>
                </c:pt>
                <c:pt idx="243">
                  <c:v>45957</c:v>
                </c:pt>
                <c:pt idx="244">
                  <c:v>45958</c:v>
                </c:pt>
                <c:pt idx="245">
                  <c:v>45959</c:v>
                </c:pt>
                <c:pt idx="246">
                  <c:v>45960</c:v>
                </c:pt>
                <c:pt idx="247">
                  <c:v>45961</c:v>
                </c:pt>
                <c:pt idx="248">
                  <c:v>45962</c:v>
                </c:pt>
                <c:pt idx="249">
                  <c:v>45963</c:v>
                </c:pt>
                <c:pt idx="250">
                  <c:v>45964</c:v>
                </c:pt>
                <c:pt idx="251">
                  <c:v>45965</c:v>
                </c:pt>
                <c:pt idx="252">
                  <c:v>45966</c:v>
                </c:pt>
                <c:pt idx="253">
                  <c:v>45967</c:v>
                </c:pt>
                <c:pt idx="254">
                  <c:v>45968</c:v>
                </c:pt>
                <c:pt idx="255">
                  <c:v>45969</c:v>
                </c:pt>
                <c:pt idx="256">
                  <c:v>45970</c:v>
                </c:pt>
                <c:pt idx="257">
                  <c:v>45971</c:v>
                </c:pt>
                <c:pt idx="258">
                  <c:v>45972</c:v>
                </c:pt>
                <c:pt idx="259">
                  <c:v>45973</c:v>
                </c:pt>
                <c:pt idx="260">
                  <c:v>45974</c:v>
                </c:pt>
                <c:pt idx="261">
                  <c:v>45975</c:v>
                </c:pt>
                <c:pt idx="262">
                  <c:v>45976</c:v>
                </c:pt>
                <c:pt idx="263">
                  <c:v>45977</c:v>
                </c:pt>
                <c:pt idx="264">
                  <c:v>45978</c:v>
                </c:pt>
                <c:pt idx="265">
                  <c:v>45979</c:v>
                </c:pt>
                <c:pt idx="266">
                  <c:v>45980</c:v>
                </c:pt>
                <c:pt idx="267">
                  <c:v>45981</c:v>
                </c:pt>
                <c:pt idx="268">
                  <c:v>45982</c:v>
                </c:pt>
                <c:pt idx="269">
                  <c:v>45983</c:v>
                </c:pt>
                <c:pt idx="270">
                  <c:v>45984</c:v>
                </c:pt>
                <c:pt idx="271">
                  <c:v>45985</c:v>
                </c:pt>
                <c:pt idx="272">
                  <c:v>45986</c:v>
                </c:pt>
                <c:pt idx="273">
                  <c:v>45987</c:v>
                </c:pt>
                <c:pt idx="274">
                  <c:v>45988</c:v>
                </c:pt>
                <c:pt idx="275">
                  <c:v>45989</c:v>
                </c:pt>
                <c:pt idx="276">
                  <c:v>45990</c:v>
                </c:pt>
                <c:pt idx="277">
                  <c:v>45991</c:v>
                </c:pt>
                <c:pt idx="278">
                  <c:v>45992</c:v>
                </c:pt>
                <c:pt idx="279">
                  <c:v>45993</c:v>
                </c:pt>
                <c:pt idx="280">
                  <c:v>45994</c:v>
                </c:pt>
                <c:pt idx="281">
                  <c:v>45995</c:v>
                </c:pt>
                <c:pt idx="282">
                  <c:v>45996</c:v>
                </c:pt>
                <c:pt idx="283">
                  <c:v>45997</c:v>
                </c:pt>
                <c:pt idx="284">
                  <c:v>45998</c:v>
                </c:pt>
                <c:pt idx="285">
                  <c:v>45999</c:v>
                </c:pt>
                <c:pt idx="286">
                  <c:v>46000</c:v>
                </c:pt>
                <c:pt idx="287">
                  <c:v>46001</c:v>
                </c:pt>
                <c:pt idx="288">
                  <c:v>46002</c:v>
                </c:pt>
                <c:pt idx="289">
                  <c:v>46003</c:v>
                </c:pt>
                <c:pt idx="290">
                  <c:v>46004</c:v>
                </c:pt>
                <c:pt idx="291">
                  <c:v>46005</c:v>
                </c:pt>
                <c:pt idx="292">
                  <c:v>46006</c:v>
                </c:pt>
                <c:pt idx="293">
                  <c:v>46007</c:v>
                </c:pt>
                <c:pt idx="294">
                  <c:v>46008</c:v>
                </c:pt>
                <c:pt idx="295">
                  <c:v>46009</c:v>
                </c:pt>
                <c:pt idx="296">
                  <c:v>46010</c:v>
                </c:pt>
                <c:pt idx="297">
                  <c:v>46011</c:v>
                </c:pt>
                <c:pt idx="298">
                  <c:v>46012</c:v>
                </c:pt>
                <c:pt idx="299">
                  <c:v>46013</c:v>
                </c:pt>
                <c:pt idx="300">
                  <c:v>46014</c:v>
                </c:pt>
                <c:pt idx="301">
                  <c:v>46015</c:v>
                </c:pt>
                <c:pt idx="302">
                  <c:v>46016</c:v>
                </c:pt>
                <c:pt idx="303">
                  <c:v>46017</c:v>
                </c:pt>
                <c:pt idx="304">
                  <c:v>46018</c:v>
                </c:pt>
                <c:pt idx="305">
                  <c:v>46019</c:v>
                </c:pt>
                <c:pt idx="306">
                  <c:v>46020</c:v>
                </c:pt>
                <c:pt idx="307">
                  <c:v>46021</c:v>
                </c:pt>
                <c:pt idx="308">
                  <c:v>46022</c:v>
                </c:pt>
                <c:pt idx="309">
                  <c:v>46023</c:v>
                </c:pt>
                <c:pt idx="310">
                  <c:v>46024</c:v>
                </c:pt>
                <c:pt idx="311">
                  <c:v>46025</c:v>
                </c:pt>
                <c:pt idx="312">
                  <c:v>46026</c:v>
                </c:pt>
                <c:pt idx="313">
                  <c:v>46027</c:v>
                </c:pt>
                <c:pt idx="314">
                  <c:v>46028</c:v>
                </c:pt>
                <c:pt idx="315">
                  <c:v>46029</c:v>
                </c:pt>
                <c:pt idx="316">
                  <c:v>46030</c:v>
                </c:pt>
                <c:pt idx="317">
                  <c:v>46031</c:v>
                </c:pt>
                <c:pt idx="318">
                  <c:v>46032</c:v>
                </c:pt>
                <c:pt idx="319">
                  <c:v>46033</c:v>
                </c:pt>
                <c:pt idx="320">
                  <c:v>46034</c:v>
                </c:pt>
                <c:pt idx="321">
                  <c:v>46035</c:v>
                </c:pt>
                <c:pt idx="322">
                  <c:v>46036</c:v>
                </c:pt>
                <c:pt idx="323">
                  <c:v>46037</c:v>
                </c:pt>
                <c:pt idx="324">
                  <c:v>46038</c:v>
                </c:pt>
                <c:pt idx="325">
                  <c:v>46039</c:v>
                </c:pt>
                <c:pt idx="326">
                  <c:v>46040</c:v>
                </c:pt>
                <c:pt idx="327">
                  <c:v>46041</c:v>
                </c:pt>
                <c:pt idx="328">
                  <c:v>46042</c:v>
                </c:pt>
                <c:pt idx="329">
                  <c:v>46043</c:v>
                </c:pt>
                <c:pt idx="330">
                  <c:v>46044</c:v>
                </c:pt>
                <c:pt idx="331">
                  <c:v>46045</c:v>
                </c:pt>
                <c:pt idx="332">
                  <c:v>46046</c:v>
                </c:pt>
                <c:pt idx="333">
                  <c:v>46047</c:v>
                </c:pt>
                <c:pt idx="334">
                  <c:v>46048</c:v>
                </c:pt>
                <c:pt idx="335">
                  <c:v>46049</c:v>
                </c:pt>
                <c:pt idx="336">
                  <c:v>46050</c:v>
                </c:pt>
                <c:pt idx="337">
                  <c:v>46051</c:v>
                </c:pt>
                <c:pt idx="338">
                  <c:v>46052</c:v>
                </c:pt>
                <c:pt idx="339">
                  <c:v>46053</c:v>
                </c:pt>
                <c:pt idx="340">
                  <c:v>46054</c:v>
                </c:pt>
                <c:pt idx="341">
                  <c:v>46055</c:v>
                </c:pt>
                <c:pt idx="342">
                  <c:v>46056</c:v>
                </c:pt>
                <c:pt idx="343">
                  <c:v>46057</c:v>
                </c:pt>
                <c:pt idx="344">
                  <c:v>46058</c:v>
                </c:pt>
                <c:pt idx="345">
                  <c:v>46059</c:v>
                </c:pt>
                <c:pt idx="346">
                  <c:v>46060</c:v>
                </c:pt>
                <c:pt idx="347">
                  <c:v>46061</c:v>
                </c:pt>
                <c:pt idx="348">
                  <c:v>46062</c:v>
                </c:pt>
                <c:pt idx="349">
                  <c:v>46063</c:v>
                </c:pt>
                <c:pt idx="350">
                  <c:v>46064</c:v>
                </c:pt>
                <c:pt idx="351">
                  <c:v>46065</c:v>
                </c:pt>
                <c:pt idx="352">
                  <c:v>46066</c:v>
                </c:pt>
                <c:pt idx="353">
                  <c:v>46067</c:v>
                </c:pt>
                <c:pt idx="354">
                  <c:v>46068</c:v>
                </c:pt>
                <c:pt idx="355">
                  <c:v>46069</c:v>
                </c:pt>
                <c:pt idx="356">
                  <c:v>46070</c:v>
                </c:pt>
                <c:pt idx="357">
                  <c:v>46071</c:v>
                </c:pt>
                <c:pt idx="358">
                  <c:v>46072</c:v>
                </c:pt>
                <c:pt idx="359">
                  <c:v>46073</c:v>
                </c:pt>
                <c:pt idx="360">
                  <c:v>46074</c:v>
                </c:pt>
                <c:pt idx="361">
                  <c:v>46075</c:v>
                </c:pt>
                <c:pt idx="362">
                  <c:v>46076</c:v>
                </c:pt>
                <c:pt idx="363">
                  <c:v>46077</c:v>
                </c:pt>
                <c:pt idx="364">
                  <c:v>46078</c:v>
                </c:pt>
                <c:pt idx="365">
                  <c:v>46079</c:v>
                </c:pt>
              </c:numCache>
            </c:numRef>
          </c:cat>
          <c:val>
            <c:numRef>
              <c:f>'Daily Velocity'!$E$4:$E$369</c:f>
              <c:numCache>
                <c:formatCode>#,##0</c:formatCode>
                <c:ptCount val="366"/>
                <c:pt idx="29">
                  <c:v>2611512.7</c:v>
                </c:pt>
                <c:pt idx="30">
                  <c:v>2579999.03333333</c:v>
                </c:pt>
                <c:pt idx="31">
                  <c:v>2532327.23333333</c:v>
                </c:pt>
                <c:pt idx="32">
                  <c:v>2538398</c:v>
                </c:pt>
                <c:pt idx="33">
                  <c:v>2601425.23333333</c:v>
                </c:pt>
                <c:pt idx="34">
                  <c:v>2630234.46666667</c:v>
                </c:pt>
                <c:pt idx="35">
                  <c:v>2626628.3</c:v>
                </c:pt>
                <c:pt idx="36">
                  <c:v>2620281.1</c:v>
                </c:pt>
                <c:pt idx="37">
                  <c:v>2585806.7</c:v>
                </c:pt>
                <c:pt idx="38">
                  <c:v>2532645.4</c:v>
                </c:pt>
                <c:pt idx="39">
                  <c:v>2542102.46666667</c:v>
                </c:pt>
                <c:pt idx="40">
                  <c:v>2602587.13333333</c:v>
                </c:pt>
                <c:pt idx="41">
                  <c:v>2631357.8</c:v>
                </c:pt>
                <c:pt idx="42">
                  <c:v>2626689.73333333</c:v>
                </c:pt>
                <c:pt idx="43">
                  <c:v>2619365.96666667</c:v>
                </c:pt>
                <c:pt idx="44">
                  <c:v>2583365.93333333</c:v>
                </c:pt>
                <c:pt idx="45">
                  <c:v>2530122.6</c:v>
                </c:pt>
                <c:pt idx="46">
                  <c:v>2552285.2</c:v>
                </c:pt>
                <c:pt idx="47">
                  <c:v>2613017.36666667</c:v>
                </c:pt>
                <c:pt idx="48">
                  <c:v>2644958.1</c:v>
                </c:pt>
                <c:pt idx="49">
                  <c:v>2646399.93333333</c:v>
                </c:pt>
                <c:pt idx="50">
                  <c:v>2652582.26666667</c:v>
                </c:pt>
                <c:pt idx="51">
                  <c:v>2616157.06666667</c:v>
                </c:pt>
                <c:pt idx="52">
                  <c:v>2569956.83333333</c:v>
                </c:pt>
                <c:pt idx="53">
                  <c:v>2577812.66666667</c:v>
                </c:pt>
                <c:pt idx="54">
                  <c:v>2632536.63333333</c:v>
                </c:pt>
                <c:pt idx="55">
                  <c:v>2674298.96666667</c:v>
                </c:pt>
                <c:pt idx="56">
                  <c:v>2670319.6</c:v>
                </c:pt>
                <c:pt idx="57">
                  <c:v>2665076.6</c:v>
                </c:pt>
                <c:pt idx="58">
                  <c:v>2641157.46666667</c:v>
                </c:pt>
                <c:pt idx="59">
                  <c:v>2598717.4</c:v>
                </c:pt>
                <c:pt idx="60">
                  <c:v>2608840.56666667</c:v>
                </c:pt>
                <c:pt idx="61">
                  <c:v>2663223.26666667</c:v>
                </c:pt>
                <c:pt idx="62">
                  <c:v>2703608.73333333</c:v>
                </c:pt>
                <c:pt idx="63">
                  <c:v>2715687.66666667</c:v>
                </c:pt>
                <c:pt idx="64">
                  <c:v>2723359.63333333</c:v>
                </c:pt>
                <c:pt idx="65">
                  <c:v>2691320.3</c:v>
                </c:pt>
                <c:pt idx="66">
                  <c:v>2643079.73333333</c:v>
                </c:pt>
                <c:pt idx="67">
                  <c:v>2659339.86666667</c:v>
                </c:pt>
                <c:pt idx="68">
                  <c:v>2726106.36666667</c:v>
                </c:pt>
                <c:pt idx="69">
                  <c:v>2762203.63333333</c:v>
                </c:pt>
                <c:pt idx="70">
                  <c:v>2771590.63333333</c:v>
                </c:pt>
                <c:pt idx="71">
                  <c:v>2784844.96666667</c:v>
                </c:pt>
                <c:pt idx="72">
                  <c:v>2763406.46666667</c:v>
                </c:pt>
                <c:pt idx="73">
                  <c:v>2715408.63333333</c:v>
                </c:pt>
                <c:pt idx="74">
                  <c:v>2724549.36666667</c:v>
                </c:pt>
                <c:pt idx="75">
                  <c:v>2796756.6</c:v>
                </c:pt>
                <c:pt idx="76">
                  <c:v>2834056.53333333</c:v>
                </c:pt>
                <c:pt idx="77">
                  <c:v>2848486.7</c:v>
                </c:pt>
                <c:pt idx="78">
                  <c:v>2849672.9</c:v>
                </c:pt>
                <c:pt idx="79">
                  <c:v>2808939.63333333</c:v>
                </c:pt>
                <c:pt idx="80">
                  <c:v>2750188.3</c:v>
                </c:pt>
                <c:pt idx="81">
                  <c:v>2763554.53333333</c:v>
                </c:pt>
                <c:pt idx="82">
                  <c:v>2827326.23333333</c:v>
                </c:pt>
                <c:pt idx="83">
                  <c:v>2869203</c:v>
                </c:pt>
                <c:pt idx="84">
                  <c:v>2874996.7</c:v>
                </c:pt>
                <c:pt idx="85">
                  <c:v>2881792.1</c:v>
                </c:pt>
                <c:pt idx="86">
                  <c:v>2844691.1</c:v>
                </c:pt>
                <c:pt idx="87">
                  <c:v>2796959.9</c:v>
                </c:pt>
                <c:pt idx="88">
                  <c:v>2796075.23333333</c:v>
                </c:pt>
                <c:pt idx="89">
                  <c:v>2779552.66666667</c:v>
                </c:pt>
                <c:pt idx="90">
                  <c:v>2820894.86666667</c:v>
                </c:pt>
                <c:pt idx="91">
                  <c:v>2828425.4</c:v>
                </c:pt>
                <c:pt idx="92">
                  <c:v>2831879.03333333</c:v>
                </c:pt>
                <c:pt idx="93">
                  <c:v>2782332.93333333</c:v>
                </c:pt>
                <c:pt idx="94">
                  <c:v>2723632.6</c:v>
                </c:pt>
                <c:pt idx="95">
                  <c:v>2732551.53333333</c:v>
                </c:pt>
                <c:pt idx="96">
                  <c:v>2793565.8</c:v>
                </c:pt>
                <c:pt idx="97">
                  <c:v>2823198.06666667</c:v>
                </c:pt>
                <c:pt idx="98">
                  <c:v>2820798.86666667</c:v>
                </c:pt>
                <c:pt idx="99">
                  <c:v>2818964.43333333</c:v>
                </c:pt>
                <c:pt idx="100">
                  <c:v>2768832.83333333</c:v>
                </c:pt>
                <c:pt idx="101">
                  <c:v>2698596.6</c:v>
                </c:pt>
                <c:pt idx="102">
                  <c:v>2696569.16666667</c:v>
                </c:pt>
                <c:pt idx="103">
                  <c:v>2759171.73333333</c:v>
                </c:pt>
                <c:pt idx="104">
                  <c:v>2794345.73333333</c:v>
                </c:pt>
                <c:pt idx="105">
                  <c:v>2790655.6</c:v>
                </c:pt>
                <c:pt idx="106">
                  <c:v>2774328.2</c:v>
                </c:pt>
                <c:pt idx="107">
                  <c:v>2713232.56666667</c:v>
                </c:pt>
                <c:pt idx="108">
                  <c:v>2654739.83333333</c:v>
                </c:pt>
                <c:pt idx="109">
                  <c:v>2661361.1</c:v>
                </c:pt>
                <c:pt idx="110">
                  <c:v>2710125.46666667</c:v>
                </c:pt>
                <c:pt idx="111">
                  <c:v>2744426.06666667</c:v>
                </c:pt>
                <c:pt idx="112">
                  <c:v>2734978.3</c:v>
                </c:pt>
                <c:pt idx="113">
                  <c:v>2720724.33333333</c:v>
                </c:pt>
                <c:pt idx="114">
                  <c:v>2667297.2</c:v>
                </c:pt>
                <c:pt idx="115">
                  <c:v>2605697.83333333</c:v>
                </c:pt>
                <c:pt idx="116">
                  <c:v>2614572.33333333</c:v>
                </c:pt>
                <c:pt idx="117">
                  <c:v>2665277.1</c:v>
                </c:pt>
                <c:pt idx="118">
                  <c:v>2699781.26666667</c:v>
                </c:pt>
                <c:pt idx="119">
                  <c:v>2770528.4</c:v>
                </c:pt>
                <c:pt idx="120">
                  <c:v>2755865.16666667</c:v>
                </c:pt>
                <c:pt idx="121">
                  <c:v>2704996.63333333</c:v>
                </c:pt>
                <c:pt idx="122">
                  <c:v>2637987.13333333</c:v>
                </c:pt>
                <c:pt idx="123">
                  <c:v>2651475.9</c:v>
                </c:pt>
                <c:pt idx="124">
                  <c:v>2701237.23333333</c:v>
                </c:pt>
                <c:pt idx="125">
                  <c:v>2726422.73333333</c:v>
                </c:pt>
                <c:pt idx="126">
                  <c:v>2716201.03333333</c:v>
                </c:pt>
                <c:pt idx="127">
                  <c:v>2696471.36666667</c:v>
                </c:pt>
                <c:pt idx="128">
                  <c:v>2623037.83333333</c:v>
                </c:pt>
                <c:pt idx="129">
                  <c:v>2563068.7</c:v>
                </c:pt>
                <c:pt idx="130">
                  <c:v>2562027.43333333</c:v>
                </c:pt>
                <c:pt idx="131">
                  <c:v>2613000.5</c:v>
                </c:pt>
                <c:pt idx="132">
                  <c:v>2653146.5</c:v>
                </c:pt>
                <c:pt idx="133">
                  <c:v>2640106.93333333</c:v>
                </c:pt>
                <c:pt idx="134">
                  <c:v>2628789.4</c:v>
                </c:pt>
                <c:pt idx="135">
                  <c:v>2572030.53333333</c:v>
                </c:pt>
                <c:pt idx="136">
                  <c:v>2522079.8</c:v>
                </c:pt>
                <c:pt idx="137">
                  <c:v>2536282.96666667</c:v>
                </c:pt>
                <c:pt idx="138">
                  <c:v>2591695.26666667</c:v>
                </c:pt>
                <c:pt idx="139">
                  <c:v>2627147.5</c:v>
                </c:pt>
                <c:pt idx="140">
                  <c:v>2626051.13333333</c:v>
                </c:pt>
                <c:pt idx="141">
                  <c:v>2615563.36666667</c:v>
                </c:pt>
                <c:pt idx="142">
                  <c:v>2568808.43333333</c:v>
                </c:pt>
                <c:pt idx="143">
                  <c:v>2513139.86666667</c:v>
                </c:pt>
                <c:pt idx="144">
                  <c:v>2532223.7</c:v>
                </c:pt>
                <c:pt idx="145">
                  <c:v>2586167.7</c:v>
                </c:pt>
                <c:pt idx="146">
                  <c:v>2613573.3</c:v>
                </c:pt>
                <c:pt idx="147">
                  <c:v>2612024.83333333</c:v>
                </c:pt>
                <c:pt idx="148">
                  <c:v>2608671.46666667</c:v>
                </c:pt>
                <c:pt idx="149">
                  <c:v>2566201.13333333</c:v>
                </c:pt>
                <c:pt idx="150">
                  <c:v>2512524.16666667</c:v>
                </c:pt>
                <c:pt idx="151">
                  <c:v>2534883.03333333</c:v>
                </c:pt>
                <c:pt idx="152">
                  <c:v>2596144.43333333</c:v>
                </c:pt>
                <c:pt idx="153">
                  <c:v>2626933.76666667</c:v>
                </c:pt>
                <c:pt idx="154">
                  <c:v>2625519.7</c:v>
                </c:pt>
                <c:pt idx="155">
                  <c:v>2625428.7</c:v>
                </c:pt>
                <c:pt idx="156">
                  <c:v>2588812.4</c:v>
                </c:pt>
                <c:pt idx="157">
                  <c:v>2544816.23333333</c:v>
                </c:pt>
                <c:pt idx="158">
                  <c:v>2588141.9</c:v>
                </c:pt>
                <c:pt idx="159">
                  <c:v>2645050.6</c:v>
                </c:pt>
                <c:pt idx="160">
                  <c:v>2685984.93333333</c:v>
                </c:pt>
                <c:pt idx="161">
                  <c:v>2688859.56666667</c:v>
                </c:pt>
                <c:pt idx="162">
                  <c:v>2678500.26666667</c:v>
                </c:pt>
                <c:pt idx="163">
                  <c:v>2642249.03333333</c:v>
                </c:pt>
                <c:pt idx="164">
                  <c:v>2593712.73333333</c:v>
                </c:pt>
                <c:pt idx="165">
                  <c:v>2618977.06666667</c:v>
                </c:pt>
                <c:pt idx="166">
                  <c:v>2678349.6</c:v>
                </c:pt>
                <c:pt idx="167">
                  <c:v>2712777</c:v>
                </c:pt>
                <c:pt idx="168">
                  <c:v>2710676.23333333</c:v>
                </c:pt>
                <c:pt idx="169">
                  <c:v>2711885.13333333</c:v>
                </c:pt>
                <c:pt idx="170">
                  <c:v>2672058</c:v>
                </c:pt>
                <c:pt idx="171">
                  <c:v>2623167.86666667</c:v>
                </c:pt>
                <c:pt idx="172">
                  <c:v>2644097.36666667</c:v>
                </c:pt>
                <c:pt idx="173">
                  <c:v>2709292.13333333</c:v>
                </c:pt>
                <c:pt idx="174">
                  <c:v>2740044.43333333</c:v>
                </c:pt>
                <c:pt idx="175">
                  <c:v>2737808.63333333</c:v>
                </c:pt>
                <c:pt idx="176">
                  <c:v>2736379.7</c:v>
                </c:pt>
                <c:pt idx="177">
                  <c:v>2691338.63333333</c:v>
                </c:pt>
                <c:pt idx="178">
                  <c:v>2639030.93333333</c:v>
                </c:pt>
                <c:pt idx="179">
                  <c:v>2662502</c:v>
                </c:pt>
                <c:pt idx="180">
                  <c:v>2724607.5</c:v>
                </c:pt>
                <c:pt idx="181">
                  <c:v>2755464.56666667</c:v>
                </c:pt>
                <c:pt idx="182">
                  <c:v>2752017.33333333</c:v>
                </c:pt>
                <c:pt idx="183">
                  <c:v>2746970.86666667</c:v>
                </c:pt>
                <c:pt idx="184">
                  <c:v>2705264.06666667</c:v>
                </c:pt>
                <c:pt idx="185">
                  <c:v>2651440.83333333</c:v>
                </c:pt>
                <c:pt idx="186">
                  <c:v>2660026.33333333</c:v>
                </c:pt>
                <c:pt idx="187">
                  <c:v>2650297.8</c:v>
                </c:pt>
                <c:pt idx="188">
                  <c:v>2681533.36666667</c:v>
                </c:pt>
                <c:pt idx="189">
                  <c:v>2682268</c:v>
                </c:pt>
                <c:pt idx="190">
                  <c:v>2684661.9</c:v>
                </c:pt>
                <c:pt idx="191">
                  <c:v>2641628.53333333</c:v>
                </c:pt>
                <c:pt idx="192">
                  <c:v>2585058.83333333</c:v>
                </c:pt>
                <c:pt idx="193">
                  <c:v>2606315.03333333</c:v>
                </c:pt>
                <c:pt idx="194">
                  <c:v>2670266.8</c:v>
                </c:pt>
                <c:pt idx="195">
                  <c:v>2709755.83333333</c:v>
                </c:pt>
                <c:pt idx="196">
                  <c:v>2720080.63333333</c:v>
                </c:pt>
                <c:pt idx="197">
                  <c:v>2729224.26666667</c:v>
                </c:pt>
                <c:pt idx="198">
                  <c:v>2682921.56666667</c:v>
                </c:pt>
                <c:pt idx="199">
                  <c:v>2621761.66666667</c:v>
                </c:pt>
                <c:pt idx="200">
                  <c:v>2645193.86666667</c:v>
                </c:pt>
                <c:pt idx="201">
                  <c:v>2706978.46666667</c:v>
                </c:pt>
                <c:pt idx="202">
                  <c:v>2739183.36666667</c:v>
                </c:pt>
                <c:pt idx="203">
                  <c:v>2745423.16666667</c:v>
                </c:pt>
                <c:pt idx="204">
                  <c:v>2744293.66666667</c:v>
                </c:pt>
                <c:pt idx="205">
                  <c:v>2703326.13333333</c:v>
                </c:pt>
                <c:pt idx="206">
                  <c:v>2651410.7</c:v>
                </c:pt>
                <c:pt idx="207">
                  <c:v>2674203.33333333</c:v>
                </c:pt>
                <c:pt idx="208">
                  <c:v>2730647.5</c:v>
                </c:pt>
                <c:pt idx="209">
                  <c:v>2753655.5</c:v>
                </c:pt>
                <c:pt idx="210">
                  <c:v>2755041.63333333</c:v>
                </c:pt>
                <c:pt idx="211">
                  <c:v>2751305.93333333</c:v>
                </c:pt>
                <c:pt idx="212">
                  <c:v>2710089.7</c:v>
                </c:pt>
                <c:pt idx="213">
                  <c:v>2654324.9</c:v>
                </c:pt>
                <c:pt idx="214">
                  <c:v>2669667.16666667</c:v>
                </c:pt>
                <c:pt idx="215">
                  <c:v>2720374.66666667</c:v>
                </c:pt>
                <c:pt idx="216">
                  <c:v>2756296.63333333</c:v>
                </c:pt>
                <c:pt idx="217">
                  <c:v>2829777.9</c:v>
                </c:pt>
                <c:pt idx="218">
                  <c:v>2819589.36666667</c:v>
                </c:pt>
                <c:pt idx="219">
                  <c:v>2768710.3</c:v>
                </c:pt>
                <c:pt idx="220">
                  <c:v>2708380.16666667</c:v>
                </c:pt>
                <c:pt idx="221">
                  <c:v>2725984.16666667</c:v>
                </c:pt>
                <c:pt idx="222">
                  <c:v>2782369.63333333</c:v>
                </c:pt>
                <c:pt idx="223">
                  <c:v>2809891.23333333</c:v>
                </c:pt>
                <c:pt idx="224">
                  <c:v>2811265.03333333</c:v>
                </c:pt>
                <c:pt idx="225">
                  <c:v>2801573.73333333</c:v>
                </c:pt>
                <c:pt idx="226">
                  <c:v>2743693</c:v>
                </c:pt>
                <c:pt idx="227">
                  <c:v>2674252.23333333</c:v>
                </c:pt>
                <c:pt idx="228">
                  <c:v>2697454.66666667</c:v>
                </c:pt>
                <c:pt idx="229">
                  <c:v>2758230</c:v>
                </c:pt>
                <c:pt idx="230">
                  <c:v>2790189.46666667</c:v>
                </c:pt>
                <c:pt idx="231">
                  <c:v>2787906.5</c:v>
                </c:pt>
                <c:pt idx="232">
                  <c:v>2793741.16666667</c:v>
                </c:pt>
                <c:pt idx="233">
                  <c:v>2738949.1</c:v>
                </c:pt>
                <c:pt idx="234">
                  <c:v>2675415.56666667</c:v>
                </c:pt>
                <c:pt idx="235">
                  <c:v>2702403.93333333</c:v>
                </c:pt>
                <c:pt idx="236">
                  <c:v>2767705.1</c:v>
                </c:pt>
                <c:pt idx="237">
                  <c:v>2796171.3</c:v>
                </c:pt>
                <c:pt idx="238">
                  <c:v>2809976.13333333</c:v>
                </c:pt>
                <c:pt idx="239">
                  <c:v>2811500.86666667</c:v>
                </c:pt>
                <c:pt idx="240">
                  <c:v>2803170.63333333</c:v>
                </c:pt>
                <c:pt idx="241">
                  <c:v>2759205.83333333</c:v>
                </c:pt>
                <c:pt idx="242">
                  <c:v>2801566.16666667</c:v>
                </c:pt>
                <c:pt idx="243">
                  <c:v>2892441.83333333</c:v>
                </c:pt>
                <c:pt idx="244">
                  <c:v>2957600.96666667</c:v>
                </c:pt>
                <c:pt idx="245">
                  <c:v>3013898.3</c:v>
                </c:pt>
                <c:pt idx="246">
                  <c:v>3036916.23333333</c:v>
                </c:pt>
                <c:pt idx="247">
                  <c:v>3015432.13333333</c:v>
                </c:pt>
                <c:pt idx="248">
                  <c:v>2976100.86666667</c:v>
                </c:pt>
                <c:pt idx="249">
                  <c:v>3033644</c:v>
                </c:pt>
                <c:pt idx="250">
                  <c:v>3134112.26666667</c:v>
                </c:pt>
                <c:pt idx="251">
                  <c:v>3198480.4</c:v>
                </c:pt>
                <c:pt idx="252">
                  <c:v>3233187.76666667</c:v>
                </c:pt>
                <c:pt idx="253">
                  <c:v>3277732.03333333</c:v>
                </c:pt>
                <c:pt idx="254">
                  <c:v>3309314.53333333</c:v>
                </c:pt>
                <c:pt idx="255">
                  <c:v>3273657.4</c:v>
                </c:pt>
                <c:pt idx="256">
                  <c:v>3332247.3</c:v>
                </c:pt>
                <c:pt idx="257">
                  <c:v>3432809.96666667</c:v>
                </c:pt>
                <c:pt idx="258">
                  <c:v>3495958.06666667</c:v>
                </c:pt>
                <c:pt idx="259">
                  <c:v>3516587.63333333</c:v>
                </c:pt>
                <c:pt idx="260">
                  <c:v>3540746.5</c:v>
                </c:pt>
                <c:pt idx="261">
                  <c:v>3565022.1</c:v>
                </c:pt>
                <c:pt idx="262">
                  <c:v>3520837.9</c:v>
                </c:pt>
                <c:pt idx="263">
                  <c:v>3587386.6</c:v>
                </c:pt>
                <c:pt idx="264">
                  <c:v>3704312.33333333</c:v>
                </c:pt>
                <c:pt idx="265">
                  <c:v>3767324.83333333</c:v>
                </c:pt>
                <c:pt idx="266">
                  <c:v>3801412.03333333</c:v>
                </c:pt>
                <c:pt idx="267">
                  <c:v>3831800.93333333</c:v>
                </c:pt>
                <c:pt idx="268">
                  <c:v>3827161.63333333</c:v>
                </c:pt>
                <c:pt idx="269">
                  <c:v>3777399.2</c:v>
                </c:pt>
                <c:pt idx="270">
                  <c:v>3782188.26666667</c:v>
                </c:pt>
                <c:pt idx="271">
                  <c:v>3855579.66666667</c:v>
                </c:pt>
                <c:pt idx="272">
                  <c:v>3884754.06666667</c:v>
                </c:pt>
                <c:pt idx="273">
                  <c:v>3888307.06666667</c:v>
                </c:pt>
                <c:pt idx="274">
                  <c:v>3810239.8</c:v>
                </c:pt>
                <c:pt idx="275">
                  <c:v>3722837.73333333</c:v>
                </c:pt>
                <c:pt idx="276">
                  <c:v>3649646.03333333</c:v>
                </c:pt>
                <c:pt idx="277">
                  <c:v>3665019.3</c:v>
                </c:pt>
                <c:pt idx="278">
                  <c:v>3740951.8</c:v>
                </c:pt>
                <c:pt idx="279">
                  <c:v>3781022.86666667</c:v>
                </c:pt>
                <c:pt idx="280">
                  <c:v>3792930.33333333</c:v>
                </c:pt>
                <c:pt idx="281">
                  <c:v>3805289.03333333</c:v>
                </c:pt>
                <c:pt idx="282">
                  <c:v>3758858.43333333</c:v>
                </c:pt>
                <c:pt idx="283">
                  <c:v>3663824.86666667</c:v>
                </c:pt>
                <c:pt idx="284">
                  <c:v>3632749.23333333</c:v>
                </c:pt>
                <c:pt idx="285">
                  <c:v>3724419.13333333</c:v>
                </c:pt>
                <c:pt idx="286">
                  <c:v>3772530.9</c:v>
                </c:pt>
                <c:pt idx="287">
                  <c:v>3772469.23333333</c:v>
                </c:pt>
                <c:pt idx="288">
                  <c:v>3779109.23333333</c:v>
                </c:pt>
                <c:pt idx="289">
                  <c:v>3739994.33333333</c:v>
                </c:pt>
                <c:pt idx="290">
                  <c:v>3657411.5</c:v>
                </c:pt>
                <c:pt idx="291">
                  <c:v>3651885.2</c:v>
                </c:pt>
                <c:pt idx="292">
                  <c:v>3733983.33333333</c:v>
                </c:pt>
                <c:pt idx="293">
                  <c:v>3768057.96666667</c:v>
                </c:pt>
                <c:pt idx="294">
                  <c:v>3766069.4</c:v>
                </c:pt>
                <c:pt idx="295">
                  <c:v>3771411.46666667</c:v>
                </c:pt>
                <c:pt idx="296">
                  <c:v>3712359.2</c:v>
                </c:pt>
                <c:pt idx="297">
                  <c:v>3642935.2</c:v>
                </c:pt>
                <c:pt idx="298">
                  <c:v>3642565.43333333</c:v>
                </c:pt>
                <c:pt idx="299">
                  <c:v>3728759.43333333</c:v>
                </c:pt>
                <c:pt idx="300">
                  <c:v>3770115.5</c:v>
                </c:pt>
                <c:pt idx="301">
                  <c:v>3708908.5</c:v>
                </c:pt>
                <c:pt idx="302">
                  <c:v>3636749.83333333</c:v>
                </c:pt>
                <c:pt idx="303">
                  <c:v>3575349.36666667</c:v>
                </c:pt>
                <c:pt idx="304">
                  <c:v>3582802.26666667</c:v>
                </c:pt>
                <c:pt idx="305">
                  <c:v>3648117.63333333</c:v>
                </c:pt>
                <c:pt idx="306">
                  <c:v>3742624.9</c:v>
                </c:pt>
                <c:pt idx="307">
                  <c:v>3792149.96666667</c:v>
                </c:pt>
                <c:pt idx="308">
                  <c:v>3733678.83333333</c:v>
                </c:pt>
                <c:pt idx="309">
                  <c:v>3639847.43333333</c:v>
                </c:pt>
                <c:pt idx="310">
                  <c:v>3588871.83333333</c:v>
                </c:pt>
                <c:pt idx="311">
                  <c:v>3500848.5</c:v>
                </c:pt>
                <c:pt idx="312">
                  <c:v>3527198.4</c:v>
                </c:pt>
                <c:pt idx="313">
                  <c:v>3636154.23333333</c:v>
                </c:pt>
                <c:pt idx="314">
                  <c:v>3697174.7</c:v>
                </c:pt>
                <c:pt idx="315">
                  <c:v>3703512.46666667</c:v>
                </c:pt>
                <c:pt idx="316">
                  <c:v>3704037.73333333</c:v>
                </c:pt>
                <c:pt idx="317">
                  <c:v>3683533.46666667</c:v>
                </c:pt>
                <c:pt idx="318">
                  <c:v>3591316.43333333</c:v>
                </c:pt>
                <c:pt idx="319">
                  <c:v>3627410.9</c:v>
                </c:pt>
                <c:pt idx="320">
                  <c:v>3727942.36666667</c:v>
                </c:pt>
                <c:pt idx="321">
                  <c:v>3771647.2</c:v>
                </c:pt>
                <c:pt idx="322">
                  <c:v>3779684.9</c:v>
                </c:pt>
                <c:pt idx="323">
                  <c:v>3781013.73333333</c:v>
                </c:pt>
                <c:pt idx="324">
                  <c:v>3724591.23333333</c:v>
                </c:pt>
                <c:pt idx="325">
                  <c:v>3644534.46666667</c:v>
                </c:pt>
                <c:pt idx="326">
                  <c:v>3684342.83333333</c:v>
                </c:pt>
                <c:pt idx="327">
                  <c:v>3782113.56666667</c:v>
                </c:pt>
                <c:pt idx="328">
                  <c:v>3835432.4</c:v>
                </c:pt>
                <c:pt idx="329">
                  <c:v>3841842.93333333</c:v>
                </c:pt>
                <c:pt idx="330">
                  <c:v>3840449.7</c:v>
                </c:pt>
                <c:pt idx="331">
                  <c:v>3854002.5</c:v>
                </c:pt>
                <c:pt idx="332">
                  <c:v>3860838.9</c:v>
                </c:pt>
                <c:pt idx="333">
                  <c:v>3899441.03333333</c:v>
                </c:pt>
                <c:pt idx="334">
                  <c:v>3990579.1</c:v>
                </c:pt>
                <c:pt idx="335">
                  <c:v>4020211.7</c:v>
                </c:pt>
                <c:pt idx="336">
                  <c:v>4017431.6</c:v>
                </c:pt>
                <c:pt idx="337">
                  <c:v>4018250.9</c:v>
                </c:pt>
                <c:pt idx="338">
                  <c:v>4028001.46666667</c:v>
                </c:pt>
                <c:pt idx="339">
                  <c:v>4030085.5</c:v>
                </c:pt>
                <c:pt idx="340">
                  <c:v>4045901.96666667</c:v>
                </c:pt>
                <c:pt idx="341">
                  <c:v>4139846.33333333</c:v>
                </c:pt>
                <c:pt idx="342">
                  <c:v>4186980.66666667</c:v>
                </c:pt>
                <c:pt idx="343">
                  <c:v>4171050.8</c:v>
                </c:pt>
                <c:pt idx="344">
                  <c:v>4148014.6</c:v>
                </c:pt>
                <c:pt idx="345">
                  <c:v>4070766.03333333</c:v>
                </c:pt>
                <c:pt idx="346">
                  <c:v>3961284.33333333</c:v>
                </c:pt>
                <c:pt idx="347">
                  <c:v>3944343.23333333</c:v>
                </c:pt>
                <c:pt idx="348">
                  <c:v>4039685.4</c:v>
                </c:pt>
                <c:pt idx="349">
                  <c:v>4074904.53333333</c:v>
                </c:pt>
                <c:pt idx="350">
                  <c:v>4072330.93333333</c:v>
                </c:pt>
                <c:pt idx="351">
                  <c:v>4057427.5</c:v>
                </c:pt>
                <c:pt idx="352">
                  <c:v>3989408.23333333</c:v>
                </c:pt>
                <c:pt idx="353">
                  <c:v>3884926.36666667</c:v>
                </c:pt>
                <c:pt idx="354">
                  <c:v>3909794.4</c:v>
                </c:pt>
                <c:pt idx="355">
                  <c:v>3992305.4</c:v>
                </c:pt>
                <c:pt idx="356">
                  <c:v>4023933.46666667</c:v>
                </c:pt>
                <c:pt idx="357">
                  <c:v>4013564.13333333</c:v>
                </c:pt>
                <c:pt idx="358">
                  <c:v>4003695.53333333</c:v>
                </c:pt>
                <c:pt idx="359">
                  <c:v>3950162.5</c:v>
                </c:pt>
                <c:pt idx="360">
                  <c:v>3876283.73333333</c:v>
                </c:pt>
                <c:pt idx="361">
                  <c:v>3897390.86666667</c:v>
                </c:pt>
                <c:pt idx="362">
                  <c:v>3982677.73333333</c:v>
                </c:pt>
                <c:pt idx="363">
                  <c:v>4026191.46666667</c:v>
                </c:pt>
                <c:pt idx="364">
                  <c:v>4016405.96666667</c:v>
                </c:pt>
                <c:pt idx="365">
                  <c:v>3873017.66666667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927846"/>
        <c:axId val="30077279"/>
      </c:lineChart>
      <c:dateAx>
        <c:axId val="5692784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077279"/>
        <c:crosses val="autoZero"/>
        <c:auto val="1"/>
        <c:lblOffset val="100"/>
        <c:baseTimeUnit val="days"/>
        <c:noMultiLvlLbl val="0"/>
      </c:dateAx>
      <c:valAx>
        <c:axId val="30077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9278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Average Volume by Day of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Velocity'!$I$4</c:f>
              <c:strCache>
                <c:ptCount val="1"/>
                <c:pt idx="0">
                  <c:v>Avg Volume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'Daily Velocity'!$H$5:$H$11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'Daily Velocity'!$I$5:$I$11</c:f>
              <c:numCache>
                <c:formatCode>#,##0</c:formatCode>
                <c:ptCount val="7"/>
                <c:pt idx="0">
                  <c:v>3696162.86538462</c:v>
                </c:pt>
                <c:pt idx="1">
                  <c:v>3854758.03846154</c:v>
                </c:pt>
                <c:pt idx="2">
                  <c:v>3651214.30188679</c:v>
                </c:pt>
                <c:pt idx="3">
                  <c:v>3467685.60377359</c:v>
                </c:pt>
                <c:pt idx="4">
                  <c:v>2333019.82692308</c:v>
                </c:pt>
                <c:pt idx="5">
                  <c:v>1702491.11538462</c:v>
                </c:pt>
                <c:pt idx="6">
                  <c:v>2815654.59615385</c:v>
                </c:pt>
              </c:numCache>
            </c:numRef>
          </c:val>
        </c:ser>
        <c:gapWidth val="150"/>
        <c:overlap val="0"/>
        <c:axId val="27096740"/>
        <c:axId val="81631167"/>
      </c:barChart>
      <c:catAx>
        <c:axId val="270967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631167"/>
        <c:crosses val="autoZero"/>
        <c:auto val="1"/>
        <c:lblAlgn val="ctr"/>
        <c:lblOffset val="100"/>
        <c:noMultiLvlLbl val="0"/>
      </c:catAx>
      <c:valAx>
        <c:axId val="81631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Avg 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0967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Projected Monthly Volume vs. Purge Requirement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'Forward Projections'!$B$14</c:f>
              <c:strCache>
                <c:ptCount val="1"/>
                <c:pt idx="0">
                  <c:v>Projected Monthly Volume</c:v>
                </c:pt>
              </c:strCache>
            </c:strRef>
          </c:tx>
          <c:spPr>
            <a:solidFill>
              <a:srgbClr val="2f5496"/>
            </a:solidFill>
            <a:ln w="2484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'Forward Projections'!$A$15:$A$38</c:f>
              <c:strCache>
                <c:ptCount val="24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  <c:pt idx="8">
                  <c:v>2026-11</c:v>
                </c:pt>
                <c:pt idx="9">
                  <c:v>2026-12</c:v>
                </c:pt>
                <c:pt idx="10">
                  <c:v>2027-01</c:v>
                </c:pt>
                <c:pt idx="11">
                  <c:v>2027-02</c:v>
                </c:pt>
                <c:pt idx="12">
                  <c:v>2027-03</c:v>
                </c:pt>
                <c:pt idx="13">
                  <c:v>2027-04</c:v>
                </c:pt>
                <c:pt idx="14">
                  <c:v>2027-05</c:v>
                </c:pt>
                <c:pt idx="15">
                  <c:v>2027-06</c:v>
                </c:pt>
                <c:pt idx="16">
                  <c:v>2027-07</c:v>
                </c:pt>
                <c:pt idx="17">
                  <c:v>2027-08</c:v>
                </c:pt>
                <c:pt idx="18">
                  <c:v>2027-09</c:v>
                </c:pt>
                <c:pt idx="19">
                  <c:v>2027-10</c:v>
                </c:pt>
                <c:pt idx="20">
                  <c:v>2027-11</c:v>
                </c:pt>
                <c:pt idx="21">
                  <c:v>2027-12</c:v>
                </c:pt>
                <c:pt idx="22">
                  <c:v>2028-01</c:v>
                </c:pt>
                <c:pt idx="23">
                  <c:v>2028-02</c:v>
                </c:pt>
              </c:strCache>
            </c:strRef>
          </c:cat>
          <c:val>
            <c:numRef>
              <c:f>'Forward Projections'!$B$15:$B$38</c:f>
              <c:numCache>
                <c:formatCode>#,##0</c:formatCode>
                <c:ptCount val="24"/>
                <c:pt idx="0">
                  <c:v>390979390.652687</c:v>
                </c:pt>
                <c:pt idx="1">
                  <c:v>697509429.474593</c:v>
                </c:pt>
                <c:pt idx="2">
                  <c:v>1244360740.84057</c:v>
                </c:pt>
                <c:pt idx="3">
                  <c:v>2219946552.56728</c:v>
                </c:pt>
                <c:pt idx="4">
                  <c:v>3960397121.59864</c:v>
                </c:pt>
                <c:pt idx="5">
                  <c:v>7065370714.72645</c:v>
                </c:pt>
                <c:pt idx="6">
                  <c:v>12604661048.8303</c:v>
                </c:pt>
                <c:pt idx="7">
                  <c:v>22486786125.0012</c:v>
                </c:pt>
                <c:pt idx="8">
                  <c:v>40116552779.376</c:v>
                </c:pt>
                <c:pt idx="9">
                  <c:v>71568155536.0715</c:v>
                </c:pt>
                <c:pt idx="10">
                  <c:v>127677991551.371</c:v>
                </c:pt>
                <c:pt idx="11">
                  <c:v>227778254231.741</c:v>
                </c:pt>
                <c:pt idx="12">
                  <c:v>406357685223.961</c:v>
                </c:pt>
                <c:pt idx="13">
                  <c:v>724944393386.105</c:v>
                </c:pt>
                <c:pt idx="14">
                  <c:v>1293304870590.3</c:v>
                </c:pt>
                <c:pt idx="15">
                  <c:v>2307263155012.42</c:v>
                </c:pt>
                <c:pt idx="16">
                  <c:v>4116170430911.69</c:v>
                </c:pt>
                <c:pt idx="17">
                  <c:v>7343271173686.53</c:v>
                </c:pt>
                <c:pt idx="18">
                  <c:v>13100437028879.8</c:v>
                </c:pt>
                <c:pt idx="19">
                  <c:v>23371253258714.4</c:v>
                </c:pt>
                <c:pt idx="20">
                  <c:v>41694447114919.9</c:v>
                </c:pt>
                <c:pt idx="21">
                  <c:v>74383127895405.1</c:v>
                </c:pt>
                <c:pt idx="22">
                  <c:v>132699918055139</c:v>
                </c:pt>
                <c:pt idx="23">
                  <c:v>236737399328005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'Forward Projections'!$D$14</c:f>
              <c:strCache>
                <c:ptCount val="1"/>
                <c:pt idx="0">
                  <c:v>Est. Rows to Purge/Month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'Forward Projections'!$A$15:$A$38</c:f>
              <c:strCache>
                <c:ptCount val="24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  <c:pt idx="8">
                  <c:v>2026-11</c:v>
                </c:pt>
                <c:pt idx="9">
                  <c:v>2026-12</c:v>
                </c:pt>
                <c:pt idx="10">
                  <c:v>2027-01</c:v>
                </c:pt>
                <c:pt idx="11">
                  <c:v>2027-02</c:v>
                </c:pt>
                <c:pt idx="12">
                  <c:v>2027-03</c:v>
                </c:pt>
                <c:pt idx="13">
                  <c:v>2027-04</c:v>
                </c:pt>
                <c:pt idx="14">
                  <c:v>2027-05</c:v>
                </c:pt>
                <c:pt idx="15">
                  <c:v>2027-06</c:v>
                </c:pt>
                <c:pt idx="16">
                  <c:v>2027-07</c:v>
                </c:pt>
                <c:pt idx="17">
                  <c:v>2027-08</c:v>
                </c:pt>
                <c:pt idx="18">
                  <c:v>2027-09</c:v>
                </c:pt>
                <c:pt idx="19">
                  <c:v>2027-10</c:v>
                </c:pt>
                <c:pt idx="20">
                  <c:v>2027-11</c:v>
                </c:pt>
                <c:pt idx="21">
                  <c:v>2027-12</c:v>
                </c:pt>
                <c:pt idx="22">
                  <c:v>2028-01</c:v>
                </c:pt>
                <c:pt idx="23">
                  <c:v>2028-02</c:v>
                </c:pt>
              </c:strCache>
            </c:strRef>
          </c:cat>
          <c:val>
            <c:numRef>
              <c:f>'Forward Projections'!$D$15:$D$38</c:f>
              <c:numCache>
                <c:formatCode>#,##0</c:formatCode>
                <c:ptCount val="24"/>
                <c:pt idx="0">
                  <c:v>376183.075831078</c:v>
                </c:pt>
                <c:pt idx="1">
                  <c:v>671112.720706087</c:v>
                </c:pt>
                <c:pt idx="2">
                  <c:v>1197268.86409896</c:v>
                </c:pt>
                <c:pt idx="3">
                  <c:v>2135934.37989471</c:v>
                </c:pt>
                <c:pt idx="4">
                  <c:v>3810518.93356437</c:v>
                </c:pt>
                <c:pt idx="5">
                  <c:v>6797987.18524693</c:v>
                </c:pt>
                <c:pt idx="6">
                  <c:v>12127647.3300591</c:v>
                </c:pt>
                <c:pt idx="7">
                  <c:v>21635790.970816</c:v>
                </c:pt>
                <c:pt idx="8">
                  <c:v>38598372.643358</c:v>
                </c:pt>
                <c:pt idx="9">
                  <c:v>68859713.6441706</c:v>
                </c:pt>
                <c:pt idx="10">
                  <c:v>122846116</c:v>
                </c:pt>
                <c:pt idx="11">
                  <c:v>219158161.102272</c:v>
                </c:pt>
                <c:pt idx="12">
                  <c:v>390979390.652687</c:v>
                </c:pt>
                <c:pt idx="13">
                  <c:v>697509429.474593</c:v>
                </c:pt>
                <c:pt idx="14">
                  <c:v>1244360740.84057</c:v>
                </c:pt>
                <c:pt idx="15">
                  <c:v>2219946552.56728</c:v>
                </c:pt>
                <c:pt idx="16">
                  <c:v>3960397121.59864</c:v>
                </c:pt>
                <c:pt idx="17">
                  <c:v>7065370714.72645</c:v>
                </c:pt>
                <c:pt idx="18">
                  <c:v>12604661048.8303</c:v>
                </c:pt>
                <c:pt idx="19">
                  <c:v>22486786125.0012</c:v>
                </c:pt>
                <c:pt idx="20">
                  <c:v>40116552779.376</c:v>
                </c:pt>
                <c:pt idx="21">
                  <c:v>71568155536.0715</c:v>
                </c:pt>
                <c:pt idx="22">
                  <c:v>127677991551.371</c:v>
                </c:pt>
                <c:pt idx="23">
                  <c:v>227778254231.741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877213"/>
        <c:axId val="69154472"/>
      </c:lineChart>
      <c:catAx>
        <c:axId val="928772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154472"/>
        <c:crosses val="autoZero"/>
        <c:auto val="1"/>
        <c:lblAlgn val="ctr"/>
        <c:lblOffset val="100"/>
        <c:noMultiLvlLbl val="0"/>
      </c:catAx>
      <c:valAx>
        <c:axId val="69154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Rows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8772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Estimated Nightly Purge Duration (Hours)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'Forward Projections'!$F$14</c:f>
              <c:strCache>
                <c:ptCount val="1"/>
                <c:pt idx="0">
                  <c:v>Est. Purge Duration (hrs)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'Forward Projections'!$A$15:$A$38</c:f>
              <c:strCache>
                <c:ptCount val="24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  <c:pt idx="8">
                  <c:v>2026-11</c:v>
                </c:pt>
                <c:pt idx="9">
                  <c:v>2026-12</c:v>
                </c:pt>
                <c:pt idx="10">
                  <c:v>2027-01</c:v>
                </c:pt>
                <c:pt idx="11">
                  <c:v>2027-02</c:v>
                </c:pt>
                <c:pt idx="12">
                  <c:v>2027-03</c:v>
                </c:pt>
                <c:pt idx="13">
                  <c:v>2027-04</c:v>
                </c:pt>
                <c:pt idx="14">
                  <c:v>2027-05</c:v>
                </c:pt>
                <c:pt idx="15">
                  <c:v>2027-06</c:v>
                </c:pt>
                <c:pt idx="16">
                  <c:v>2027-07</c:v>
                </c:pt>
                <c:pt idx="17">
                  <c:v>2027-08</c:v>
                </c:pt>
                <c:pt idx="18">
                  <c:v>2027-09</c:v>
                </c:pt>
                <c:pt idx="19">
                  <c:v>2027-10</c:v>
                </c:pt>
                <c:pt idx="20">
                  <c:v>2027-11</c:v>
                </c:pt>
                <c:pt idx="21">
                  <c:v>2027-12</c:v>
                </c:pt>
                <c:pt idx="22">
                  <c:v>2028-01</c:v>
                </c:pt>
                <c:pt idx="23">
                  <c:v>2028-02</c:v>
                </c:pt>
              </c:strCache>
            </c:strRef>
          </c:cat>
          <c:val>
            <c:numRef>
              <c:f>'Forward Projections'!$F$15:$F$38</c:f>
              <c:numCache>
                <c:formatCode>#,##0.0</c:formatCode>
                <c:ptCount val="24"/>
                <c:pt idx="0">
                  <c:v>0.00222222222222222</c:v>
                </c:pt>
                <c:pt idx="1">
                  <c:v>0.00388888888888889</c:v>
                </c:pt>
                <c:pt idx="2">
                  <c:v>0.00666666666666667</c:v>
                </c:pt>
                <c:pt idx="3">
                  <c:v>0.0122222222222222</c:v>
                </c:pt>
                <c:pt idx="4">
                  <c:v>0.0216666666666667</c:v>
                </c:pt>
                <c:pt idx="5">
                  <c:v>0.0377777777777778</c:v>
                </c:pt>
                <c:pt idx="6">
                  <c:v>0.0677777777777778</c:v>
                </c:pt>
                <c:pt idx="7">
                  <c:v>0.120555555555556</c:v>
                </c:pt>
                <c:pt idx="8">
                  <c:v>0.214444444444444</c:v>
                </c:pt>
                <c:pt idx="9">
                  <c:v>0.382777777777778</c:v>
                </c:pt>
                <c:pt idx="10">
                  <c:v>0.682777777777778</c:v>
                </c:pt>
                <c:pt idx="11">
                  <c:v>1.21777777777778</c:v>
                </c:pt>
                <c:pt idx="12">
                  <c:v>2.17222222222222</c:v>
                </c:pt>
                <c:pt idx="13">
                  <c:v>3.87555555555556</c:v>
                </c:pt>
                <c:pt idx="14">
                  <c:v>6.91333333333333</c:v>
                </c:pt>
                <c:pt idx="15">
                  <c:v>12.3333333333333</c:v>
                </c:pt>
                <c:pt idx="16">
                  <c:v>22.0022222222222</c:v>
                </c:pt>
                <c:pt idx="17">
                  <c:v>39.2522222222222</c:v>
                </c:pt>
                <c:pt idx="18">
                  <c:v>70.0261111111111</c:v>
                </c:pt>
                <c:pt idx="19">
                  <c:v>124.926666666667</c:v>
                </c:pt>
                <c:pt idx="20">
                  <c:v>222.87</c:v>
                </c:pt>
                <c:pt idx="21">
                  <c:v>397.601111111111</c:v>
                </c:pt>
                <c:pt idx="22">
                  <c:v>709.322222222222</c:v>
                </c:pt>
                <c:pt idx="23">
                  <c:v>1265.435</c:v>
                </c:pt>
              </c:numCache>
            </c:numRef>
          </c:val>
        </c:ser>
        <c:gapWidth val="150"/>
        <c:overlap val="0"/>
        <c:axId val="52406841"/>
        <c:axId val="28313562"/>
      </c:barChart>
      <c:catAx>
        <c:axId val="524068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313562"/>
        <c:crosses val="autoZero"/>
        <c:auto val="1"/>
        <c:lblAlgn val="ctr"/>
        <c:lblOffset val="100"/>
        <c:noMultiLvlLbl val="0"/>
      </c:catAx>
      <c:valAx>
        <c:axId val="28313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4068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Projected Table Size (GB)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'Forward Projections'!$G$14</c:f>
              <c:strCache>
                <c:ptCount val="1"/>
                <c:pt idx="0">
                  <c:v>Est. Table Size (GB)</c:v>
                </c:pt>
              </c:strCache>
            </c:strRef>
          </c:tx>
          <c:spPr>
            <a:solidFill>
              <a:srgbClr val="008000"/>
            </a:solidFill>
            <a:ln w="24840">
              <a:solidFill>
                <a:srgbClr val="008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'Forward Projections'!$A$15:$A$38</c:f>
              <c:strCache>
                <c:ptCount val="24"/>
                <c:pt idx="0">
                  <c:v>2026-03</c:v>
                </c:pt>
                <c:pt idx="1">
                  <c:v>2026-04</c:v>
                </c:pt>
                <c:pt idx="2">
                  <c:v>2026-05</c:v>
                </c:pt>
                <c:pt idx="3">
                  <c:v>2026-06</c:v>
                </c:pt>
                <c:pt idx="4">
                  <c:v>2026-07</c:v>
                </c:pt>
                <c:pt idx="5">
                  <c:v>2026-08</c:v>
                </c:pt>
                <c:pt idx="6">
                  <c:v>2026-09</c:v>
                </c:pt>
                <c:pt idx="7">
                  <c:v>2026-10</c:v>
                </c:pt>
                <c:pt idx="8">
                  <c:v>2026-11</c:v>
                </c:pt>
                <c:pt idx="9">
                  <c:v>2026-12</c:v>
                </c:pt>
                <c:pt idx="10">
                  <c:v>2027-01</c:v>
                </c:pt>
                <c:pt idx="11">
                  <c:v>2027-02</c:v>
                </c:pt>
                <c:pt idx="12">
                  <c:v>2027-03</c:v>
                </c:pt>
                <c:pt idx="13">
                  <c:v>2027-04</c:v>
                </c:pt>
                <c:pt idx="14">
                  <c:v>2027-05</c:v>
                </c:pt>
                <c:pt idx="15">
                  <c:v>2027-06</c:v>
                </c:pt>
                <c:pt idx="16">
                  <c:v>2027-07</c:v>
                </c:pt>
                <c:pt idx="17">
                  <c:v>2027-08</c:v>
                </c:pt>
                <c:pt idx="18">
                  <c:v>2027-09</c:v>
                </c:pt>
                <c:pt idx="19">
                  <c:v>2027-10</c:v>
                </c:pt>
                <c:pt idx="20">
                  <c:v>2027-11</c:v>
                </c:pt>
                <c:pt idx="21">
                  <c:v>2027-12</c:v>
                </c:pt>
                <c:pt idx="22">
                  <c:v>2028-01</c:v>
                </c:pt>
                <c:pt idx="23">
                  <c:v>2028-02</c:v>
                </c:pt>
              </c:strCache>
            </c:strRef>
          </c:cat>
          <c:val>
            <c:numRef>
              <c:f>'Forward Projections'!$G$15:$G$38</c:f>
              <c:numCache>
                <c:formatCode>#,##0.0</c:formatCode>
                <c:ptCount val="24"/>
                <c:pt idx="0">
                  <c:v>720.626382280952</c:v>
                </c:pt>
                <c:pt idx="1">
                  <c:v>1051.92558389615</c:v>
                </c:pt>
                <c:pt idx="2">
                  <c:v>1642.96522084028</c:v>
                </c:pt>
                <c:pt idx="3">
                  <c:v>2697.38325365159</c:v>
                </c:pt>
                <c:pt idx="4">
                  <c:v>4578.47094798295</c:v>
                </c:pt>
                <c:pt idx="5">
                  <c:v>7934.34196275539</c:v>
                </c:pt>
                <c:pt idx="6">
                  <c:v>13921.234706633</c:v>
                </c:pt>
                <c:pt idx="7">
                  <c:v>24601.8849965025</c:v>
                </c:pt>
                <c:pt idx="8">
                  <c:v>43656.2251182874</c:v>
                </c:pt>
                <c:pt idx="9">
                  <c:v>77649.2749441983</c:v>
                </c:pt>
                <c:pt idx="10">
                  <c:v>138293.06680901</c:v>
                </c:pt>
                <c:pt idx="11">
                  <c:v>246481.932196998</c:v>
                </c:pt>
                <c:pt idx="12">
                  <c:v>439491.475861956</c:v>
                </c:pt>
                <c:pt idx="13">
                  <c:v>783821.586101672</c:v>
                </c:pt>
                <c:pt idx="14">
                  <c:v>1398108.43724053</c:v>
                </c:pt>
                <c:pt idx="15">
                  <c:v>2493999.63077974</c:v>
                </c:pt>
                <c:pt idx="16">
                  <c:v>4449075.67684886</c:v>
                </c:pt>
                <c:pt idx="17">
                  <c:v>7936942.32679331</c:v>
                </c:pt>
                <c:pt idx="18">
                  <c:v>14159316.0253787</c:v>
                </c:pt>
                <c:pt idx="19">
                  <c:v>25260065.6613958</c:v>
                </c:pt>
                <c:pt idx="20">
                  <c:v>45063865.3768562</c:v>
                </c:pt>
                <c:pt idx="21">
                  <c:v>80393955.3284017</c:v>
                </c:pt>
                <c:pt idx="22">
                  <c:v>143423034.288933</c:v>
                </c:pt>
                <c:pt idx="23">
                  <c:v>255867265.256397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605446"/>
        <c:axId val="82042879"/>
      </c:lineChart>
      <c:catAx>
        <c:axId val="406054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042879"/>
        <c:crosses val="autoZero"/>
        <c:auto val="1"/>
        <c:lblAlgn val="ctr"/>
        <c:lblOffset val="100"/>
        <c:noMultiLvlLbl val="0"/>
      </c:catAx>
      <c:valAx>
        <c:axId val="820428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6054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160560</xdr:rowOff>
    </xdr:from>
    <xdr:to>
      <xdr:col>8</xdr:col>
      <xdr:colOff>115560</xdr:colOff>
      <xdr:row>53</xdr:row>
      <xdr:rowOff>35280</xdr:rowOff>
    </xdr:to>
    <xdr:graphicFrame>
      <xdr:nvGraphicFramePr>
        <xdr:cNvPr id="0" name="Chart 1"/>
        <xdr:cNvGraphicFramePr/>
      </xdr:nvGraphicFramePr>
      <xdr:xfrm>
        <a:off x="0" y="4961160"/>
        <a:ext cx="10083240" cy="53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203040</xdr:colOff>
      <xdr:row>24</xdr:row>
      <xdr:rowOff>173160</xdr:rowOff>
    </xdr:from>
    <xdr:to>
      <xdr:col>23</xdr:col>
      <xdr:colOff>217080</xdr:colOff>
      <xdr:row>53</xdr:row>
      <xdr:rowOff>48240</xdr:rowOff>
    </xdr:to>
    <xdr:graphicFrame>
      <xdr:nvGraphicFramePr>
        <xdr:cNvPr id="1" name="Chart 2"/>
        <xdr:cNvGraphicFramePr/>
      </xdr:nvGraphicFramePr>
      <xdr:xfrm>
        <a:off x="10170720" y="4973760"/>
        <a:ext cx="1008180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369</xdr:row>
      <xdr:rowOff>160920</xdr:rowOff>
    </xdr:from>
    <xdr:to>
      <xdr:col>11</xdr:col>
      <xdr:colOff>159120</xdr:colOff>
      <xdr:row>403</xdr:row>
      <xdr:rowOff>163080</xdr:rowOff>
    </xdr:to>
    <xdr:graphicFrame>
      <xdr:nvGraphicFramePr>
        <xdr:cNvPr id="2" name="Chart 1"/>
        <xdr:cNvGraphicFramePr/>
      </xdr:nvGraphicFramePr>
      <xdr:xfrm>
        <a:off x="0" y="73989360"/>
        <a:ext cx="12967200" cy="64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160560</xdr:rowOff>
    </xdr:from>
    <xdr:to>
      <xdr:col>14</xdr:col>
      <xdr:colOff>501480</xdr:colOff>
      <xdr:row>44</xdr:row>
      <xdr:rowOff>56520</xdr:rowOff>
    </xdr:to>
    <xdr:graphicFrame>
      <xdr:nvGraphicFramePr>
        <xdr:cNvPr id="3" name="Chart 2"/>
        <xdr:cNvGraphicFramePr/>
      </xdr:nvGraphicFramePr>
      <xdr:xfrm>
        <a:off x="8108280" y="3580200"/>
        <a:ext cx="7214760" cy="529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46</xdr:row>
      <xdr:rowOff>160560</xdr:rowOff>
    </xdr:from>
    <xdr:to>
      <xdr:col>5</xdr:col>
      <xdr:colOff>1448280</xdr:colOff>
      <xdr:row>77</xdr:row>
      <xdr:rowOff>14400</xdr:rowOff>
    </xdr:to>
    <xdr:graphicFrame>
      <xdr:nvGraphicFramePr>
        <xdr:cNvPr id="4" name="Chart 1"/>
        <xdr:cNvGraphicFramePr/>
      </xdr:nvGraphicFramePr>
      <xdr:xfrm>
        <a:off x="0" y="9333000"/>
        <a:ext cx="1151928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1600200</xdr:colOff>
      <xdr:row>46</xdr:row>
      <xdr:rowOff>173520</xdr:rowOff>
    </xdr:from>
    <xdr:to>
      <xdr:col>21</xdr:col>
      <xdr:colOff>102240</xdr:colOff>
      <xdr:row>77</xdr:row>
      <xdr:rowOff>27360</xdr:rowOff>
    </xdr:to>
    <xdr:graphicFrame>
      <xdr:nvGraphicFramePr>
        <xdr:cNvPr id="5" name="Chart 2"/>
        <xdr:cNvGraphicFramePr/>
      </xdr:nvGraphicFramePr>
      <xdr:xfrm>
        <a:off x="11671200" y="9345960"/>
        <a:ext cx="1156608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78</xdr:row>
      <xdr:rowOff>160560</xdr:rowOff>
    </xdr:from>
    <xdr:to>
      <xdr:col>5</xdr:col>
      <xdr:colOff>1448280</xdr:colOff>
      <xdr:row>109</xdr:row>
      <xdr:rowOff>14400</xdr:rowOff>
    </xdr:to>
    <xdr:graphicFrame>
      <xdr:nvGraphicFramePr>
        <xdr:cNvPr id="6" name="Chart 3"/>
        <xdr:cNvGraphicFramePr/>
      </xdr:nvGraphicFramePr>
      <xdr:xfrm>
        <a:off x="0" y="15429240"/>
        <a:ext cx="11519280" cy="57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4" min="1" style="0" width="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2026</v>
      </c>
      <c r="B2" s="0" t="n">
        <v>2</v>
      </c>
      <c r="C2" s="0" t="n">
        <v>26</v>
      </c>
      <c r="D2" s="0" t="n">
        <v>669087</v>
      </c>
    </row>
    <row r="3" customFormat="false" ht="15" hidden="false" customHeight="false" outlineLevel="0" collapsed="false">
      <c r="A3" s="0" t="n">
        <v>2026</v>
      </c>
      <c r="B3" s="0" t="n">
        <v>2</v>
      </c>
      <c r="C3" s="0" t="n">
        <v>25</v>
      </c>
      <c r="D3" s="0" t="n">
        <v>4622233</v>
      </c>
    </row>
    <row r="4" customFormat="false" ht="15" hidden="false" customHeight="false" outlineLevel="0" collapsed="false">
      <c r="A4" s="0" t="n">
        <v>2026</v>
      </c>
      <c r="B4" s="0" t="n">
        <v>2</v>
      </c>
      <c r="C4" s="0" t="n">
        <v>24</v>
      </c>
      <c r="D4" s="0" t="n">
        <v>4975720</v>
      </c>
    </row>
    <row r="5" customFormat="false" ht="15" hidden="false" customHeight="false" outlineLevel="0" collapsed="false">
      <c r="A5" s="0" t="n">
        <v>2026</v>
      </c>
      <c r="B5" s="0" t="n">
        <v>2</v>
      </c>
      <c r="C5" s="0" t="n">
        <v>23</v>
      </c>
      <c r="D5" s="0" t="n">
        <v>4726602</v>
      </c>
    </row>
    <row r="6" customFormat="false" ht="15" hidden="false" customHeight="false" outlineLevel="0" collapsed="false">
      <c r="A6" s="0" t="n">
        <v>2026</v>
      </c>
      <c r="B6" s="0" t="n">
        <v>2</v>
      </c>
      <c r="C6" s="0" t="n">
        <v>22</v>
      </c>
      <c r="D6" s="0" t="n">
        <v>3409595</v>
      </c>
    </row>
    <row r="7" customFormat="false" ht="15" hidden="false" customHeight="false" outlineLevel="0" collapsed="false">
      <c r="A7" s="0" t="n">
        <v>2026</v>
      </c>
      <c r="B7" s="0" t="n">
        <v>2</v>
      </c>
      <c r="C7" s="0" t="n">
        <v>21</v>
      </c>
      <c r="D7" s="0" t="n">
        <v>2236911</v>
      </c>
    </row>
    <row r="8" customFormat="false" ht="15" hidden="false" customHeight="false" outlineLevel="0" collapsed="false">
      <c r="A8" s="0" t="n">
        <v>2026</v>
      </c>
      <c r="B8" s="0" t="n">
        <v>2</v>
      </c>
      <c r="C8" s="0" t="n">
        <v>20</v>
      </c>
      <c r="D8" s="0" t="n">
        <v>2991948</v>
      </c>
    </row>
    <row r="9" customFormat="false" ht="15" hidden="false" customHeight="false" outlineLevel="0" collapsed="false">
      <c r="A9" s="0" t="n">
        <v>2026</v>
      </c>
      <c r="B9" s="0" t="n">
        <v>2</v>
      </c>
      <c r="C9" s="0" t="n">
        <v>19</v>
      </c>
      <c r="D9" s="0" t="n">
        <v>4796771</v>
      </c>
    </row>
    <row r="10" customFormat="false" ht="15" hidden="false" customHeight="false" outlineLevel="0" collapsed="false">
      <c r="A10" s="0" t="n">
        <v>2026</v>
      </c>
      <c r="B10" s="0" t="n">
        <v>2</v>
      </c>
      <c r="C10" s="0" t="n">
        <v>18</v>
      </c>
      <c r="D10" s="0" t="n">
        <v>4757647</v>
      </c>
    </row>
    <row r="11" customFormat="false" ht="15" hidden="false" customHeight="false" outlineLevel="0" collapsed="false">
      <c r="A11" s="0" t="n">
        <v>2026</v>
      </c>
      <c r="B11" s="0" t="n">
        <v>2</v>
      </c>
      <c r="C11" s="0" t="n">
        <v>17</v>
      </c>
      <c r="D11" s="0" t="n">
        <v>4870475</v>
      </c>
    </row>
    <row r="12" customFormat="false" ht="15" hidden="false" customHeight="false" outlineLevel="0" collapsed="false">
      <c r="A12" s="0" t="n">
        <v>2026</v>
      </c>
      <c r="B12" s="0" t="n">
        <v>2</v>
      </c>
      <c r="C12" s="0" t="n">
        <v>16</v>
      </c>
      <c r="D12" s="0" t="n">
        <v>4816016</v>
      </c>
    </row>
    <row r="13" customFormat="false" ht="15" hidden="false" customHeight="false" outlineLevel="0" collapsed="false">
      <c r="A13" s="0" t="n">
        <v>2026</v>
      </c>
      <c r="B13" s="0" t="n">
        <v>2</v>
      </c>
      <c r="C13" s="0" t="n">
        <v>15</v>
      </c>
      <c r="D13" s="0" t="n">
        <v>3776866</v>
      </c>
    </row>
    <row r="14" customFormat="false" ht="15" hidden="false" customHeight="false" outlineLevel="0" collapsed="false">
      <c r="A14" s="0" t="n">
        <v>2026</v>
      </c>
      <c r="B14" s="0" t="n">
        <v>2</v>
      </c>
      <c r="C14" s="0" t="n">
        <v>14</v>
      </c>
      <c r="D14" s="0" t="n">
        <v>1857040</v>
      </c>
    </row>
    <row r="15" customFormat="false" ht="15" hidden="false" customHeight="false" outlineLevel="0" collapsed="false">
      <c r="A15" s="0" t="n">
        <v>2026</v>
      </c>
      <c r="B15" s="0" t="n">
        <v>2</v>
      </c>
      <c r="C15" s="0" t="n">
        <v>13</v>
      </c>
      <c r="D15" s="0" t="n">
        <v>2898665</v>
      </c>
    </row>
    <row r="16" customFormat="false" ht="15" hidden="false" customHeight="false" outlineLevel="0" collapsed="false">
      <c r="A16" s="0" t="n">
        <v>2026</v>
      </c>
      <c r="B16" s="0" t="n">
        <v>2</v>
      </c>
      <c r="C16" s="0" t="n">
        <v>12</v>
      </c>
      <c r="D16" s="0" t="n">
        <v>4798004</v>
      </c>
    </row>
    <row r="17" customFormat="false" ht="15" hidden="false" customHeight="false" outlineLevel="0" collapsed="false">
      <c r="A17" s="0" t="n">
        <v>2026</v>
      </c>
      <c r="B17" s="0" t="n">
        <v>2</v>
      </c>
      <c r="C17" s="0" t="n">
        <v>11</v>
      </c>
      <c r="D17" s="0" t="n">
        <v>4766286</v>
      </c>
    </row>
    <row r="18" customFormat="false" ht="15" hidden="false" customHeight="false" outlineLevel="0" collapsed="false">
      <c r="A18" s="0" t="n">
        <v>2026</v>
      </c>
      <c r="B18" s="0" t="n">
        <v>2</v>
      </c>
      <c r="C18" s="0" t="n">
        <v>10</v>
      </c>
      <c r="D18" s="0" t="n">
        <v>4919377</v>
      </c>
    </row>
    <row r="19" customFormat="false" ht="15" hidden="false" customHeight="false" outlineLevel="0" collapsed="false">
      <c r="A19" s="0" t="n">
        <v>2026</v>
      </c>
      <c r="B19" s="0" t="n">
        <v>2</v>
      </c>
      <c r="C19" s="0" t="n">
        <v>9</v>
      </c>
      <c r="D19" s="0" t="n">
        <v>4703706</v>
      </c>
    </row>
    <row r="20" customFormat="false" ht="15" hidden="false" customHeight="false" outlineLevel="0" collapsed="false">
      <c r="A20" s="0" t="n">
        <v>2026</v>
      </c>
      <c r="B20" s="0" t="n">
        <v>2</v>
      </c>
      <c r="C20" s="0" t="n">
        <v>8</v>
      </c>
      <c r="D20" s="0" t="n">
        <v>3471980</v>
      </c>
    </row>
    <row r="21" customFormat="false" ht="15" hidden="false" customHeight="false" outlineLevel="0" collapsed="false">
      <c r="A21" s="0" t="n">
        <v>2026</v>
      </c>
      <c r="B21" s="0" t="n">
        <v>2</v>
      </c>
      <c r="C21" s="0" t="n">
        <v>7</v>
      </c>
      <c r="D21" s="0" t="n">
        <v>1867565</v>
      </c>
    </row>
    <row r="22" customFormat="false" ht="15" hidden="false" customHeight="false" outlineLevel="0" collapsed="false">
      <c r="A22" s="0" t="n">
        <v>2026</v>
      </c>
      <c r="B22" s="0" t="n">
        <v>2</v>
      </c>
      <c r="C22" s="0" t="n">
        <v>6</v>
      </c>
      <c r="D22" s="0" t="n">
        <v>2903760</v>
      </c>
    </row>
    <row r="23" customFormat="false" ht="15" hidden="false" customHeight="false" outlineLevel="0" collapsed="false">
      <c r="A23" s="0" t="n">
        <v>2026</v>
      </c>
      <c r="B23" s="0" t="n">
        <v>2</v>
      </c>
      <c r="C23" s="0" t="n">
        <v>5</v>
      </c>
      <c r="D23" s="0" t="n">
        <v>4636373</v>
      </c>
    </row>
    <row r="24" customFormat="false" ht="15" hidden="false" customHeight="false" outlineLevel="0" collapsed="false">
      <c r="A24" s="0" t="n">
        <v>2026</v>
      </c>
      <c r="B24" s="0" t="n">
        <v>2</v>
      </c>
      <c r="C24" s="0" t="n">
        <v>4</v>
      </c>
      <c r="D24" s="0" t="n">
        <v>4739935</v>
      </c>
    </row>
    <row r="25" customFormat="false" ht="15" hidden="false" customHeight="false" outlineLevel="0" collapsed="false">
      <c r="A25" s="0" t="n">
        <v>2026</v>
      </c>
      <c r="B25" s="0" t="n">
        <v>2</v>
      </c>
      <c r="C25" s="0" t="n">
        <v>3</v>
      </c>
      <c r="D25" s="0" t="n">
        <v>5109935</v>
      </c>
    </row>
    <row r="26" customFormat="false" ht="15" hidden="false" customHeight="false" outlineLevel="0" collapsed="false">
      <c r="A26" s="0" t="n">
        <v>2026</v>
      </c>
      <c r="B26" s="0" t="n">
        <v>2</v>
      </c>
      <c r="C26" s="0" t="n">
        <v>2</v>
      </c>
      <c r="D26" s="0" t="n">
        <v>4972404</v>
      </c>
    </row>
    <row r="27" customFormat="false" ht="15" hidden="false" customHeight="false" outlineLevel="0" collapsed="false">
      <c r="A27" s="0" t="n">
        <v>2026</v>
      </c>
      <c r="B27" s="0" t="n">
        <v>2</v>
      </c>
      <c r="C27" s="0" t="n">
        <v>1</v>
      </c>
      <c r="D27" s="0" t="n">
        <v>3825083</v>
      </c>
    </row>
    <row r="28" customFormat="false" ht="15" hidden="false" customHeight="false" outlineLevel="0" collapsed="false">
      <c r="A28" s="0" t="n">
        <v>2026</v>
      </c>
      <c r="B28" s="0" t="n">
        <v>2</v>
      </c>
      <c r="C28" s="0" t="s">
        <v>4</v>
      </c>
      <c r="D28" s="0" t="n">
        <v>102119984</v>
      </c>
    </row>
    <row r="29" customFormat="false" ht="15" hidden="false" customHeight="false" outlineLevel="0" collapsed="false">
      <c r="A29" s="0" t="n">
        <v>2026</v>
      </c>
      <c r="B29" s="0" t="n">
        <v>1</v>
      </c>
      <c r="C29" s="0" t="n">
        <v>31</v>
      </c>
      <c r="D29" s="0" t="n">
        <v>2006072</v>
      </c>
    </row>
    <row r="30" customFormat="false" ht="15" hidden="false" customHeight="false" outlineLevel="0" collapsed="false">
      <c r="A30" s="0" t="n">
        <v>2026</v>
      </c>
      <c r="B30" s="0" t="n">
        <v>1</v>
      </c>
      <c r="C30" s="0" t="n">
        <v>30</v>
      </c>
      <c r="D30" s="0" t="n">
        <v>2734258</v>
      </c>
    </row>
    <row r="31" customFormat="false" ht="15" hidden="false" customHeight="false" outlineLevel="0" collapsed="false">
      <c r="A31" s="0" t="n">
        <v>2026</v>
      </c>
      <c r="B31" s="0" t="n">
        <v>1</v>
      </c>
      <c r="C31" s="0" t="n">
        <v>29</v>
      </c>
      <c r="D31" s="0" t="n">
        <v>4724403</v>
      </c>
    </row>
    <row r="32" customFormat="false" ht="15" hidden="false" customHeight="false" outlineLevel="0" collapsed="false">
      <c r="A32" s="0" t="n">
        <v>2026</v>
      </c>
      <c r="B32" s="0" t="n">
        <v>1</v>
      </c>
      <c r="C32" s="0" t="n">
        <v>28</v>
      </c>
      <c r="D32" s="0" t="n">
        <v>4605813</v>
      </c>
    </row>
    <row r="33" customFormat="false" ht="15" hidden="false" customHeight="false" outlineLevel="0" collapsed="false">
      <c r="A33" s="0" t="n">
        <v>2026</v>
      </c>
      <c r="B33" s="0" t="n">
        <v>1</v>
      </c>
      <c r="C33" s="0" t="n">
        <v>27</v>
      </c>
      <c r="D33" s="0" t="n">
        <v>4970736</v>
      </c>
    </row>
    <row r="34" customFormat="false" ht="15" hidden="false" customHeight="false" outlineLevel="0" collapsed="false">
      <c r="A34" s="0" t="n">
        <v>2026</v>
      </c>
      <c r="B34" s="0" t="n">
        <v>1</v>
      </c>
      <c r="C34" s="0" t="n">
        <v>26</v>
      </c>
      <c r="D34" s="0" t="n">
        <v>4915798</v>
      </c>
    </row>
    <row r="35" customFormat="false" ht="15" hidden="false" customHeight="false" outlineLevel="0" collapsed="false">
      <c r="A35" s="0" t="n">
        <v>2026</v>
      </c>
      <c r="B35" s="0" t="n">
        <v>1</v>
      </c>
      <c r="C35" s="0" t="n">
        <v>25</v>
      </c>
      <c r="D35" s="0" t="n">
        <v>3670308</v>
      </c>
    </row>
    <row r="36" customFormat="false" ht="15" hidden="false" customHeight="false" outlineLevel="0" collapsed="false">
      <c r="A36" s="0" t="n">
        <v>2026</v>
      </c>
      <c r="B36" s="0" t="n">
        <v>1</v>
      </c>
      <c r="C36" s="0" t="n">
        <v>24</v>
      </c>
      <c r="D36" s="0" t="n">
        <v>2167996</v>
      </c>
    </row>
    <row r="37" customFormat="false" ht="15" hidden="false" customHeight="false" outlineLevel="0" collapsed="false">
      <c r="A37" s="0" t="n">
        <v>2026</v>
      </c>
      <c r="B37" s="0" t="n">
        <v>1</v>
      </c>
      <c r="C37" s="0" t="n">
        <v>23</v>
      </c>
      <c r="D37" s="0" t="n">
        <v>2776381</v>
      </c>
    </row>
    <row r="38" customFormat="false" ht="15" hidden="false" customHeight="false" outlineLevel="0" collapsed="false">
      <c r="A38" s="0" t="n">
        <v>2026</v>
      </c>
      <c r="B38" s="0" t="n">
        <v>1</v>
      </c>
      <c r="C38" s="0" t="n">
        <v>22</v>
      </c>
      <c r="D38" s="0" t="n">
        <v>4453274</v>
      </c>
    </row>
    <row r="39" customFormat="false" ht="15" hidden="false" customHeight="false" outlineLevel="0" collapsed="false">
      <c r="A39" s="0" t="n">
        <v>2026</v>
      </c>
      <c r="B39" s="0" t="n">
        <v>1</v>
      </c>
      <c r="C39" s="0" t="n">
        <v>21</v>
      </c>
      <c r="D39" s="0" t="n">
        <v>4597939</v>
      </c>
    </row>
    <row r="40" customFormat="false" ht="15" hidden="false" customHeight="false" outlineLevel="0" collapsed="false">
      <c r="A40" s="0" t="n">
        <v>2026</v>
      </c>
      <c r="B40" s="0" t="n">
        <v>1</v>
      </c>
      <c r="C40" s="0" t="n">
        <v>20</v>
      </c>
      <c r="D40" s="0" t="n">
        <v>5092829</v>
      </c>
    </row>
    <row r="41" customFormat="false" ht="15" hidden="false" customHeight="false" outlineLevel="0" collapsed="false">
      <c r="A41" s="0" t="n">
        <v>2026</v>
      </c>
      <c r="B41" s="0" t="n">
        <v>1</v>
      </c>
      <c r="C41" s="0" t="n">
        <v>19</v>
      </c>
      <c r="D41" s="0" t="n">
        <v>5068727</v>
      </c>
    </row>
    <row r="42" customFormat="false" ht="15" hidden="false" customHeight="false" outlineLevel="0" collapsed="false">
      <c r="A42" s="0" t="n">
        <v>2026</v>
      </c>
      <c r="B42" s="0" t="n">
        <v>1</v>
      </c>
      <c r="C42" s="0" t="n">
        <v>18</v>
      </c>
      <c r="D42" s="0" t="n">
        <v>3921633</v>
      </c>
    </row>
    <row r="43" customFormat="false" ht="15" hidden="false" customHeight="false" outlineLevel="0" collapsed="false">
      <c r="A43" s="0" t="n">
        <v>2026</v>
      </c>
      <c r="B43" s="0" t="n">
        <v>1</v>
      </c>
      <c r="C43" s="0" t="n">
        <v>17</v>
      </c>
      <c r="D43" s="0" t="n">
        <v>2340686</v>
      </c>
    </row>
    <row r="44" customFormat="false" ht="15" hidden="false" customHeight="false" outlineLevel="0" collapsed="false">
      <c r="A44" s="0" t="n">
        <v>2026</v>
      </c>
      <c r="B44" s="0" t="n">
        <v>1</v>
      </c>
      <c r="C44" s="0" t="n">
        <v>16</v>
      </c>
      <c r="D44" s="0" t="n">
        <v>3030825</v>
      </c>
    </row>
    <row r="45" customFormat="false" ht="15" hidden="false" customHeight="false" outlineLevel="0" collapsed="false">
      <c r="A45" s="0" t="n">
        <v>2026</v>
      </c>
      <c r="B45" s="0" t="n">
        <v>1</v>
      </c>
      <c r="C45" s="0" t="n">
        <v>15</v>
      </c>
      <c r="D45" s="0" t="n">
        <v>4991496</v>
      </c>
    </row>
    <row r="46" customFormat="false" ht="15" hidden="false" customHeight="false" outlineLevel="0" collapsed="false">
      <c r="A46" s="0" t="n">
        <v>2026</v>
      </c>
      <c r="B46" s="0" t="n">
        <v>1</v>
      </c>
      <c r="C46" s="0" t="n">
        <v>14</v>
      </c>
      <c r="D46" s="0" t="n">
        <v>4939243</v>
      </c>
    </row>
    <row r="47" customFormat="false" ht="15" hidden="false" customHeight="false" outlineLevel="0" collapsed="false">
      <c r="A47" s="0" t="n">
        <v>2026</v>
      </c>
      <c r="B47" s="0" t="n">
        <v>1</v>
      </c>
      <c r="C47" s="0" t="n">
        <v>13</v>
      </c>
      <c r="D47" s="0" t="n">
        <v>5245107</v>
      </c>
    </row>
    <row r="48" customFormat="false" ht="15" hidden="false" customHeight="false" outlineLevel="0" collapsed="false">
      <c r="A48" s="0" t="n">
        <v>2026</v>
      </c>
      <c r="B48" s="0" t="n">
        <v>1</v>
      </c>
      <c r="C48" s="0" t="n">
        <v>12</v>
      </c>
      <c r="D48" s="0" t="n">
        <v>4843494</v>
      </c>
    </row>
    <row r="49" customFormat="false" ht="15" hidden="false" customHeight="false" outlineLevel="0" collapsed="false">
      <c r="A49" s="0" t="n">
        <v>2026</v>
      </c>
      <c r="B49" s="0" t="n">
        <v>1</v>
      </c>
      <c r="C49" s="0" t="n">
        <v>11</v>
      </c>
      <c r="D49" s="0" t="n">
        <v>3862803</v>
      </c>
    </row>
    <row r="50" customFormat="false" ht="15" hidden="false" customHeight="false" outlineLevel="0" collapsed="false">
      <c r="A50" s="0" t="n">
        <v>2026</v>
      </c>
      <c r="B50" s="0" t="n">
        <v>1</v>
      </c>
      <c r="C50" s="0" t="n">
        <v>10</v>
      </c>
      <c r="D50" s="0" t="n">
        <v>1843441</v>
      </c>
    </row>
    <row r="51" customFormat="false" ht="15" hidden="false" customHeight="false" outlineLevel="0" collapsed="false">
      <c r="A51" s="0" t="n">
        <v>2026</v>
      </c>
      <c r="B51" s="0" t="n">
        <v>1</v>
      </c>
      <c r="C51" s="0" t="n">
        <v>9</v>
      </c>
      <c r="D51" s="0" t="n">
        <v>3980213</v>
      </c>
    </row>
    <row r="52" customFormat="false" ht="15" hidden="false" customHeight="false" outlineLevel="0" collapsed="false">
      <c r="A52" s="0" t="n">
        <v>2026</v>
      </c>
      <c r="B52" s="0" t="n">
        <v>1</v>
      </c>
      <c r="C52" s="0" t="n">
        <v>8</v>
      </c>
      <c r="D52" s="0" t="n">
        <v>5152016</v>
      </c>
    </row>
    <row r="53" customFormat="false" ht="15" hidden="false" customHeight="false" outlineLevel="0" collapsed="false">
      <c r="A53" s="0" t="n">
        <v>2026</v>
      </c>
      <c r="B53" s="0" t="n">
        <v>1</v>
      </c>
      <c r="C53" s="0" t="n">
        <v>7</v>
      </c>
      <c r="D53" s="0" t="n">
        <v>5221217</v>
      </c>
    </row>
    <row r="54" customFormat="false" ht="15" hidden="false" customHeight="false" outlineLevel="0" collapsed="false">
      <c r="A54" s="0" t="n">
        <v>2026</v>
      </c>
      <c r="B54" s="0" t="n">
        <v>1</v>
      </c>
      <c r="C54" s="0" t="n">
        <v>6</v>
      </c>
      <c r="D54" s="0" t="n">
        <v>5327459</v>
      </c>
    </row>
    <row r="55" customFormat="false" ht="15" hidden="false" customHeight="false" outlineLevel="0" collapsed="false">
      <c r="A55" s="0" t="n">
        <v>2026</v>
      </c>
      <c r="B55" s="0" t="n">
        <v>1</v>
      </c>
      <c r="C55" s="0" t="n">
        <v>5</v>
      </c>
      <c r="D55" s="0" t="n">
        <v>5217831</v>
      </c>
    </row>
    <row r="56" customFormat="false" ht="15" hidden="false" customHeight="false" outlineLevel="0" collapsed="false">
      <c r="A56" s="0" t="n">
        <v>2026</v>
      </c>
      <c r="B56" s="0" t="n">
        <v>1</v>
      </c>
      <c r="C56" s="0" t="n">
        <v>4</v>
      </c>
      <c r="D56" s="0" t="n">
        <v>3695905</v>
      </c>
    </row>
    <row r="57" customFormat="false" ht="15" hidden="false" customHeight="false" outlineLevel="0" collapsed="false">
      <c r="A57" s="0" t="n">
        <v>2026</v>
      </c>
      <c r="B57" s="0" t="n">
        <v>1</v>
      </c>
      <c r="C57" s="0" t="n">
        <v>3</v>
      </c>
      <c r="D57" s="0" t="n">
        <v>2154073</v>
      </c>
    </row>
    <row r="58" customFormat="false" ht="15" hidden="false" customHeight="false" outlineLevel="0" collapsed="false">
      <c r="A58" s="0" t="n">
        <v>2026</v>
      </c>
      <c r="B58" s="0" t="n">
        <v>1</v>
      </c>
      <c r="C58" s="0" t="n">
        <v>2</v>
      </c>
      <c r="D58" s="0" t="n">
        <v>3350589</v>
      </c>
    </row>
    <row r="59" customFormat="false" ht="15" hidden="false" customHeight="false" outlineLevel="0" collapsed="false">
      <c r="A59" s="0" t="n">
        <v>2026</v>
      </c>
      <c r="B59" s="0" t="n">
        <v>1</v>
      </c>
      <c r="C59" s="0" t="n">
        <v>1</v>
      </c>
      <c r="D59" s="0" t="n">
        <v>1943551</v>
      </c>
    </row>
    <row r="60" customFormat="false" ht="15" hidden="false" customHeight="false" outlineLevel="0" collapsed="false">
      <c r="A60" s="0" t="n">
        <v>2026</v>
      </c>
      <c r="B60" s="0" t="n">
        <v>1</v>
      </c>
      <c r="C60" s="0" t="s">
        <v>4</v>
      </c>
      <c r="D60" s="0" t="n">
        <v>122846116</v>
      </c>
    </row>
    <row r="61" customFormat="false" ht="15" hidden="false" customHeight="false" outlineLevel="0" collapsed="false">
      <c r="A61" s="0" t="n">
        <v>2026</v>
      </c>
      <c r="B61" s="0" t="s">
        <v>4</v>
      </c>
      <c r="C61" s="0" t="s">
        <v>4</v>
      </c>
      <c r="D61" s="0" t="n">
        <v>224966100</v>
      </c>
    </row>
    <row r="62" customFormat="false" ht="15" hidden="false" customHeight="false" outlineLevel="0" collapsed="false">
      <c r="A62" s="0" t="n">
        <v>2025</v>
      </c>
      <c r="B62" s="0" t="n">
        <v>12</v>
      </c>
      <c r="C62" s="0" t="n">
        <v>31</v>
      </c>
      <c r="D62" s="0" t="n">
        <v>2441741</v>
      </c>
    </row>
    <row r="63" customFormat="false" ht="15" hidden="false" customHeight="false" outlineLevel="0" collapsed="false">
      <c r="A63" s="0" t="n">
        <v>2025</v>
      </c>
      <c r="B63" s="0" t="n">
        <v>12</v>
      </c>
      <c r="C63" s="0" t="n">
        <v>30</v>
      </c>
      <c r="D63" s="0" t="n">
        <v>4699824</v>
      </c>
    </row>
    <row r="64" customFormat="false" ht="15" hidden="false" customHeight="false" outlineLevel="0" collapsed="false">
      <c r="A64" s="0" t="n">
        <v>2025</v>
      </c>
      <c r="B64" s="0" t="n">
        <v>12</v>
      </c>
      <c r="C64" s="0" t="n">
        <v>29</v>
      </c>
      <c r="D64" s="0" t="n">
        <v>4689216</v>
      </c>
    </row>
    <row r="65" customFormat="false" ht="15" hidden="false" customHeight="false" outlineLevel="0" collapsed="false">
      <c r="A65" s="0" t="n">
        <v>2025</v>
      </c>
      <c r="B65" s="0" t="n">
        <v>12</v>
      </c>
      <c r="C65" s="0" t="n">
        <v>28</v>
      </c>
      <c r="D65" s="0" t="n">
        <v>4081758</v>
      </c>
    </row>
    <row r="66" customFormat="false" ht="15" hidden="false" customHeight="false" outlineLevel="0" collapsed="false">
      <c r="A66" s="0" t="n">
        <v>2025</v>
      </c>
      <c r="B66" s="0" t="n">
        <v>12</v>
      </c>
      <c r="C66" s="0" t="n">
        <v>27</v>
      </c>
      <c r="D66" s="0" t="n">
        <v>2181656</v>
      </c>
    </row>
    <row r="67" customFormat="false" ht="15" hidden="false" customHeight="false" outlineLevel="0" collapsed="false">
      <c r="A67" s="0" t="n">
        <v>2025</v>
      </c>
      <c r="B67" s="0" t="n">
        <v>12</v>
      </c>
      <c r="C67" s="0" t="n">
        <v>26</v>
      </c>
      <c r="D67" s="0" t="n">
        <v>2512244</v>
      </c>
    </row>
    <row r="68" customFormat="false" ht="15" hidden="false" customHeight="false" outlineLevel="0" collapsed="false">
      <c r="A68" s="0" t="n">
        <v>2025</v>
      </c>
      <c r="B68" s="0" t="n">
        <v>12</v>
      </c>
      <c r="C68" s="0" t="n">
        <v>25</v>
      </c>
      <c r="D68" s="0" t="n">
        <v>1962904</v>
      </c>
    </row>
    <row r="69" customFormat="false" ht="15" hidden="false" customHeight="false" outlineLevel="0" collapsed="false">
      <c r="A69" s="0" t="n">
        <v>2025</v>
      </c>
      <c r="B69" s="0" t="n">
        <v>12</v>
      </c>
      <c r="C69" s="0" t="n">
        <v>24</v>
      </c>
      <c r="D69" s="0" t="n">
        <v>2369797</v>
      </c>
    </row>
    <row r="70" customFormat="false" ht="15" hidden="false" customHeight="false" outlineLevel="0" collapsed="false">
      <c r="A70" s="0" t="n">
        <v>2025</v>
      </c>
      <c r="B70" s="0" t="n">
        <v>12</v>
      </c>
      <c r="C70" s="0" t="n">
        <v>23</v>
      </c>
      <c r="D70" s="0" t="n">
        <v>4495071</v>
      </c>
    </row>
    <row r="71" customFormat="false" ht="15" hidden="false" customHeight="false" outlineLevel="0" collapsed="false">
      <c r="A71" s="0" t="n">
        <v>2025</v>
      </c>
      <c r="B71" s="0" t="n">
        <v>12</v>
      </c>
      <c r="C71" s="0" t="n">
        <v>22</v>
      </c>
      <c r="D71" s="0" t="n">
        <v>4405623</v>
      </c>
    </row>
    <row r="72" customFormat="false" ht="15" hidden="false" customHeight="false" outlineLevel="0" collapsed="false">
      <c r="A72" s="0" t="n">
        <v>2025</v>
      </c>
      <c r="B72" s="0" t="n">
        <v>12</v>
      </c>
      <c r="C72" s="0" t="n">
        <v>21</v>
      </c>
      <c r="D72" s="0" t="n">
        <v>3493264</v>
      </c>
    </row>
    <row r="73" customFormat="false" ht="15" hidden="false" customHeight="false" outlineLevel="0" collapsed="false">
      <c r="A73" s="0" t="n">
        <v>2025</v>
      </c>
      <c r="B73" s="0" t="n">
        <v>12</v>
      </c>
      <c r="C73" s="0" t="n">
        <v>20</v>
      </c>
      <c r="D73" s="0" t="n">
        <v>2135605</v>
      </c>
    </row>
    <row r="74" customFormat="false" ht="15" hidden="false" customHeight="false" outlineLevel="0" collapsed="false">
      <c r="A74" s="0" t="n">
        <v>2025</v>
      </c>
      <c r="B74" s="0" t="n">
        <v>12</v>
      </c>
      <c r="C74" s="0" t="n">
        <v>19</v>
      </c>
      <c r="D74" s="0" t="n">
        <v>2727382</v>
      </c>
    </row>
    <row r="75" customFormat="false" ht="15" hidden="false" customHeight="false" outlineLevel="0" collapsed="false">
      <c r="A75" s="0" t="n">
        <v>2025</v>
      </c>
      <c r="B75" s="0" t="n">
        <v>12</v>
      </c>
      <c r="C75" s="0" t="n">
        <v>18</v>
      </c>
      <c r="D75" s="0" t="n">
        <v>4742389</v>
      </c>
    </row>
    <row r="76" customFormat="false" ht="15" hidden="false" customHeight="false" outlineLevel="0" collapsed="false">
      <c r="A76" s="0" t="n">
        <v>2025</v>
      </c>
      <c r="B76" s="0" t="n">
        <v>12</v>
      </c>
      <c r="C76" s="0" t="n">
        <v>17</v>
      </c>
      <c r="D76" s="0" t="n">
        <v>4723500</v>
      </c>
    </row>
    <row r="77" customFormat="false" ht="15" hidden="false" customHeight="false" outlineLevel="0" collapsed="false">
      <c r="A77" s="0" t="n">
        <v>2025</v>
      </c>
      <c r="B77" s="0" t="n">
        <v>12</v>
      </c>
      <c r="C77" s="0" t="n">
        <v>16</v>
      </c>
      <c r="D77" s="0" t="n">
        <v>4951631</v>
      </c>
    </row>
    <row r="78" customFormat="false" ht="15" hidden="false" customHeight="false" outlineLevel="0" collapsed="false">
      <c r="A78" s="0" t="n">
        <v>2025</v>
      </c>
      <c r="B78" s="0" t="n">
        <v>12</v>
      </c>
      <c r="C78" s="0" t="n">
        <v>15</v>
      </c>
      <c r="D78" s="0" t="n">
        <v>4698112</v>
      </c>
    </row>
    <row r="79" customFormat="false" ht="15" hidden="false" customHeight="false" outlineLevel="0" collapsed="false">
      <c r="A79" s="0" t="n">
        <v>2025</v>
      </c>
      <c r="B79" s="0" t="n">
        <v>12</v>
      </c>
      <c r="C79" s="0" t="n">
        <v>14</v>
      </c>
      <c r="D79" s="0" t="n">
        <v>3933962</v>
      </c>
    </row>
    <row r="80" customFormat="false" ht="15" hidden="false" customHeight="false" outlineLevel="0" collapsed="false">
      <c r="A80" s="0" t="n">
        <v>2025</v>
      </c>
      <c r="B80" s="0" t="n">
        <v>12</v>
      </c>
      <c r="C80" s="0" t="n">
        <v>13</v>
      </c>
      <c r="D80" s="0" t="n">
        <v>1827550</v>
      </c>
    </row>
    <row r="81" customFormat="false" ht="15" hidden="false" customHeight="false" outlineLevel="0" collapsed="false">
      <c r="A81" s="0" t="n">
        <v>2025</v>
      </c>
      <c r="B81" s="0" t="n">
        <v>12</v>
      </c>
      <c r="C81" s="0" t="n">
        <v>12</v>
      </c>
      <c r="D81" s="0" t="n">
        <v>2779969</v>
      </c>
    </row>
    <row r="82" customFormat="false" ht="15" hidden="false" customHeight="false" outlineLevel="0" collapsed="false">
      <c r="A82" s="0" t="n">
        <v>2025</v>
      </c>
      <c r="B82" s="0" t="n">
        <v>12</v>
      </c>
      <c r="C82" s="0" t="n">
        <v>11</v>
      </c>
      <c r="D82" s="0" t="n">
        <v>4609952</v>
      </c>
    </row>
    <row r="83" customFormat="false" ht="15" hidden="false" customHeight="false" outlineLevel="0" collapsed="false">
      <c r="A83" s="0" t="n">
        <v>2025</v>
      </c>
      <c r="B83" s="0" t="n">
        <v>12</v>
      </c>
      <c r="C83" s="0" t="n">
        <v>10</v>
      </c>
      <c r="D83" s="0" t="n">
        <v>4595341</v>
      </c>
    </row>
    <row r="84" customFormat="false" ht="15" hidden="false" customHeight="false" outlineLevel="0" collapsed="false">
      <c r="A84" s="0" t="n">
        <v>2025</v>
      </c>
      <c r="B84" s="0" t="n">
        <v>12</v>
      </c>
      <c r="C84" s="0" t="n">
        <v>9</v>
      </c>
      <c r="D84" s="0" t="n">
        <v>5136258</v>
      </c>
    </row>
    <row r="85" customFormat="false" ht="15" hidden="false" customHeight="false" outlineLevel="0" collapsed="false">
      <c r="A85" s="0" t="n">
        <v>2025</v>
      </c>
      <c r="B85" s="0" t="n">
        <v>12</v>
      </c>
      <c r="C85" s="0" t="n">
        <v>8</v>
      </c>
      <c r="D85" s="0" t="n">
        <v>5031084</v>
      </c>
    </row>
    <row r="86" customFormat="false" ht="15" hidden="false" customHeight="false" outlineLevel="0" collapsed="false">
      <c r="A86" s="0" t="n">
        <v>2025</v>
      </c>
      <c r="B86" s="0" t="n">
        <v>12</v>
      </c>
      <c r="C86" s="0" t="n">
        <v>7</v>
      </c>
      <c r="D86" s="0" t="n">
        <v>3496845</v>
      </c>
    </row>
    <row r="87" customFormat="false" ht="15" hidden="false" customHeight="false" outlineLevel="0" collapsed="false">
      <c r="A87" s="0" t="n">
        <v>2025</v>
      </c>
      <c r="B87" s="0" t="n">
        <v>12</v>
      </c>
      <c r="C87" s="0" t="n">
        <v>6</v>
      </c>
      <c r="D87" s="0" t="n">
        <v>1949156</v>
      </c>
    </row>
    <row r="88" customFormat="false" ht="15" hidden="false" customHeight="false" outlineLevel="0" collapsed="false">
      <c r="A88" s="0" t="n">
        <v>2025</v>
      </c>
      <c r="B88" s="0" t="n">
        <v>12</v>
      </c>
      <c r="C88" s="0" t="n">
        <v>5</v>
      </c>
      <c r="D88" s="0" t="n">
        <v>2905408</v>
      </c>
    </row>
    <row r="89" customFormat="false" ht="15" hidden="false" customHeight="false" outlineLevel="0" collapsed="false">
      <c r="A89" s="0" t="n">
        <v>2025</v>
      </c>
      <c r="B89" s="0" t="n">
        <v>12</v>
      </c>
      <c r="C89" s="0" t="n">
        <v>4</v>
      </c>
      <c r="D89" s="0" t="n">
        <v>4794773</v>
      </c>
    </row>
    <row r="90" customFormat="false" ht="15" hidden="false" customHeight="false" outlineLevel="0" collapsed="false">
      <c r="A90" s="0" t="n">
        <v>2025</v>
      </c>
      <c r="B90" s="0" t="n">
        <v>12</v>
      </c>
      <c r="C90" s="0" t="n">
        <v>3</v>
      </c>
      <c r="D90" s="0" t="n">
        <v>4879857</v>
      </c>
    </row>
    <row r="91" customFormat="false" ht="15" hidden="false" customHeight="false" outlineLevel="0" collapsed="false">
      <c r="A91" s="0" t="n">
        <v>2025</v>
      </c>
      <c r="B91" s="0" t="n">
        <v>12</v>
      </c>
      <c r="C91" s="0" t="n">
        <v>2</v>
      </c>
      <c r="D91" s="0" t="n">
        <v>4758493</v>
      </c>
    </row>
    <row r="92" customFormat="false" ht="15" hidden="false" customHeight="false" outlineLevel="0" collapsed="false">
      <c r="A92" s="0" t="n">
        <v>2025</v>
      </c>
      <c r="B92" s="0" t="n">
        <v>12</v>
      </c>
      <c r="C92" s="0" t="n">
        <v>1</v>
      </c>
      <c r="D92" s="0" t="n">
        <v>4195875</v>
      </c>
    </row>
    <row r="93" customFormat="false" ht="15" hidden="false" customHeight="false" outlineLevel="0" collapsed="false">
      <c r="A93" s="0" t="n">
        <v>2025</v>
      </c>
      <c r="B93" s="0" t="n">
        <v>12</v>
      </c>
      <c r="C93" s="0" t="s">
        <v>4</v>
      </c>
      <c r="D93" s="0" t="n">
        <v>116206240</v>
      </c>
    </row>
    <row r="94" customFormat="false" ht="15" hidden="false" customHeight="false" outlineLevel="0" collapsed="false">
      <c r="A94" s="0" t="n">
        <v>2025</v>
      </c>
      <c r="B94" s="0" t="n">
        <v>11</v>
      </c>
      <c r="C94" s="0" t="n">
        <v>30</v>
      </c>
      <c r="D94" s="0" t="n">
        <v>3214072</v>
      </c>
    </row>
    <row r="95" customFormat="false" ht="15" hidden="false" customHeight="false" outlineLevel="0" collapsed="false">
      <c r="A95" s="0" t="n">
        <v>2025</v>
      </c>
      <c r="B95" s="0" t="n">
        <v>11</v>
      </c>
      <c r="C95" s="0" t="n">
        <v>29</v>
      </c>
      <c r="D95" s="0" t="n">
        <v>1853998</v>
      </c>
    </row>
    <row r="96" customFormat="false" ht="15" hidden="false" customHeight="false" outlineLevel="0" collapsed="false">
      <c r="A96" s="0" t="n">
        <v>2025</v>
      </c>
      <c r="B96" s="0" t="n">
        <v>11</v>
      </c>
      <c r="C96" s="0" t="n">
        <v>28</v>
      </c>
      <c r="D96" s="0" t="n">
        <v>2122297</v>
      </c>
    </row>
    <row r="97" customFormat="false" ht="15" hidden="false" customHeight="false" outlineLevel="0" collapsed="false">
      <c r="A97" s="0" t="n">
        <v>2025</v>
      </c>
      <c r="B97" s="0" t="n">
        <v>11</v>
      </c>
      <c r="C97" s="0" t="n">
        <v>27</v>
      </c>
      <c r="D97" s="0" t="n">
        <v>1958069</v>
      </c>
    </row>
    <row r="98" customFormat="false" ht="15" hidden="false" customHeight="false" outlineLevel="0" collapsed="false">
      <c r="A98" s="0" t="n">
        <v>2025</v>
      </c>
      <c r="B98" s="0" t="n">
        <v>11</v>
      </c>
      <c r="C98" s="0" t="n">
        <v>26</v>
      </c>
      <c r="D98" s="0" t="n">
        <v>4354258</v>
      </c>
    </row>
    <row r="99" customFormat="false" ht="15" hidden="false" customHeight="false" outlineLevel="0" collapsed="false">
      <c r="A99" s="0" t="n">
        <v>2025</v>
      </c>
      <c r="B99" s="0" t="n">
        <v>11</v>
      </c>
      <c r="C99" s="0" t="n">
        <v>25</v>
      </c>
      <c r="D99" s="0" t="n">
        <v>4127664</v>
      </c>
    </row>
    <row r="100" customFormat="false" ht="15" hidden="false" customHeight="false" outlineLevel="0" collapsed="false">
      <c r="A100" s="0" t="n">
        <v>2025</v>
      </c>
      <c r="B100" s="0" t="n">
        <v>11</v>
      </c>
      <c r="C100" s="0" t="n">
        <v>24</v>
      </c>
      <c r="D100" s="0" t="n">
        <v>4206007</v>
      </c>
    </row>
    <row r="101" customFormat="false" ht="15" hidden="false" customHeight="false" outlineLevel="0" collapsed="false">
      <c r="A101" s="0" t="n">
        <v>2025</v>
      </c>
      <c r="B101" s="0" t="n">
        <v>11</v>
      </c>
      <c r="C101" s="0" t="n">
        <v>23</v>
      </c>
      <c r="D101" s="0" t="n">
        <v>3254389</v>
      </c>
    </row>
    <row r="102" customFormat="false" ht="15" hidden="false" customHeight="false" outlineLevel="0" collapsed="false">
      <c r="A102" s="0" t="n">
        <v>2025</v>
      </c>
      <c r="B102" s="0" t="n">
        <v>11</v>
      </c>
      <c r="C102" s="0" t="n">
        <v>22</v>
      </c>
      <c r="D102" s="0" t="n">
        <v>1819803</v>
      </c>
    </row>
    <row r="103" customFormat="false" ht="15" hidden="false" customHeight="false" outlineLevel="0" collapsed="false">
      <c r="A103" s="0" t="n">
        <v>2025</v>
      </c>
      <c r="B103" s="0" t="n">
        <v>11</v>
      </c>
      <c r="C103" s="0" t="n">
        <v>21</v>
      </c>
      <c r="D103" s="0" t="n">
        <v>3504357</v>
      </c>
    </row>
    <row r="104" customFormat="false" ht="15" hidden="false" customHeight="false" outlineLevel="0" collapsed="false">
      <c r="A104" s="0" t="n">
        <v>2025</v>
      </c>
      <c r="B104" s="0" t="n">
        <v>11</v>
      </c>
      <c r="C104" s="0" t="n">
        <v>20</v>
      </c>
      <c r="D104" s="0" t="n">
        <v>4218325</v>
      </c>
    </row>
    <row r="105" customFormat="false" ht="15" hidden="false" customHeight="false" outlineLevel="0" collapsed="false">
      <c r="A105" s="0" t="n">
        <v>2025</v>
      </c>
      <c r="B105" s="0" t="n">
        <v>11</v>
      </c>
      <c r="C105" s="0" t="n">
        <v>19</v>
      </c>
      <c r="D105" s="0" t="n">
        <v>4498950</v>
      </c>
    </row>
    <row r="106" customFormat="false" ht="15" hidden="false" customHeight="false" outlineLevel="0" collapsed="false">
      <c r="A106" s="0" t="n">
        <v>2025</v>
      </c>
      <c r="B106" s="0" t="n">
        <v>11</v>
      </c>
      <c r="C106" s="0" t="n">
        <v>18</v>
      </c>
      <c r="D106" s="0" t="n">
        <v>4582127</v>
      </c>
    </row>
    <row r="107" customFormat="false" ht="15" hidden="false" customHeight="false" outlineLevel="0" collapsed="false">
      <c r="A107" s="0" t="n">
        <v>2025</v>
      </c>
      <c r="B107" s="0" t="n">
        <v>11</v>
      </c>
      <c r="C107" s="0" t="n">
        <v>17</v>
      </c>
      <c r="D107" s="0" t="n">
        <v>4783157</v>
      </c>
    </row>
    <row r="108" customFormat="false" ht="15" hidden="false" customHeight="false" outlineLevel="0" collapsed="false">
      <c r="A108" s="0" t="n">
        <v>2025</v>
      </c>
      <c r="B108" s="0" t="n">
        <v>11</v>
      </c>
      <c r="C108" s="0" t="n">
        <v>16</v>
      </c>
      <c r="D108" s="0" t="n">
        <v>3929392</v>
      </c>
    </row>
    <row r="109" customFormat="false" ht="15" hidden="false" customHeight="false" outlineLevel="0" collapsed="false">
      <c r="A109" s="0" t="n">
        <v>2025</v>
      </c>
      <c r="B109" s="0" t="n">
        <v>11</v>
      </c>
      <c r="C109" s="0" t="n">
        <v>15</v>
      </c>
      <c r="D109" s="0" t="n">
        <v>2235168</v>
      </c>
    </row>
    <row r="110" customFormat="false" ht="15" hidden="false" customHeight="false" outlineLevel="0" collapsed="false">
      <c r="A110" s="0" t="n">
        <v>2025</v>
      </c>
      <c r="B110" s="0" t="n">
        <v>11</v>
      </c>
      <c r="C110" s="0" t="n">
        <v>14</v>
      </c>
      <c r="D110" s="0" t="n">
        <v>4099751</v>
      </c>
    </row>
    <row r="111" customFormat="false" ht="15" hidden="false" customHeight="false" outlineLevel="0" collapsed="false">
      <c r="A111" s="0" t="n">
        <v>2025</v>
      </c>
      <c r="B111" s="0" t="n">
        <v>11</v>
      </c>
      <c r="C111" s="0" t="n">
        <v>13</v>
      </c>
      <c r="D111" s="0" t="n">
        <v>4305035</v>
      </c>
    </row>
    <row r="112" customFormat="false" ht="15" hidden="false" customHeight="false" outlineLevel="0" collapsed="false">
      <c r="A112" s="0" t="n">
        <v>2025</v>
      </c>
      <c r="B112" s="0" t="n">
        <v>11</v>
      </c>
      <c r="C112" s="0" t="n">
        <v>12</v>
      </c>
      <c r="D112" s="0" t="n">
        <v>3953416</v>
      </c>
    </row>
    <row r="113" customFormat="false" ht="15" hidden="false" customHeight="false" outlineLevel="0" collapsed="false">
      <c r="A113" s="0" t="n">
        <v>2025</v>
      </c>
      <c r="B113" s="0" t="n">
        <v>11</v>
      </c>
      <c r="C113" s="0" t="n">
        <v>11</v>
      </c>
      <c r="D113" s="0" t="n">
        <v>4410752</v>
      </c>
    </row>
    <row r="114" customFormat="false" ht="15" hidden="false" customHeight="false" outlineLevel="0" collapsed="false">
      <c r="A114" s="0" t="n">
        <v>2025</v>
      </c>
      <c r="B114" s="0" t="n">
        <v>11</v>
      </c>
      <c r="C114" s="0" t="n">
        <v>10</v>
      </c>
      <c r="D114" s="0" t="n">
        <v>4597191</v>
      </c>
    </row>
    <row r="115" customFormat="false" ht="15" hidden="false" customHeight="false" outlineLevel="0" collapsed="false">
      <c r="A115" s="0" t="n">
        <v>2025</v>
      </c>
      <c r="B115" s="0" t="n">
        <v>11</v>
      </c>
      <c r="C115" s="0" t="n">
        <v>9</v>
      </c>
      <c r="D115" s="0" t="n">
        <v>3692905</v>
      </c>
    </row>
    <row r="116" customFormat="false" ht="15" hidden="false" customHeight="false" outlineLevel="0" collapsed="false">
      <c r="A116" s="0" t="n">
        <v>2025</v>
      </c>
      <c r="B116" s="0" t="n">
        <v>11</v>
      </c>
      <c r="C116" s="0" t="n">
        <v>8</v>
      </c>
      <c r="D116" s="0" t="n">
        <v>2280987</v>
      </c>
    </row>
    <row r="117" customFormat="false" ht="15" hidden="false" customHeight="false" outlineLevel="0" collapsed="false">
      <c r="A117" s="0" t="n">
        <v>2025</v>
      </c>
      <c r="B117" s="0" t="n">
        <v>11</v>
      </c>
      <c r="C117" s="0" t="n">
        <v>7</v>
      </c>
      <c r="D117" s="0" t="n">
        <v>4429114</v>
      </c>
    </row>
    <row r="118" customFormat="false" ht="15" hidden="false" customHeight="false" outlineLevel="0" collapsed="false">
      <c r="A118" s="0" t="n">
        <v>2025</v>
      </c>
      <c r="B118" s="0" t="n">
        <v>11</v>
      </c>
      <c r="C118" s="0" t="n">
        <v>6</v>
      </c>
      <c r="D118" s="0" t="n">
        <v>4800163</v>
      </c>
    </row>
    <row r="119" customFormat="false" ht="15" hidden="false" customHeight="false" outlineLevel="0" collapsed="false">
      <c r="A119" s="0" t="n">
        <v>2025</v>
      </c>
      <c r="B119" s="0" t="n">
        <v>11</v>
      </c>
      <c r="C119" s="0" t="n">
        <v>5</v>
      </c>
      <c r="D119" s="0" t="n">
        <v>4298326</v>
      </c>
    </row>
    <row r="120" customFormat="false" ht="15" hidden="false" customHeight="false" outlineLevel="0" collapsed="false">
      <c r="A120" s="0" t="n">
        <v>2025</v>
      </c>
      <c r="B120" s="0" t="n">
        <v>11</v>
      </c>
      <c r="C120" s="0" t="n">
        <v>4</v>
      </c>
      <c r="D120" s="0" t="n">
        <v>4424012</v>
      </c>
    </row>
    <row r="121" customFormat="false" ht="15" hidden="false" customHeight="false" outlineLevel="0" collapsed="false">
      <c r="A121" s="0" t="n">
        <v>2025</v>
      </c>
      <c r="B121" s="0" t="n">
        <v>11</v>
      </c>
      <c r="C121" s="0" t="n">
        <v>3</v>
      </c>
      <c r="D121" s="0" t="n">
        <v>4522633</v>
      </c>
    </row>
    <row r="122" customFormat="false" ht="15" hidden="false" customHeight="false" outlineLevel="0" collapsed="false">
      <c r="A122" s="0" t="n">
        <v>2025</v>
      </c>
      <c r="B122" s="0" t="n">
        <v>11</v>
      </c>
      <c r="C122" s="0" t="n">
        <v>2</v>
      </c>
      <c r="D122" s="0" t="n">
        <v>3556361</v>
      </c>
    </row>
    <row r="123" customFormat="false" ht="15" hidden="false" customHeight="false" outlineLevel="0" collapsed="false">
      <c r="A123" s="0" t="n">
        <v>2025</v>
      </c>
      <c r="B123" s="0" t="n">
        <v>11</v>
      </c>
      <c r="C123" s="0" t="n">
        <v>1</v>
      </c>
      <c r="D123" s="0" t="n">
        <v>1917900</v>
      </c>
    </row>
    <row r="124" customFormat="false" ht="15" hidden="false" customHeight="false" outlineLevel="0" collapsed="false">
      <c r="A124" s="0" t="n">
        <v>2025</v>
      </c>
      <c r="B124" s="0" t="n">
        <v>11</v>
      </c>
      <c r="C124" s="0" t="s">
        <v>4</v>
      </c>
      <c r="D124" s="0" t="n">
        <v>109950579</v>
      </c>
    </row>
    <row r="125" customFormat="false" ht="15" hidden="false" customHeight="false" outlineLevel="0" collapsed="false">
      <c r="A125" s="0" t="n">
        <v>2025</v>
      </c>
      <c r="B125" s="0" t="n">
        <v>10</v>
      </c>
      <c r="C125" s="0" t="n">
        <v>31</v>
      </c>
      <c r="D125" s="0" t="n">
        <v>2752874</v>
      </c>
    </row>
    <row r="126" customFormat="false" ht="15" hidden="false" customHeight="false" outlineLevel="0" collapsed="false">
      <c r="A126" s="0" t="n">
        <v>2025</v>
      </c>
      <c r="B126" s="0" t="n">
        <v>10</v>
      </c>
      <c r="C126" s="0" t="n">
        <v>30</v>
      </c>
      <c r="D126" s="0" t="n">
        <v>4049749</v>
      </c>
    </row>
    <row r="127" customFormat="false" ht="15" hidden="false" customHeight="false" outlineLevel="0" collapsed="false">
      <c r="A127" s="0" t="n">
        <v>2025</v>
      </c>
      <c r="B127" s="0" t="n">
        <v>10</v>
      </c>
      <c r="C127" s="0" t="n">
        <v>29</v>
      </c>
      <c r="D127" s="0" t="n">
        <v>4744359</v>
      </c>
    </row>
    <row r="128" customFormat="false" ht="15" hidden="false" customHeight="false" outlineLevel="0" collapsed="false">
      <c r="A128" s="0" t="n">
        <v>2025</v>
      </c>
      <c r="B128" s="0" t="n">
        <v>10</v>
      </c>
      <c r="C128" s="0" t="n">
        <v>28</v>
      </c>
      <c r="D128" s="0" t="n">
        <v>4300087</v>
      </c>
    </row>
    <row r="129" customFormat="false" ht="15" hidden="false" customHeight="false" outlineLevel="0" collapsed="false">
      <c r="A129" s="0" t="n">
        <v>2025</v>
      </c>
      <c r="B129" s="0" t="n">
        <v>10</v>
      </c>
      <c r="C129" s="0" t="n">
        <v>27</v>
      </c>
      <c r="D129" s="0" t="n">
        <v>4247668</v>
      </c>
    </row>
    <row r="130" customFormat="false" ht="15" hidden="false" customHeight="false" outlineLevel="0" collapsed="false">
      <c r="A130" s="0" t="n">
        <v>2025</v>
      </c>
      <c r="B130" s="0" t="n">
        <v>10</v>
      </c>
      <c r="C130" s="0" t="n">
        <v>26</v>
      </c>
      <c r="D130" s="0" t="n">
        <v>3252432</v>
      </c>
    </row>
    <row r="131" customFormat="false" ht="15" hidden="false" customHeight="false" outlineLevel="0" collapsed="false">
      <c r="A131" s="0" t="n">
        <v>2025</v>
      </c>
      <c r="B131" s="0" t="n">
        <v>10</v>
      </c>
      <c r="C131" s="0" t="n">
        <v>25</v>
      </c>
      <c r="D131" s="0" t="n">
        <v>2004265</v>
      </c>
    </row>
    <row r="132" customFormat="false" ht="15" hidden="false" customHeight="false" outlineLevel="0" collapsed="false">
      <c r="A132" s="0" t="n">
        <v>2025</v>
      </c>
      <c r="B132" s="0" t="n">
        <v>10</v>
      </c>
      <c r="C132" s="0" t="n">
        <v>24</v>
      </c>
      <c r="D132" s="0" t="n">
        <v>3110717</v>
      </c>
    </row>
    <row r="133" customFormat="false" ht="15" hidden="false" customHeight="false" outlineLevel="0" collapsed="false">
      <c r="A133" s="0" t="n">
        <v>2025</v>
      </c>
      <c r="B133" s="0" t="n">
        <v>10</v>
      </c>
      <c r="C133" s="0" t="n">
        <v>23</v>
      </c>
      <c r="D133" s="0" t="n">
        <v>3312676</v>
      </c>
    </row>
    <row r="134" customFormat="false" ht="15" hidden="false" customHeight="false" outlineLevel="0" collapsed="false">
      <c r="A134" s="0" t="n">
        <v>2025</v>
      </c>
      <c r="B134" s="0" t="n">
        <v>10</v>
      </c>
      <c r="C134" s="0" t="n">
        <v>22</v>
      </c>
      <c r="D134" s="0" t="n">
        <v>3643536</v>
      </c>
    </row>
    <row r="135" customFormat="false" ht="15" hidden="false" customHeight="false" outlineLevel="0" collapsed="false">
      <c r="A135" s="0" t="n">
        <v>2025</v>
      </c>
      <c r="B135" s="0" t="n">
        <v>10</v>
      </c>
      <c r="C135" s="0" t="n">
        <v>21</v>
      </c>
      <c r="D135" s="0" t="n">
        <v>3306658</v>
      </c>
    </row>
    <row r="136" customFormat="false" ht="15" hidden="false" customHeight="false" outlineLevel="0" collapsed="false">
      <c r="A136" s="0" t="n">
        <v>2025</v>
      </c>
      <c r="B136" s="0" t="n">
        <v>10</v>
      </c>
      <c r="C136" s="0" t="n">
        <v>20</v>
      </c>
      <c r="D136" s="0" t="n">
        <v>3476334</v>
      </c>
    </row>
    <row r="137" customFormat="false" ht="15" hidden="false" customHeight="false" outlineLevel="0" collapsed="false">
      <c r="A137" s="0" t="n">
        <v>2025</v>
      </c>
      <c r="B137" s="0" t="n">
        <v>10</v>
      </c>
      <c r="C137" s="0" t="n">
        <v>19</v>
      </c>
      <c r="D137" s="0" t="n">
        <v>2691752</v>
      </c>
    </row>
    <row r="138" customFormat="false" ht="15" hidden="false" customHeight="false" outlineLevel="0" collapsed="false">
      <c r="A138" s="0" t="n">
        <v>2025</v>
      </c>
      <c r="B138" s="0" t="n">
        <v>10</v>
      </c>
      <c r="C138" s="0" t="n">
        <v>18</v>
      </c>
      <c r="D138" s="0" t="n">
        <v>1275385</v>
      </c>
    </row>
    <row r="139" customFormat="false" ht="15" hidden="false" customHeight="false" outlineLevel="0" collapsed="false">
      <c r="A139" s="0" t="n">
        <v>2025</v>
      </c>
      <c r="B139" s="0" t="n">
        <v>10</v>
      </c>
      <c r="C139" s="0" t="n">
        <v>17</v>
      </c>
      <c r="D139" s="0" t="n">
        <v>1932931</v>
      </c>
    </row>
    <row r="140" customFormat="false" ht="15" hidden="false" customHeight="false" outlineLevel="0" collapsed="false">
      <c r="A140" s="0" t="n">
        <v>2025</v>
      </c>
      <c r="B140" s="0" t="n">
        <v>10</v>
      </c>
      <c r="C140" s="0" t="n">
        <v>16</v>
      </c>
      <c r="D140" s="0" t="n">
        <v>3560694</v>
      </c>
    </row>
    <row r="141" customFormat="false" ht="15" hidden="false" customHeight="false" outlineLevel="0" collapsed="false">
      <c r="A141" s="0" t="n">
        <v>2025</v>
      </c>
      <c r="B141" s="0" t="n">
        <v>10</v>
      </c>
      <c r="C141" s="0" t="n">
        <v>15</v>
      </c>
      <c r="D141" s="0" t="n">
        <v>3371483</v>
      </c>
    </row>
    <row r="142" customFormat="false" ht="15" hidden="false" customHeight="false" outlineLevel="0" collapsed="false">
      <c r="A142" s="0" t="n">
        <v>2025</v>
      </c>
      <c r="B142" s="0" t="n">
        <v>10</v>
      </c>
      <c r="C142" s="0" t="n">
        <v>14</v>
      </c>
      <c r="D142" s="0" t="n">
        <v>3580269</v>
      </c>
    </row>
    <row r="143" customFormat="false" ht="15" hidden="false" customHeight="false" outlineLevel="0" collapsed="false">
      <c r="A143" s="0" t="n">
        <v>2025</v>
      </c>
      <c r="B143" s="0" t="n">
        <v>10</v>
      </c>
      <c r="C143" s="0" t="n">
        <v>13</v>
      </c>
      <c r="D143" s="0" t="n">
        <v>3334529</v>
      </c>
    </row>
    <row r="144" customFormat="false" ht="15" hidden="false" customHeight="false" outlineLevel="0" collapsed="false">
      <c r="A144" s="0" t="n">
        <v>2025</v>
      </c>
      <c r="B144" s="0" t="n">
        <v>10</v>
      </c>
      <c r="C144" s="0" t="n">
        <v>12</v>
      </c>
      <c r="D144" s="0" t="n">
        <v>2516309</v>
      </c>
    </row>
    <row r="145" customFormat="false" ht="15" hidden="false" customHeight="false" outlineLevel="0" collapsed="false">
      <c r="A145" s="0" t="n">
        <v>2025</v>
      </c>
      <c r="B145" s="0" t="n">
        <v>10</v>
      </c>
      <c r="C145" s="0" t="n">
        <v>11</v>
      </c>
      <c r="D145" s="0" t="n">
        <v>1580311</v>
      </c>
    </row>
    <row r="146" customFormat="false" ht="15" hidden="false" customHeight="false" outlineLevel="0" collapsed="false">
      <c r="A146" s="0" t="n">
        <v>2025</v>
      </c>
      <c r="B146" s="0" t="n">
        <v>10</v>
      </c>
      <c r="C146" s="0" t="n">
        <v>10</v>
      </c>
      <c r="D146" s="0" t="n">
        <v>1935208</v>
      </c>
    </row>
    <row r="147" customFormat="false" ht="15" hidden="false" customHeight="false" outlineLevel="0" collapsed="false">
      <c r="A147" s="0" t="n">
        <v>2025</v>
      </c>
      <c r="B147" s="0" t="n">
        <v>10</v>
      </c>
      <c r="C147" s="0" t="n">
        <v>9</v>
      </c>
      <c r="D147" s="0" t="n">
        <v>3350701</v>
      </c>
    </row>
    <row r="148" customFormat="false" ht="15" hidden="false" customHeight="false" outlineLevel="0" collapsed="false">
      <c r="A148" s="0" t="n">
        <v>2025</v>
      </c>
      <c r="B148" s="0" t="n">
        <v>10</v>
      </c>
      <c r="C148" s="0" t="n">
        <v>8</v>
      </c>
      <c r="D148" s="0" t="n">
        <v>3481639</v>
      </c>
    </row>
    <row r="149" customFormat="false" ht="15" hidden="false" customHeight="false" outlineLevel="0" collapsed="false">
      <c r="A149" s="0" t="n">
        <v>2025</v>
      </c>
      <c r="B149" s="0" t="n">
        <v>10</v>
      </c>
      <c r="C149" s="0" t="n">
        <v>7</v>
      </c>
      <c r="D149" s="0" t="n">
        <v>3463835</v>
      </c>
    </row>
    <row r="150" customFormat="false" ht="15" hidden="false" customHeight="false" outlineLevel="0" collapsed="false">
      <c r="A150" s="0" t="n">
        <v>2025</v>
      </c>
      <c r="B150" s="0" t="n">
        <v>10</v>
      </c>
      <c r="C150" s="0" t="n">
        <v>6</v>
      </c>
      <c r="D150" s="0" t="n">
        <v>3257105</v>
      </c>
    </row>
    <row r="151" customFormat="false" ht="15" hidden="false" customHeight="false" outlineLevel="0" collapsed="false">
      <c r="A151" s="0" t="n">
        <v>2025</v>
      </c>
      <c r="B151" s="0" t="n">
        <v>10</v>
      </c>
      <c r="C151" s="0" t="n">
        <v>5</v>
      </c>
      <c r="D151" s="0" t="n">
        <v>2492968</v>
      </c>
    </row>
    <row r="152" customFormat="false" ht="15" hidden="false" customHeight="false" outlineLevel="0" collapsed="false">
      <c r="A152" s="0" t="n">
        <v>2025</v>
      </c>
      <c r="B152" s="0" t="n">
        <v>10</v>
      </c>
      <c r="C152" s="0" t="n">
        <v>4</v>
      </c>
      <c r="D152" s="0" t="n">
        <v>1508585</v>
      </c>
    </row>
    <row r="153" customFormat="false" ht="15" hidden="false" customHeight="false" outlineLevel="0" collapsed="false">
      <c r="A153" s="0" t="n">
        <v>2025</v>
      </c>
      <c r="B153" s="0" t="n">
        <v>10</v>
      </c>
      <c r="C153" s="0" t="n">
        <v>3</v>
      </c>
      <c r="D153" s="0" t="n">
        <v>1830067</v>
      </c>
    </row>
    <row r="154" customFormat="false" ht="15" hidden="false" customHeight="false" outlineLevel="0" collapsed="false">
      <c r="A154" s="0" t="n">
        <v>2025</v>
      </c>
      <c r="B154" s="0" t="n">
        <v>10</v>
      </c>
      <c r="C154" s="0" t="n">
        <v>2</v>
      </c>
      <c r="D154" s="0" t="n">
        <v>3097838</v>
      </c>
    </row>
    <row r="155" customFormat="false" ht="15" hidden="false" customHeight="false" outlineLevel="0" collapsed="false">
      <c r="A155" s="0" t="n">
        <v>2025</v>
      </c>
      <c r="B155" s="0" t="n">
        <v>10</v>
      </c>
      <c r="C155" s="0" t="n">
        <v>1</v>
      </c>
      <c r="D155" s="0" t="n">
        <v>3397397</v>
      </c>
    </row>
    <row r="156" customFormat="false" ht="15" hidden="false" customHeight="false" outlineLevel="0" collapsed="false">
      <c r="A156" s="0" t="n">
        <v>2025</v>
      </c>
      <c r="B156" s="0" t="n">
        <v>10</v>
      </c>
      <c r="C156" s="0" t="s">
        <v>4</v>
      </c>
      <c r="D156" s="0" t="n">
        <v>93860361</v>
      </c>
    </row>
    <row r="157" customFormat="false" ht="15" hidden="false" customHeight="false" outlineLevel="0" collapsed="false">
      <c r="A157" s="0" t="n">
        <v>2025</v>
      </c>
      <c r="B157" s="0" t="n">
        <v>9</v>
      </c>
      <c r="C157" s="0" t="n">
        <v>30</v>
      </c>
      <c r="D157" s="0" t="n">
        <v>3359211</v>
      </c>
    </row>
    <row r="158" customFormat="false" ht="15" hidden="false" customHeight="false" outlineLevel="0" collapsed="false">
      <c r="A158" s="0" t="n">
        <v>2025</v>
      </c>
      <c r="B158" s="0" t="n">
        <v>9</v>
      </c>
      <c r="C158" s="0" t="n">
        <v>29</v>
      </c>
      <c r="D158" s="0" t="n">
        <v>3055439</v>
      </c>
    </row>
    <row r="159" customFormat="false" ht="15" hidden="false" customHeight="false" outlineLevel="0" collapsed="false">
      <c r="A159" s="0" t="n">
        <v>2025</v>
      </c>
      <c r="B159" s="0" t="n">
        <v>9</v>
      </c>
      <c r="C159" s="0" t="n">
        <v>28</v>
      </c>
      <c r="D159" s="0" t="n">
        <v>2345313</v>
      </c>
    </row>
    <row r="160" customFormat="false" ht="15" hidden="false" customHeight="false" outlineLevel="0" collapsed="false">
      <c r="A160" s="0" t="n">
        <v>2025</v>
      </c>
      <c r="B160" s="0" t="n">
        <v>9</v>
      </c>
      <c r="C160" s="0" t="n">
        <v>27</v>
      </c>
      <c r="D160" s="0" t="n">
        <v>1521398</v>
      </c>
    </row>
    <row r="161" customFormat="false" ht="15" hidden="false" customHeight="false" outlineLevel="0" collapsed="false">
      <c r="A161" s="0" t="n">
        <v>2025</v>
      </c>
      <c r="B161" s="0" t="n">
        <v>9</v>
      </c>
      <c r="C161" s="0" t="n">
        <v>26</v>
      </c>
      <c r="D161" s="0" t="n">
        <v>1981622</v>
      </c>
    </row>
    <row r="162" customFormat="false" ht="15" hidden="false" customHeight="false" outlineLevel="0" collapsed="false">
      <c r="A162" s="0" t="n">
        <v>2025</v>
      </c>
      <c r="B162" s="0" t="n">
        <v>9</v>
      </c>
      <c r="C162" s="0" t="n">
        <v>25</v>
      </c>
      <c r="D162" s="0" t="n">
        <v>3323209</v>
      </c>
    </row>
    <row r="163" customFormat="false" ht="15" hidden="false" customHeight="false" outlineLevel="0" collapsed="false">
      <c r="A163" s="0" t="n">
        <v>2025</v>
      </c>
      <c r="B163" s="0" t="n">
        <v>9</v>
      </c>
      <c r="C163" s="0" t="n">
        <v>24</v>
      </c>
      <c r="D163" s="0" t="n">
        <v>3360624</v>
      </c>
    </row>
    <row r="164" customFormat="false" ht="15" hidden="false" customHeight="false" outlineLevel="0" collapsed="false">
      <c r="A164" s="0" t="n">
        <v>2025</v>
      </c>
      <c r="B164" s="0" t="n">
        <v>9</v>
      </c>
      <c r="C164" s="0" t="n">
        <v>23</v>
      </c>
      <c r="D164" s="0" t="n">
        <v>3266934</v>
      </c>
    </row>
    <row r="165" customFormat="false" ht="15" hidden="false" customHeight="false" outlineLevel="0" collapsed="false">
      <c r="A165" s="0" t="n">
        <v>2025</v>
      </c>
      <c r="B165" s="0" t="n">
        <v>9</v>
      </c>
      <c r="C165" s="0" t="n">
        <v>22</v>
      </c>
      <c r="D165" s="0" t="n">
        <v>3229391</v>
      </c>
    </row>
    <row r="166" customFormat="false" ht="15" hidden="false" customHeight="false" outlineLevel="0" collapsed="false">
      <c r="A166" s="0" t="n">
        <v>2025</v>
      </c>
      <c r="B166" s="0" t="n">
        <v>9</v>
      </c>
      <c r="C166" s="0" t="n">
        <v>21</v>
      </c>
      <c r="D166" s="0" t="n">
        <v>2452672</v>
      </c>
    </row>
    <row r="167" customFormat="false" ht="15" hidden="false" customHeight="false" outlineLevel="0" collapsed="false">
      <c r="A167" s="0" t="n">
        <v>2025</v>
      </c>
      <c r="B167" s="0" t="n">
        <v>9</v>
      </c>
      <c r="C167" s="0" t="n">
        <v>20</v>
      </c>
      <c r="D167" s="0" t="n">
        <v>1517299</v>
      </c>
    </row>
    <row r="168" customFormat="false" ht="15" hidden="false" customHeight="false" outlineLevel="0" collapsed="false">
      <c r="A168" s="0" t="n">
        <v>2025</v>
      </c>
      <c r="B168" s="0" t="n">
        <v>9</v>
      </c>
      <c r="C168" s="0" t="n">
        <v>19</v>
      </c>
      <c r="D168" s="0" t="n">
        <v>1882101</v>
      </c>
    </row>
    <row r="169" customFormat="false" ht="15" hidden="false" customHeight="false" outlineLevel="0" collapsed="false">
      <c r="A169" s="0" t="n">
        <v>2025</v>
      </c>
      <c r="B169" s="0" t="n">
        <v>9</v>
      </c>
      <c r="C169" s="0" t="n">
        <v>18</v>
      </c>
      <c r="D169" s="0" t="n">
        <v>3181391</v>
      </c>
    </row>
    <row r="170" customFormat="false" ht="15" hidden="false" customHeight="false" outlineLevel="0" collapsed="false">
      <c r="A170" s="0" t="n">
        <v>2025</v>
      </c>
      <c r="B170" s="0" t="n">
        <v>9</v>
      </c>
      <c r="C170" s="0" t="n">
        <v>17</v>
      </c>
      <c r="D170" s="0" t="n">
        <v>3576693</v>
      </c>
    </row>
    <row r="171" customFormat="false" ht="15" hidden="false" customHeight="false" outlineLevel="0" collapsed="false">
      <c r="A171" s="0" t="n">
        <v>2025</v>
      </c>
      <c r="B171" s="0" t="n">
        <v>9</v>
      </c>
      <c r="C171" s="0" t="n">
        <v>16</v>
      </c>
      <c r="D171" s="0" t="n">
        <v>3385654</v>
      </c>
    </row>
    <row r="172" customFormat="false" ht="15" hidden="false" customHeight="false" outlineLevel="0" collapsed="false">
      <c r="A172" s="0" t="n">
        <v>2025</v>
      </c>
      <c r="B172" s="0" t="n">
        <v>9</v>
      </c>
      <c r="C172" s="0" t="n">
        <v>15</v>
      </c>
      <c r="D172" s="0" t="n">
        <v>3439972</v>
      </c>
    </row>
    <row r="173" customFormat="false" ht="15" hidden="false" customHeight="false" outlineLevel="0" collapsed="false">
      <c r="A173" s="0" t="n">
        <v>2025</v>
      </c>
      <c r="B173" s="0" t="n">
        <v>9</v>
      </c>
      <c r="C173" s="0" t="n">
        <v>14</v>
      </c>
      <c r="D173" s="0" t="n">
        <v>2621485</v>
      </c>
    </row>
    <row r="174" customFormat="false" ht="15" hidden="false" customHeight="false" outlineLevel="0" collapsed="false">
      <c r="A174" s="0" t="n">
        <v>2025</v>
      </c>
      <c r="B174" s="0" t="n">
        <v>9</v>
      </c>
      <c r="C174" s="0" t="n">
        <v>13</v>
      </c>
      <c r="D174" s="0" t="n">
        <v>1511269</v>
      </c>
    </row>
    <row r="175" customFormat="false" ht="15" hidden="false" customHeight="false" outlineLevel="0" collapsed="false">
      <c r="A175" s="0" t="n">
        <v>2025</v>
      </c>
      <c r="B175" s="0" t="n">
        <v>9</v>
      </c>
      <c r="C175" s="0" t="n">
        <v>12</v>
      </c>
      <c r="D175" s="0" t="n">
        <v>1820236</v>
      </c>
    </row>
    <row r="176" customFormat="false" ht="15" hidden="false" customHeight="false" outlineLevel="0" collapsed="false">
      <c r="A176" s="0" t="n">
        <v>2025</v>
      </c>
      <c r="B176" s="0" t="n">
        <v>9</v>
      </c>
      <c r="C176" s="0" t="n">
        <v>11</v>
      </c>
      <c r="D176" s="0" t="n">
        <v>3663534</v>
      </c>
    </row>
    <row r="177" customFormat="false" ht="15" hidden="false" customHeight="false" outlineLevel="0" collapsed="false">
      <c r="A177" s="0" t="n">
        <v>2025</v>
      </c>
      <c r="B177" s="0" t="n">
        <v>9</v>
      </c>
      <c r="C177" s="0" t="n">
        <v>10</v>
      </c>
      <c r="D177" s="0" t="n">
        <v>3671630</v>
      </c>
    </row>
    <row r="178" customFormat="false" ht="15" hidden="false" customHeight="false" outlineLevel="0" collapsed="false">
      <c r="A178" s="0" t="n">
        <v>2025</v>
      </c>
      <c r="B178" s="0" t="n">
        <v>9</v>
      </c>
      <c r="C178" s="0" t="n">
        <v>9</v>
      </c>
      <c r="D178" s="0" t="n">
        <v>3641440</v>
      </c>
    </row>
    <row r="179" customFormat="false" ht="15" hidden="false" customHeight="false" outlineLevel="0" collapsed="false">
      <c r="A179" s="0" t="n">
        <v>2025</v>
      </c>
      <c r="B179" s="0" t="n">
        <v>9</v>
      </c>
      <c r="C179" s="0" t="n">
        <v>8</v>
      </c>
      <c r="D179" s="0" t="n">
        <v>3440425</v>
      </c>
    </row>
    <row r="180" customFormat="false" ht="15" hidden="false" customHeight="false" outlineLevel="0" collapsed="false">
      <c r="A180" s="0" t="n">
        <v>2025</v>
      </c>
      <c r="B180" s="0" t="n">
        <v>9</v>
      </c>
      <c r="C180" s="0" t="n">
        <v>7</v>
      </c>
      <c r="D180" s="0" t="n">
        <v>2638187</v>
      </c>
    </row>
    <row r="181" customFormat="false" ht="15" hidden="false" customHeight="false" outlineLevel="0" collapsed="false">
      <c r="A181" s="0" t="n">
        <v>2025</v>
      </c>
      <c r="B181" s="0" t="n">
        <v>9</v>
      </c>
      <c r="C181" s="0" t="n">
        <v>6</v>
      </c>
      <c r="D181" s="0" t="n">
        <v>1565541</v>
      </c>
    </row>
    <row r="182" customFormat="false" ht="15" hidden="false" customHeight="false" outlineLevel="0" collapsed="false">
      <c r="A182" s="0" t="n">
        <v>2025</v>
      </c>
      <c r="B182" s="0" t="n">
        <v>9</v>
      </c>
      <c r="C182" s="0" t="n">
        <v>5</v>
      </c>
      <c r="D182" s="0" t="n">
        <v>1964848</v>
      </c>
    </row>
    <row r="183" customFormat="false" ht="15" hidden="false" customHeight="false" outlineLevel="0" collapsed="false">
      <c r="A183" s="0" t="n">
        <v>2025</v>
      </c>
      <c r="B183" s="0" t="n">
        <v>9</v>
      </c>
      <c r="C183" s="0" t="n">
        <v>4</v>
      </c>
      <c r="D183" s="0" t="n">
        <v>3318489</v>
      </c>
    </row>
    <row r="184" customFormat="false" ht="15" hidden="false" customHeight="false" outlineLevel="0" collapsed="false">
      <c r="A184" s="0" t="n">
        <v>2025</v>
      </c>
      <c r="B184" s="0" t="n">
        <v>9</v>
      </c>
      <c r="C184" s="0" t="n">
        <v>3</v>
      </c>
      <c r="D184" s="0" t="n">
        <v>3356439</v>
      </c>
    </row>
    <row r="185" customFormat="false" ht="15" hidden="false" customHeight="false" outlineLevel="0" collapsed="false">
      <c r="A185" s="0" t="n">
        <v>2025</v>
      </c>
      <c r="B185" s="0" t="n">
        <v>9</v>
      </c>
      <c r="C185" s="0" t="n">
        <v>2</v>
      </c>
      <c r="D185" s="0" t="n">
        <v>3403494</v>
      </c>
    </row>
    <row r="186" customFormat="false" ht="15" hidden="false" customHeight="false" outlineLevel="0" collapsed="false">
      <c r="A186" s="0" t="n">
        <v>2025</v>
      </c>
      <c r="B186" s="0" t="n">
        <v>9</v>
      </c>
      <c r="C186" s="0" t="n">
        <v>1</v>
      </c>
      <c r="D186" s="0" t="n">
        <v>1192959</v>
      </c>
    </row>
    <row r="187" customFormat="false" ht="15" hidden="false" customHeight="false" outlineLevel="0" collapsed="false">
      <c r="A187" s="0" t="n">
        <v>2025</v>
      </c>
      <c r="B187" s="0" t="n">
        <v>9</v>
      </c>
      <c r="C187" s="0" t="s">
        <v>4</v>
      </c>
      <c r="D187" s="0" t="n">
        <v>82688899</v>
      </c>
    </row>
    <row r="188" customFormat="false" ht="15" hidden="false" customHeight="false" outlineLevel="0" collapsed="false">
      <c r="A188" s="0" t="n">
        <v>2025</v>
      </c>
      <c r="B188" s="0" t="n">
        <v>8</v>
      </c>
      <c r="C188" s="0" t="n">
        <v>31</v>
      </c>
      <c r="D188" s="0" t="n">
        <v>2281552</v>
      </c>
    </row>
    <row r="189" customFormat="false" ht="15" hidden="false" customHeight="false" outlineLevel="0" collapsed="false">
      <c r="A189" s="0" t="n">
        <v>2025</v>
      </c>
      <c r="B189" s="0" t="n">
        <v>8</v>
      </c>
      <c r="C189" s="0" t="n">
        <v>30</v>
      </c>
      <c r="D189" s="0" t="n">
        <v>1534214</v>
      </c>
    </row>
    <row r="190" customFormat="false" ht="15" hidden="false" customHeight="false" outlineLevel="0" collapsed="false">
      <c r="A190" s="0" t="n">
        <v>2025</v>
      </c>
      <c r="B190" s="0" t="n">
        <v>8</v>
      </c>
      <c r="C190" s="0" t="n">
        <v>29</v>
      </c>
      <c r="D190" s="0" t="n">
        <v>1885045</v>
      </c>
    </row>
    <row r="191" customFormat="false" ht="15" hidden="false" customHeight="false" outlineLevel="0" collapsed="false">
      <c r="A191" s="0" t="n">
        <v>2025</v>
      </c>
      <c r="B191" s="0" t="n">
        <v>8</v>
      </c>
      <c r="C191" s="0" t="n">
        <v>28</v>
      </c>
      <c r="D191" s="0" t="n">
        <v>3194342</v>
      </c>
    </row>
    <row r="192" customFormat="false" ht="15" hidden="false" customHeight="false" outlineLevel="0" collapsed="false">
      <c r="A192" s="0" t="n">
        <v>2025</v>
      </c>
      <c r="B192" s="0" t="n">
        <v>8</v>
      </c>
      <c r="C192" s="0" t="n">
        <v>27</v>
      </c>
      <c r="D192" s="0" t="n">
        <v>3218109</v>
      </c>
    </row>
    <row r="193" customFormat="false" ht="15" hidden="false" customHeight="false" outlineLevel="0" collapsed="false">
      <c r="A193" s="0" t="n">
        <v>2025</v>
      </c>
      <c r="B193" s="0" t="n">
        <v>8</v>
      </c>
      <c r="C193" s="0" t="n">
        <v>26</v>
      </c>
      <c r="D193" s="0" t="n">
        <v>3435280</v>
      </c>
    </row>
    <row r="194" customFormat="false" ht="15" hidden="false" customHeight="false" outlineLevel="0" collapsed="false">
      <c r="A194" s="0" t="n">
        <v>2025</v>
      </c>
      <c r="B194" s="0" t="n">
        <v>8</v>
      </c>
      <c r="C194" s="0" t="n">
        <v>25</v>
      </c>
      <c r="D194" s="0" t="n">
        <v>3319040</v>
      </c>
    </row>
    <row r="195" customFormat="false" ht="15" hidden="false" customHeight="false" outlineLevel="0" collapsed="false">
      <c r="A195" s="0" t="n">
        <v>2025</v>
      </c>
      <c r="B195" s="0" t="n">
        <v>8</v>
      </c>
      <c r="C195" s="0" t="n">
        <v>24</v>
      </c>
      <c r="D195" s="0" t="n">
        <v>2576694</v>
      </c>
    </row>
    <row r="196" customFormat="false" ht="15" hidden="false" customHeight="false" outlineLevel="0" collapsed="false">
      <c r="A196" s="0" t="n">
        <v>2025</v>
      </c>
      <c r="B196" s="0" t="n">
        <v>8</v>
      </c>
      <c r="C196" s="0" t="n">
        <v>23</v>
      </c>
      <c r="D196" s="0" t="n">
        <v>1536066</v>
      </c>
    </row>
    <row r="197" customFormat="false" ht="15" hidden="false" customHeight="false" outlineLevel="0" collapsed="false">
      <c r="A197" s="0" t="n">
        <v>2025</v>
      </c>
      <c r="B197" s="0" t="n">
        <v>8</v>
      </c>
      <c r="C197" s="0" t="n">
        <v>22</v>
      </c>
      <c r="D197" s="0" t="n">
        <v>1768893</v>
      </c>
    </row>
    <row r="198" customFormat="false" ht="15" hidden="false" customHeight="false" outlineLevel="0" collapsed="false">
      <c r="A198" s="0" t="n">
        <v>2025</v>
      </c>
      <c r="B198" s="0" t="n">
        <v>8</v>
      </c>
      <c r="C198" s="0" t="n">
        <v>21</v>
      </c>
      <c r="D198" s="0" t="n">
        <v>3074762</v>
      </c>
    </row>
    <row r="199" customFormat="false" ht="15" hidden="false" customHeight="false" outlineLevel="0" collapsed="false">
      <c r="A199" s="0" t="n">
        <v>2025</v>
      </c>
      <c r="B199" s="0" t="n">
        <v>8</v>
      </c>
      <c r="C199" s="0" t="n">
        <v>20</v>
      </c>
      <c r="D199" s="0" t="n">
        <v>3111127</v>
      </c>
    </row>
    <row r="200" customFormat="false" ht="15" hidden="false" customHeight="false" outlineLevel="0" collapsed="false">
      <c r="A200" s="0" t="n">
        <v>2025</v>
      </c>
      <c r="B200" s="0" t="n">
        <v>8</v>
      </c>
      <c r="C200" s="0" t="n">
        <v>19</v>
      </c>
      <c r="D200" s="0" t="n">
        <v>3215276</v>
      </c>
    </row>
    <row r="201" customFormat="false" ht="15" hidden="false" customHeight="false" outlineLevel="0" collapsed="false">
      <c r="A201" s="0" t="n">
        <v>2025</v>
      </c>
      <c r="B201" s="0" t="n">
        <v>8</v>
      </c>
      <c r="C201" s="0" t="n">
        <v>18</v>
      </c>
      <c r="D201" s="0" t="n">
        <v>3389499</v>
      </c>
    </row>
    <row r="202" customFormat="false" ht="15" hidden="false" customHeight="false" outlineLevel="0" collapsed="false">
      <c r="A202" s="0" t="n">
        <v>2025</v>
      </c>
      <c r="B202" s="0" t="n">
        <v>8</v>
      </c>
      <c r="C202" s="0" t="n">
        <v>17</v>
      </c>
      <c r="D202" s="0" t="n">
        <v>2419507</v>
      </c>
    </row>
    <row r="203" customFormat="false" ht="15" hidden="false" customHeight="false" outlineLevel="0" collapsed="false">
      <c r="A203" s="0" t="n">
        <v>2025</v>
      </c>
      <c r="B203" s="0" t="n">
        <v>8</v>
      </c>
      <c r="C203" s="0" t="n">
        <v>16</v>
      </c>
      <c r="D203" s="0" t="n">
        <v>1586434</v>
      </c>
    </row>
    <row r="204" customFormat="false" ht="15" hidden="false" customHeight="false" outlineLevel="0" collapsed="false">
      <c r="A204" s="0" t="n">
        <v>2025</v>
      </c>
      <c r="B204" s="0" t="n">
        <v>8</v>
      </c>
      <c r="C204" s="0" t="n">
        <v>15</v>
      </c>
      <c r="D204" s="0" t="n">
        <v>1918519</v>
      </c>
    </row>
    <row r="205" customFormat="false" ht="15" hidden="false" customHeight="false" outlineLevel="0" collapsed="false">
      <c r="A205" s="0" t="n">
        <v>2025</v>
      </c>
      <c r="B205" s="0" t="n">
        <v>8</v>
      </c>
      <c r="C205" s="0" t="n">
        <v>14</v>
      </c>
      <c r="D205" s="0" t="n">
        <v>3346066</v>
      </c>
    </row>
    <row r="206" customFormat="false" ht="15" hidden="false" customHeight="false" outlineLevel="0" collapsed="false">
      <c r="A206" s="0" t="n">
        <v>2025</v>
      </c>
      <c r="B206" s="0" t="n">
        <v>8</v>
      </c>
      <c r="C206" s="0" t="n">
        <v>13</v>
      </c>
      <c r="D206" s="0" t="n">
        <v>3209317</v>
      </c>
    </row>
    <row r="207" customFormat="false" ht="15" hidden="false" customHeight="false" outlineLevel="0" collapsed="false">
      <c r="A207" s="0" t="n">
        <v>2025</v>
      </c>
      <c r="B207" s="0" t="n">
        <v>8</v>
      </c>
      <c r="C207" s="0" t="n">
        <v>12</v>
      </c>
      <c r="D207" s="0" t="n">
        <v>3389225</v>
      </c>
    </row>
    <row r="208" customFormat="false" ht="15" hidden="false" customHeight="false" outlineLevel="0" collapsed="false">
      <c r="A208" s="0" t="n">
        <v>2025</v>
      </c>
      <c r="B208" s="0" t="n">
        <v>8</v>
      </c>
      <c r="C208" s="0" t="n">
        <v>11</v>
      </c>
      <c r="D208" s="0" t="n">
        <v>3361886</v>
      </c>
    </row>
    <row r="209" customFormat="false" ht="15" hidden="false" customHeight="false" outlineLevel="0" collapsed="false">
      <c r="A209" s="0" t="n">
        <v>2025</v>
      </c>
      <c r="B209" s="0" t="n">
        <v>8</v>
      </c>
      <c r="C209" s="0" t="n">
        <v>10</v>
      </c>
      <c r="D209" s="0" t="n">
        <v>2456769</v>
      </c>
    </row>
    <row r="210" customFormat="false" ht="15" hidden="false" customHeight="false" outlineLevel="0" collapsed="false">
      <c r="A210" s="0" t="n">
        <v>2025</v>
      </c>
      <c r="B210" s="0" t="n">
        <v>8</v>
      </c>
      <c r="C210" s="0" t="n">
        <v>9</v>
      </c>
      <c r="D210" s="0" t="n">
        <v>1521872</v>
      </c>
    </row>
    <row r="211" customFormat="false" ht="15" hidden="false" customHeight="false" outlineLevel="0" collapsed="false">
      <c r="A211" s="0" t="n">
        <v>2025</v>
      </c>
      <c r="B211" s="0" t="n">
        <v>8</v>
      </c>
      <c r="C211" s="0" t="n">
        <v>8</v>
      </c>
      <c r="D211" s="0" t="n">
        <v>2000501</v>
      </c>
    </row>
    <row r="212" customFormat="false" ht="15" hidden="false" customHeight="false" outlineLevel="0" collapsed="false">
      <c r="A212" s="0" t="n">
        <v>2025</v>
      </c>
      <c r="B212" s="0" t="n">
        <v>8</v>
      </c>
      <c r="C212" s="0" t="n">
        <v>7</v>
      </c>
      <c r="D212" s="0" t="n">
        <v>3262632</v>
      </c>
    </row>
    <row r="213" customFormat="false" ht="15" hidden="false" customHeight="false" outlineLevel="0" collapsed="false">
      <c r="A213" s="0" t="n">
        <v>2025</v>
      </c>
      <c r="B213" s="0" t="n">
        <v>8</v>
      </c>
      <c r="C213" s="0" t="n">
        <v>6</v>
      </c>
      <c r="D213" s="0" t="n">
        <v>3255849</v>
      </c>
    </row>
    <row r="214" customFormat="false" ht="15" hidden="false" customHeight="false" outlineLevel="0" collapsed="false">
      <c r="A214" s="0" t="n">
        <v>2025</v>
      </c>
      <c r="B214" s="0" t="n">
        <v>8</v>
      </c>
      <c r="C214" s="0" t="n">
        <v>5</v>
      </c>
      <c r="D214" s="0" t="n">
        <v>3246672</v>
      </c>
    </row>
    <row r="215" customFormat="false" ht="15" hidden="false" customHeight="false" outlineLevel="0" collapsed="false">
      <c r="A215" s="0" t="n">
        <v>2025</v>
      </c>
      <c r="B215" s="0" t="n">
        <v>8</v>
      </c>
      <c r="C215" s="0" t="n">
        <v>4</v>
      </c>
      <c r="D215" s="0" t="n">
        <v>3334400</v>
      </c>
    </row>
    <row r="216" customFormat="false" ht="15" hidden="false" customHeight="false" outlineLevel="0" collapsed="false">
      <c r="A216" s="0" t="n">
        <v>2025</v>
      </c>
      <c r="B216" s="0" t="n">
        <v>8</v>
      </c>
      <c r="C216" s="0" t="n">
        <v>3</v>
      </c>
      <c r="D216" s="0" t="n">
        <v>2466427</v>
      </c>
    </row>
    <row r="217" customFormat="false" ht="15" hidden="false" customHeight="false" outlineLevel="0" collapsed="false">
      <c r="A217" s="0" t="n">
        <v>2025</v>
      </c>
      <c r="B217" s="0" t="n">
        <v>8</v>
      </c>
      <c r="C217" s="0" t="n">
        <v>2</v>
      </c>
      <c r="D217" s="0" t="n">
        <v>1484815</v>
      </c>
    </row>
    <row r="218" customFormat="false" ht="15" hidden="false" customHeight="false" outlineLevel="0" collapsed="false">
      <c r="A218" s="0" t="n">
        <v>2025</v>
      </c>
      <c r="B218" s="0" t="n">
        <v>8</v>
      </c>
      <c r="C218" s="0" t="n">
        <v>1</v>
      </c>
      <c r="D218" s="0" t="n">
        <v>2023987</v>
      </c>
    </row>
    <row r="219" customFormat="false" ht="15" hidden="false" customHeight="false" outlineLevel="0" collapsed="false">
      <c r="A219" s="0" t="n">
        <v>2025</v>
      </c>
      <c r="B219" s="0" t="n">
        <v>8</v>
      </c>
      <c r="C219" s="0" t="s">
        <v>4</v>
      </c>
      <c r="D219" s="0" t="n">
        <v>81824777</v>
      </c>
    </row>
    <row r="220" customFormat="false" ht="15" hidden="false" customHeight="false" outlineLevel="0" collapsed="false">
      <c r="A220" s="0" t="n">
        <v>2025</v>
      </c>
      <c r="B220" s="0" t="n">
        <v>7</v>
      </c>
      <c r="C220" s="0" t="n">
        <v>31</v>
      </c>
      <c r="D220" s="0" t="n">
        <v>3148911</v>
      </c>
    </row>
    <row r="221" customFormat="false" ht="15" hidden="false" customHeight="false" outlineLevel="0" collapsed="false">
      <c r="A221" s="0" t="n">
        <v>2025</v>
      </c>
      <c r="B221" s="0" t="n">
        <v>7</v>
      </c>
      <c r="C221" s="0" t="n">
        <v>30</v>
      </c>
      <c r="D221" s="0" t="n">
        <v>3136249</v>
      </c>
    </row>
    <row r="222" customFormat="false" ht="15" hidden="false" customHeight="false" outlineLevel="0" collapsed="false">
      <c r="A222" s="0" t="n">
        <v>2025</v>
      </c>
      <c r="B222" s="0" t="n">
        <v>7</v>
      </c>
      <c r="C222" s="0" t="n">
        <v>29</v>
      </c>
      <c r="D222" s="0" t="n">
        <v>3345736</v>
      </c>
    </row>
    <row r="223" customFormat="false" ht="15" hidden="false" customHeight="false" outlineLevel="0" collapsed="false">
      <c r="A223" s="0" t="n">
        <v>2025</v>
      </c>
      <c r="B223" s="0" t="n">
        <v>7</v>
      </c>
      <c r="C223" s="0" t="n">
        <v>28</v>
      </c>
      <c r="D223" s="0" t="n">
        <v>3321526</v>
      </c>
    </row>
    <row r="224" customFormat="false" ht="15" hidden="false" customHeight="false" outlineLevel="0" collapsed="false">
      <c r="A224" s="0" t="n">
        <v>2025</v>
      </c>
      <c r="B224" s="0" t="n">
        <v>7</v>
      </c>
      <c r="C224" s="0" t="n">
        <v>27</v>
      </c>
      <c r="D224" s="0" t="n">
        <v>2509568</v>
      </c>
    </row>
    <row r="225" customFormat="false" ht="15" hidden="false" customHeight="false" outlineLevel="0" collapsed="false">
      <c r="A225" s="0" t="n">
        <v>2025</v>
      </c>
      <c r="B225" s="0" t="n">
        <v>7</v>
      </c>
      <c r="C225" s="0" t="n">
        <v>26</v>
      </c>
      <c r="D225" s="0" t="n">
        <v>1455875</v>
      </c>
    </row>
    <row r="226" customFormat="false" ht="15" hidden="false" customHeight="false" outlineLevel="0" collapsed="false">
      <c r="A226" s="0" t="n">
        <v>2025</v>
      </c>
      <c r="B226" s="0" t="n">
        <v>7</v>
      </c>
      <c r="C226" s="0" t="n">
        <v>25</v>
      </c>
      <c r="D226" s="0" t="n">
        <v>1872562</v>
      </c>
    </row>
    <row r="227" customFormat="false" ht="15" hidden="false" customHeight="false" outlineLevel="0" collapsed="false">
      <c r="A227" s="0" t="n">
        <v>2025</v>
      </c>
      <c r="B227" s="0" t="n">
        <v>7</v>
      </c>
      <c r="C227" s="0" t="n">
        <v>24</v>
      </c>
      <c r="D227" s="0" t="n">
        <v>3105297</v>
      </c>
    </row>
    <row r="228" customFormat="false" ht="15" hidden="false" customHeight="false" outlineLevel="0" collapsed="false">
      <c r="A228" s="0" t="n">
        <v>2025</v>
      </c>
      <c r="B228" s="0" t="n">
        <v>7</v>
      </c>
      <c r="C228" s="0" t="n">
        <v>23</v>
      </c>
      <c r="D228" s="0" t="n">
        <v>3120125</v>
      </c>
    </row>
    <row r="229" customFormat="false" ht="15" hidden="false" customHeight="false" outlineLevel="0" collapsed="false">
      <c r="A229" s="0" t="n">
        <v>2025</v>
      </c>
      <c r="B229" s="0" t="n">
        <v>7</v>
      </c>
      <c r="C229" s="0" t="n">
        <v>22</v>
      </c>
      <c r="D229" s="0" t="n">
        <v>3117630</v>
      </c>
    </row>
    <row r="230" customFormat="false" ht="15" hidden="false" customHeight="false" outlineLevel="0" collapsed="false">
      <c r="A230" s="0" t="n">
        <v>2025</v>
      </c>
      <c r="B230" s="0" t="n">
        <v>7</v>
      </c>
      <c r="C230" s="0" t="n">
        <v>21</v>
      </c>
      <c r="D230" s="0" t="n">
        <v>3178201</v>
      </c>
    </row>
    <row r="231" customFormat="false" ht="15" hidden="false" customHeight="false" outlineLevel="0" collapsed="false">
      <c r="A231" s="0" t="n">
        <v>2025</v>
      </c>
      <c r="B231" s="0" t="n">
        <v>7</v>
      </c>
      <c r="C231" s="0" t="n">
        <v>20</v>
      </c>
      <c r="D231" s="0" t="n">
        <v>2292707</v>
      </c>
    </row>
    <row r="232" customFormat="false" ht="15" hidden="false" customHeight="false" outlineLevel="0" collapsed="false">
      <c r="A232" s="0" t="n">
        <v>2025</v>
      </c>
      <c r="B232" s="0" t="n">
        <v>7</v>
      </c>
      <c r="C232" s="0" t="n">
        <v>19</v>
      </c>
      <c r="D232" s="0" t="n">
        <v>1433656</v>
      </c>
    </row>
    <row r="233" customFormat="false" ht="15" hidden="false" customHeight="false" outlineLevel="0" collapsed="false">
      <c r="A233" s="0" t="n">
        <v>2025</v>
      </c>
      <c r="B233" s="0" t="n">
        <v>7</v>
      </c>
      <c r="C233" s="0" t="n">
        <v>18</v>
      </c>
      <c r="D233" s="0" t="n">
        <v>1791622</v>
      </c>
    </row>
    <row r="234" customFormat="false" ht="15" hidden="false" customHeight="false" outlineLevel="0" collapsed="false">
      <c r="A234" s="0" t="n">
        <v>2025</v>
      </c>
      <c r="B234" s="0" t="n">
        <v>7</v>
      </c>
      <c r="C234" s="0" t="n">
        <v>17</v>
      </c>
      <c r="D234" s="0" t="n">
        <v>3053138</v>
      </c>
    </row>
    <row r="235" customFormat="false" ht="15" hidden="false" customHeight="false" outlineLevel="0" collapsed="false">
      <c r="A235" s="0" t="n">
        <v>2025</v>
      </c>
      <c r="B235" s="0" t="n">
        <v>7</v>
      </c>
      <c r="C235" s="0" t="n">
        <v>16</v>
      </c>
      <c r="D235" s="0" t="n">
        <v>3113333</v>
      </c>
    </row>
    <row r="236" customFormat="false" ht="15" hidden="false" customHeight="false" outlineLevel="0" collapsed="false">
      <c r="A236" s="0" t="n">
        <v>2025</v>
      </c>
      <c r="B236" s="0" t="n">
        <v>7</v>
      </c>
      <c r="C236" s="0" t="n">
        <v>15</v>
      </c>
      <c r="D236" s="0" t="n">
        <v>3309799</v>
      </c>
    </row>
    <row r="237" customFormat="false" ht="15" hidden="false" customHeight="false" outlineLevel="0" collapsed="false">
      <c r="A237" s="0" t="n">
        <v>2025</v>
      </c>
      <c r="B237" s="0" t="n">
        <v>7</v>
      </c>
      <c r="C237" s="0" t="n">
        <v>14</v>
      </c>
      <c r="D237" s="0" t="n">
        <v>3272340</v>
      </c>
    </row>
    <row r="238" customFormat="false" ht="15" hidden="false" customHeight="false" outlineLevel="0" collapsed="false">
      <c r="A238" s="0" t="n">
        <v>2025</v>
      </c>
      <c r="B238" s="0" t="n">
        <v>7</v>
      </c>
      <c r="C238" s="0" t="n">
        <v>13</v>
      </c>
      <c r="D238" s="0" t="n">
        <v>2356403</v>
      </c>
    </row>
    <row r="239" customFormat="false" ht="15" hidden="false" customHeight="false" outlineLevel="0" collapsed="false">
      <c r="A239" s="0" t="n">
        <v>2025</v>
      </c>
      <c r="B239" s="0" t="n">
        <v>7</v>
      </c>
      <c r="C239" s="0" t="n">
        <v>12</v>
      </c>
      <c r="D239" s="0" t="n">
        <v>1580710</v>
      </c>
    </row>
    <row r="240" customFormat="false" ht="15" hidden="false" customHeight="false" outlineLevel="0" collapsed="false">
      <c r="A240" s="0" t="n">
        <v>2025</v>
      </c>
      <c r="B240" s="0" t="n">
        <v>7</v>
      </c>
      <c r="C240" s="0" t="n">
        <v>11</v>
      </c>
      <c r="D240" s="0" t="n">
        <v>1698839</v>
      </c>
    </row>
    <row r="241" customFormat="false" ht="15" hidden="false" customHeight="false" outlineLevel="0" collapsed="false">
      <c r="A241" s="0" t="n">
        <v>2025</v>
      </c>
      <c r="B241" s="0" t="n">
        <v>7</v>
      </c>
      <c r="C241" s="0" t="n">
        <v>10</v>
      </c>
      <c r="D241" s="0" t="n">
        <v>2977961</v>
      </c>
    </row>
    <row r="242" customFormat="false" ht="15" hidden="false" customHeight="false" outlineLevel="0" collapsed="false">
      <c r="A242" s="0" t="n">
        <v>2025</v>
      </c>
      <c r="B242" s="0" t="n">
        <v>7</v>
      </c>
      <c r="C242" s="0" t="n">
        <v>9</v>
      </c>
      <c r="D242" s="0" t="n">
        <v>3088038</v>
      </c>
    </row>
    <row r="243" customFormat="false" ht="15" hidden="false" customHeight="false" outlineLevel="0" collapsed="false">
      <c r="A243" s="0" t="n">
        <v>2025</v>
      </c>
      <c r="B243" s="0" t="n">
        <v>7</v>
      </c>
      <c r="C243" s="0" t="n">
        <v>8</v>
      </c>
      <c r="D243" s="0" t="n">
        <v>3573411</v>
      </c>
    </row>
    <row r="244" customFormat="false" ht="15" hidden="false" customHeight="false" outlineLevel="0" collapsed="false">
      <c r="A244" s="0" t="n">
        <v>2025</v>
      </c>
      <c r="B244" s="0" t="n">
        <v>7</v>
      </c>
      <c r="C244" s="0" t="n">
        <v>7</v>
      </c>
      <c r="D244" s="0" t="n">
        <v>3169610</v>
      </c>
    </row>
    <row r="245" customFormat="false" ht="15" hidden="false" customHeight="false" outlineLevel="0" collapsed="false">
      <c r="A245" s="0" t="n">
        <v>2025</v>
      </c>
      <c r="B245" s="0" t="n">
        <v>7</v>
      </c>
      <c r="C245" s="0" t="n">
        <v>6</v>
      </c>
      <c r="D245" s="0" t="n">
        <v>2018642</v>
      </c>
    </row>
    <row r="246" customFormat="false" ht="15" hidden="false" customHeight="false" outlineLevel="0" collapsed="false">
      <c r="A246" s="0" t="n">
        <v>2025</v>
      </c>
      <c r="B246" s="0" t="n">
        <v>7</v>
      </c>
      <c r="C246" s="0" t="n">
        <v>5</v>
      </c>
      <c r="D246" s="0" t="n">
        <v>1627139</v>
      </c>
    </row>
    <row r="247" customFormat="false" ht="15" hidden="false" customHeight="false" outlineLevel="0" collapsed="false">
      <c r="A247" s="0" t="n">
        <v>2025</v>
      </c>
      <c r="B247" s="0" t="n">
        <v>7</v>
      </c>
      <c r="C247" s="0" t="n">
        <v>4</v>
      </c>
      <c r="D247" s="0" t="n">
        <v>1166657</v>
      </c>
    </row>
    <row r="248" customFormat="false" ht="15" hidden="false" customHeight="false" outlineLevel="0" collapsed="false">
      <c r="A248" s="0" t="n">
        <v>2025</v>
      </c>
      <c r="B248" s="0" t="n">
        <v>7</v>
      </c>
      <c r="C248" s="0" t="n">
        <v>3</v>
      </c>
      <c r="D248" s="0" t="n">
        <v>2804700</v>
      </c>
    </row>
    <row r="249" customFormat="false" ht="15" hidden="false" customHeight="false" outlineLevel="0" collapsed="false">
      <c r="A249" s="0" t="n">
        <v>2025</v>
      </c>
      <c r="B249" s="0" t="n">
        <v>7</v>
      </c>
      <c r="C249" s="0" t="n">
        <v>2</v>
      </c>
      <c r="D249" s="0" t="n">
        <v>3122476</v>
      </c>
    </row>
    <row r="250" customFormat="false" ht="15" hidden="false" customHeight="false" outlineLevel="0" collapsed="false">
      <c r="A250" s="0" t="n">
        <v>2025</v>
      </c>
      <c r="B250" s="0" t="n">
        <v>7</v>
      </c>
      <c r="C250" s="0" t="n">
        <v>1</v>
      </c>
      <c r="D250" s="0" t="n">
        <v>3151641</v>
      </c>
    </row>
    <row r="251" customFormat="false" ht="15" hidden="false" customHeight="false" outlineLevel="0" collapsed="false">
      <c r="A251" s="0" t="n">
        <v>2025</v>
      </c>
      <c r="B251" s="0" t="n">
        <v>7</v>
      </c>
      <c r="C251" s="0" t="s">
        <v>4</v>
      </c>
      <c r="D251" s="0" t="n">
        <v>81914502</v>
      </c>
    </row>
    <row r="252" customFormat="false" ht="15" hidden="false" customHeight="false" outlineLevel="0" collapsed="false">
      <c r="A252" s="0" t="n">
        <v>2025</v>
      </c>
      <c r="B252" s="0" t="n">
        <v>6</v>
      </c>
      <c r="C252" s="0" t="n">
        <v>30</v>
      </c>
      <c r="D252" s="0" t="n">
        <v>3178671</v>
      </c>
    </row>
    <row r="253" customFormat="false" ht="15" hidden="false" customHeight="false" outlineLevel="0" collapsed="false">
      <c r="A253" s="0" t="n">
        <v>2025</v>
      </c>
      <c r="B253" s="0" t="n">
        <v>6</v>
      </c>
      <c r="C253" s="0" t="n">
        <v>29</v>
      </c>
      <c r="D253" s="0" t="n">
        <v>2422056</v>
      </c>
    </row>
    <row r="254" customFormat="false" ht="15" hidden="false" customHeight="false" outlineLevel="0" collapsed="false">
      <c r="A254" s="0" t="n">
        <v>2025</v>
      </c>
      <c r="B254" s="0" t="n">
        <v>6</v>
      </c>
      <c r="C254" s="0" t="n">
        <v>28</v>
      </c>
      <c r="D254" s="0" t="n">
        <v>1483684</v>
      </c>
    </row>
    <row r="255" customFormat="false" ht="15" hidden="false" customHeight="false" outlineLevel="0" collapsed="false">
      <c r="A255" s="0" t="n">
        <v>2025</v>
      </c>
      <c r="B255" s="0" t="n">
        <v>6</v>
      </c>
      <c r="C255" s="0" t="n">
        <v>27</v>
      </c>
      <c r="D255" s="0" t="n">
        <v>1838802</v>
      </c>
    </row>
    <row r="256" customFormat="false" ht="15" hidden="false" customHeight="false" outlineLevel="0" collapsed="false">
      <c r="A256" s="0" t="n">
        <v>2025</v>
      </c>
      <c r="B256" s="0" t="n">
        <v>6</v>
      </c>
      <c r="C256" s="0" t="n">
        <v>26</v>
      </c>
      <c r="D256" s="0" t="n">
        <v>3066184</v>
      </c>
    </row>
    <row r="257" customFormat="false" ht="15" hidden="false" customHeight="false" outlineLevel="0" collapsed="false">
      <c r="A257" s="0" t="n">
        <v>2025</v>
      </c>
      <c r="B257" s="0" t="n">
        <v>6</v>
      </c>
      <c r="C257" s="0" t="n">
        <v>25</v>
      </c>
      <c r="D257" s="0" t="n">
        <v>3146672</v>
      </c>
    </row>
    <row r="258" customFormat="false" ht="15" hidden="false" customHeight="false" outlineLevel="0" collapsed="false">
      <c r="A258" s="0" t="n">
        <v>2025</v>
      </c>
      <c r="B258" s="0" t="n">
        <v>6</v>
      </c>
      <c r="C258" s="0" t="n">
        <v>24</v>
      </c>
      <c r="D258" s="0" t="n">
        <v>3205898</v>
      </c>
    </row>
    <row r="259" customFormat="false" ht="15" hidden="false" customHeight="false" outlineLevel="0" collapsed="false">
      <c r="A259" s="0" t="n">
        <v>2025</v>
      </c>
      <c r="B259" s="0" t="n">
        <v>6</v>
      </c>
      <c r="C259" s="0" t="n">
        <v>23</v>
      </c>
      <c r="D259" s="0" t="n">
        <v>3166579</v>
      </c>
    </row>
    <row r="260" customFormat="false" ht="15" hidden="false" customHeight="false" outlineLevel="0" collapsed="false">
      <c r="A260" s="0" t="n">
        <v>2025</v>
      </c>
      <c r="B260" s="0" t="n">
        <v>6</v>
      </c>
      <c r="C260" s="0" t="n">
        <v>22</v>
      </c>
      <c r="D260" s="0" t="n">
        <v>2295462</v>
      </c>
    </row>
    <row r="261" customFormat="false" ht="15" hidden="false" customHeight="false" outlineLevel="0" collapsed="false">
      <c r="A261" s="0" t="n">
        <v>2025</v>
      </c>
      <c r="B261" s="0" t="n">
        <v>6</v>
      </c>
      <c r="C261" s="0" t="n">
        <v>21</v>
      </c>
      <c r="D261" s="0" t="n">
        <v>1559881</v>
      </c>
    </row>
    <row r="262" customFormat="false" ht="15" hidden="false" customHeight="false" outlineLevel="0" collapsed="false">
      <c r="A262" s="0" t="n">
        <v>2025</v>
      </c>
      <c r="B262" s="0" t="n">
        <v>6</v>
      </c>
      <c r="C262" s="0" t="n">
        <v>20</v>
      </c>
      <c r="D262" s="0" t="n">
        <v>1720192</v>
      </c>
    </row>
    <row r="263" customFormat="false" ht="15" hidden="false" customHeight="false" outlineLevel="0" collapsed="false">
      <c r="A263" s="0" t="n">
        <v>2025</v>
      </c>
      <c r="B263" s="0" t="n">
        <v>6</v>
      </c>
      <c r="C263" s="0" t="n">
        <v>19</v>
      </c>
      <c r="D263" s="0" t="n">
        <v>3103713</v>
      </c>
    </row>
    <row r="264" customFormat="false" ht="15" hidden="false" customHeight="false" outlineLevel="0" collapsed="false">
      <c r="A264" s="0" t="n">
        <v>2025</v>
      </c>
      <c r="B264" s="0" t="n">
        <v>6</v>
      </c>
      <c r="C264" s="0" t="n">
        <v>18</v>
      </c>
      <c r="D264" s="0" t="n">
        <v>3194270</v>
      </c>
    </row>
    <row r="265" customFormat="false" ht="15" hidden="false" customHeight="false" outlineLevel="0" collapsed="false">
      <c r="A265" s="0" t="n">
        <v>2025</v>
      </c>
      <c r="B265" s="0" t="n">
        <v>6</v>
      </c>
      <c r="C265" s="0" t="n">
        <v>17</v>
      </c>
      <c r="D265" s="0" t="n">
        <v>3367771</v>
      </c>
    </row>
    <row r="266" customFormat="false" ht="15" hidden="false" customHeight="false" outlineLevel="0" collapsed="false">
      <c r="A266" s="0" t="n">
        <v>2025</v>
      </c>
      <c r="B266" s="0" t="n">
        <v>6</v>
      </c>
      <c r="C266" s="0" t="n">
        <v>16</v>
      </c>
      <c r="D266" s="0" t="n">
        <v>3146224</v>
      </c>
    </row>
    <row r="267" customFormat="false" ht="15" hidden="false" customHeight="false" outlineLevel="0" collapsed="false">
      <c r="A267" s="0" t="n">
        <v>2025</v>
      </c>
      <c r="B267" s="0" t="n">
        <v>6</v>
      </c>
      <c r="C267" s="0" t="n">
        <v>15</v>
      </c>
      <c r="D267" s="0" t="n">
        <v>2246232</v>
      </c>
    </row>
    <row r="268" customFormat="false" ht="15" hidden="false" customHeight="false" outlineLevel="0" collapsed="false">
      <c r="A268" s="0" t="n">
        <v>2025</v>
      </c>
      <c r="B268" s="0" t="n">
        <v>6</v>
      </c>
      <c r="C268" s="0" t="n">
        <v>14</v>
      </c>
      <c r="D268" s="0" t="n">
        <v>1609971</v>
      </c>
    </row>
    <row r="269" customFormat="false" ht="15" hidden="false" customHeight="false" outlineLevel="0" collapsed="false">
      <c r="A269" s="0" t="n">
        <v>2025</v>
      </c>
      <c r="B269" s="0" t="n">
        <v>6</v>
      </c>
      <c r="C269" s="0" t="n">
        <v>13</v>
      </c>
      <c r="D269" s="0" t="n">
        <v>1930308</v>
      </c>
    </row>
    <row r="270" customFormat="false" ht="15" hidden="false" customHeight="false" outlineLevel="0" collapsed="false">
      <c r="A270" s="0" t="n">
        <v>2025</v>
      </c>
      <c r="B270" s="0" t="n">
        <v>6</v>
      </c>
      <c r="C270" s="0" t="n">
        <v>12</v>
      </c>
      <c r="D270" s="0" t="n">
        <v>3079232</v>
      </c>
    </row>
    <row r="271" customFormat="false" ht="15" hidden="false" customHeight="false" outlineLevel="0" collapsed="false">
      <c r="A271" s="0" t="n">
        <v>2025</v>
      </c>
      <c r="B271" s="0" t="n">
        <v>6</v>
      </c>
      <c r="C271" s="0" t="n">
        <v>11</v>
      </c>
      <c r="D271" s="0" t="n">
        <v>3401605</v>
      </c>
    </row>
    <row r="272" customFormat="false" ht="15" hidden="false" customHeight="false" outlineLevel="0" collapsed="false">
      <c r="A272" s="0" t="n">
        <v>2025</v>
      </c>
      <c r="B272" s="0" t="n">
        <v>6</v>
      </c>
      <c r="C272" s="0" t="n">
        <v>10</v>
      </c>
      <c r="D272" s="0" t="n">
        <v>3317487</v>
      </c>
    </row>
    <row r="273" customFormat="false" ht="15" hidden="false" customHeight="false" outlineLevel="0" collapsed="false">
      <c r="A273" s="0" t="n">
        <v>2025</v>
      </c>
      <c r="B273" s="0" t="n">
        <v>6</v>
      </c>
      <c r="C273" s="0" t="n">
        <v>9</v>
      </c>
      <c r="D273" s="0" t="n">
        <v>3479225</v>
      </c>
    </row>
    <row r="274" customFormat="false" ht="15" hidden="false" customHeight="false" outlineLevel="0" collapsed="false">
      <c r="A274" s="0" t="n">
        <v>2025</v>
      </c>
      <c r="B274" s="0" t="n">
        <v>6</v>
      </c>
      <c r="C274" s="0" t="n">
        <v>8</v>
      </c>
      <c r="D274" s="0" t="n">
        <v>2369031</v>
      </c>
    </row>
    <row r="275" customFormat="false" ht="15" hidden="false" customHeight="false" outlineLevel="0" collapsed="false">
      <c r="A275" s="0" t="n">
        <v>2025</v>
      </c>
      <c r="B275" s="0" t="n">
        <v>6</v>
      </c>
      <c r="C275" s="0" t="n">
        <v>7</v>
      </c>
      <c r="D275" s="0" t="n">
        <v>1640418</v>
      </c>
    </row>
    <row r="276" customFormat="false" ht="15" hidden="false" customHeight="false" outlineLevel="0" collapsed="false">
      <c r="A276" s="0" t="n">
        <v>2025</v>
      </c>
      <c r="B276" s="0" t="n">
        <v>6</v>
      </c>
      <c r="C276" s="0" t="n">
        <v>6</v>
      </c>
      <c r="D276" s="0" t="n">
        <v>2049880</v>
      </c>
    </row>
    <row r="277" customFormat="false" ht="15" hidden="false" customHeight="false" outlineLevel="0" collapsed="false">
      <c r="A277" s="0" t="n">
        <v>2025</v>
      </c>
      <c r="B277" s="0" t="n">
        <v>6</v>
      </c>
      <c r="C277" s="0" t="n">
        <v>5</v>
      </c>
      <c r="D277" s="0" t="n">
        <v>3426213</v>
      </c>
    </row>
    <row r="278" customFormat="false" ht="15" hidden="false" customHeight="false" outlineLevel="0" collapsed="false">
      <c r="A278" s="0" t="n">
        <v>2025</v>
      </c>
      <c r="B278" s="0" t="n">
        <v>6</v>
      </c>
      <c r="C278" s="0" t="n">
        <v>4</v>
      </c>
      <c r="D278" s="0" t="n">
        <v>3369663</v>
      </c>
    </row>
    <row r="279" customFormat="false" ht="15" hidden="false" customHeight="false" outlineLevel="0" collapsed="false">
      <c r="A279" s="0" t="n">
        <v>2025</v>
      </c>
      <c r="B279" s="0" t="n">
        <v>6</v>
      </c>
      <c r="C279" s="0" t="n">
        <v>3</v>
      </c>
      <c r="D279" s="0" t="n">
        <v>3396590</v>
      </c>
    </row>
    <row r="280" customFormat="false" ht="15" hidden="false" customHeight="false" outlineLevel="0" collapsed="false">
      <c r="A280" s="0" t="n">
        <v>2025</v>
      </c>
      <c r="B280" s="0" t="n">
        <v>6</v>
      </c>
      <c r="C280" s="0" t="n">
        <v>2</v>
      </c>
      <c r="D280" s="0" t="n">
        <v>3429127</v>
      </c>
    </row>
    <row r="281" customFormat="false" ht="15" hidden="false" customHeight="false" outlineLevel="0" collapsed="false">
      <c r="A281" s="0" t="n">
        <v>2025</v>
      </c>
      <c r="B281" s="0" t="n">
        <v>6</v>
      </c>
      <c r="C281" s="0" t="n">
        <v>1</v>
      </c>
      <c r="D281" s="0" t="n">
        <v>2396076</v>
      </c>
    </row>
    <row r="282" customFormat="false" ht="15" hidden="false" customHeight="false" outlineLevel="0" collapsed="false">
      <c r="A282" s="0" t="n">
        <v>2025</v>
      </c>
      <c r="B282" s="0" t="n">
        <v>6</v>
      </c>
      <c r="C282" s="0" t="s">
        <v>4</v>
      </c>
      <c r="D282" s="0" t="n">
        <v>81037117</v>
      </c>
    </row>
    <row r="283" customFormat="false" ht="15" hidden="false" customHeight="false" outlineLevel="0" collapsed="false">
      <c r="A283" s="0" t="n">
        <v>2025</v>
      </c>
      <c r="B283" s="0" t="n">
        <v>5</v>
      </c>
      <c r="C283" s="0" t="n">
        <v>31</v>
      </c>
      <c r="D283" s="0" t="n">
        <v>1685831</v>
      </c>
    </row>
    <row r="284" customFormat="false" ht="15" hidden="false" customHeight="false" outlineLevel="0" collapsed="false">
      <c r="A284" s="0" t="n">
        <v>2025</v>
      </c>
      <c r="B284" s="0" t="n">
        <v>5</v>
      </c>
      <c r="C284" s="0" t="n">
        <v>30</v>
      </c>
      <c r="D284" s="0" t="n">
        <v>2017393</v>
      </c>
    </row>
    <row r="285" customFormat="false" ht="15" hidden="false" customHeight="false" outlineLevel="0" collapsed="false">
      <c r="A285" s="0" t="n">
        <v>2025</v>
      </c>
      <c r="B285" s="0" t="n">
        <v>5</v>
      </c>
      <c r="C285" s="0" t="n">
        <v>29</v>
      </c>
      <c r="D285" s="0" t="n">
        <v>3493969</v>
      </c>
    </row>
    <row r="286" customFormat="false" ht="15" hidden="false" customHeight="false" outlineLevel="0" collapsed="false">
      <c r="A286" s="0" t="n">
        <v>2025</v>
      </c>
      <c r="B286" s="0" t="n">
        <v>5</v>
      </c>
      <c r="C286" s="0" t="n">
        <v>28</v>
      </c>
      <c r="D286" s="0" t="n">
        <v>3364858</v>
      </c>
    </row>
    <row r="287" customFormat="false" ht="15" hidden="false" customHeight="false" outlineLevel="0" collapsed="false">
      <c r="A287" s="0" t="n">
        <v>2025</v>
      </c>
      <c r="B287" s="0" t="n">
        <v>5</v>
      </c>
      <c r="C287" s="0" t="n">
        <v>27</v>
      </c>
      <c r="D287" s="0" t="n">
        <v>3506081</v>
      </c>
    </row>
    <row r="288" customFormat="false" ht="15" hidden="false" customHeight="false" outlineLevel="0" collapsed="false">
      <c r="A288" s="0" t="n">
        <v>2025</v>
      </c>
      <c r="B288" s="0" t="n">
        <v>5</v>
      </c>
      <c r="C288" s="0" t="n">
        <v>26</v>
      </c>
      <c r="D288" s="0" t="n">
        <v>1024258</v>
      </c>
    </row>
    <row r="289" customFormat="false" ht="15" hidden="false" customHeight="false" outlineLevel="0" collapsed="false">
      <c r="A289" s="0" t="n">
        <v>2025</v>
      </c>
      <c r="B289" s="0" t="n">
        <v>5</v>
      </c>
      <c r="C289" s="0" t="n">
        <v>25</v>
      </c>
      <c r="D289" s="0" t="n">
        <v>2170773</v>
      </c>
    </row>
    <row r="290" customFormat="false" ht="15" hidden="false" customHeight="false" outlineLevel="0" collapsed="false">
      <c r="A290" s="0" t="n">
        <v>2025</v>
      </c>
      <c r="B290" s="0" t="n">
        <v>5</v>
      </c>
      <c r="C290" s="0" t="n">
        <v>24</v>
      </c>
      <c r="D290" s="0" t="n">
        <v>1645436</v>
      </c>
    </row>
    <row r="291" customFormat="false" ht="15" hidden="false" customHeight="false" outlineLevel="0" collapsed="false">
      <c r="A291" s="0" t="n">
        <v>2025</v>
      </c>
      <c r="B291" s="0" t="n">
        <v>5</v>
      </c>
      <c r="C291" s="0" t="n">
        <v>23</v>
      </c>
      <c r="D291" s="0" t="n">
        <v>2029227</v>
      </c>
    </row>
    <row r="292" customFormat="false" ht="15" hidden="false" customHeight="false" outlineLevel="0" collapsed="false">
      <c r="A292" s="0" t="n">
        <v>2025</v>
      </c>
      <c r="B292" s="0" t="n">
        <v>5</v>
      </c>
      <c r="C292" s="0" t="n">
        <v>22</v>
      </c>
      <c r="D292" s="0" t="n">
        <v>3407862</v>
      </c>
    </row>
    <row r="293" customFormat="false" ht="15" hidden="false" customHeight="false" outlineLevel="0" collapsed="false">
      <c r="A293" s="0" t="n">
        <v>2025</v>
      </c>
      <c r="B293" s="0" t="n">
        <v>5</v>
      </c>
      <c r="C293" s="0" t="n">
        <v>21</v>
      </c>
      <c r="D293" s="0" t="n">
        <v>3323006</v>
      </c>
    </row>
    <row r="294" customFormat="false" ht="15" hidden="false" customHeight="false" outlineLevel="0" collapsed="false">
      <c r="A294" s="0" t="n">
        <v>2025</v>
      </c>
      <c r="B294" s="0" t="n">
        <v>5</v>
      </c>
      <c r="C294" s="0" t="n">
        <v>20</v>
      </c>
      <c r="D294" s="0" t="n">
        <v>3531332</v>
      </c>
    </row>
    <row r="295" customFormat="false" ht="15" hidden="false" customHeight="false" outlineLevel="0" collapsed="false">
      <c r="A295" s="0" t="n">
        <v>2025</v>
      </c>
      <c r="B295" s="0" t="n">
        <v>5</v>
      </c>
      <c r="C295" s="0" t="n">
        <v>19</v>
      </c>
      <c r="D295" s="0" t="n">
        <v>3477703</v>
      </c>
    </row>
    <row r="296" customFormat="false" ht="15" hidden="false" customHeight="false" outlineLevel="0" collapsed="false">
      <c r="A296" s="0" t="n">
        <v>2025</v>
      </c>
      <c r="B296" s="0" t="n">
        <v>5</v>
      </c>
      <c r="C296" s="0" t="n">
        <v>18</v>
      </c>
      <c r="D296" s="0" t="n">
        <v>2338753</v>
      </c>
    </row>
    <row r="297" customFormat="false" ht="15" hidden="false" customHeight="false" outlineLevel="0" collapsed="false">
      <c r="A297" s="0" t="n">
        <v>2025</v>
      </c>
      <c r="B297" s="0" t="n">
        <v>5</v>
      </c>
      <c r="C297" s="0" t="n">
        <v>17</v>
      </c>
      <c r="D297" s="0" t="n">
        <v>1683293</v>
      </c>
    </row>
    <row r="298" customFormat="false" ht="15" hidden="false" customHeight="false" outlineLevel="0" collapsed="false">
      <c r="A298" s="0" t="n">
        <v>2025</v>
      </c>
      <c r="B298" s="0" t="n">
        <v>5</v>
      </c>
      <c r="C298" s="0" t="n">
        <v>16</v>
      </c>
      <c r="D298" s="0" t="n">
        <v>2047594</v>
      </c>
    </row>
    <row r="299" customFormat="false" ht="15" hidden="false" customHeight="false" outlineLevel="0" collapsed="false">
      <c r="A299" s="0" t="n">
        <v>2025</v>
      </c>
      <c r="B299" s="0" t="n">
        <v>5</v>
      </c>
      <c r="C299" s="0" t="n">
        <v>15</v>
      </c>
      <c r="D299" s="0" t="n">
        <v>3364753</v>
      </c>
    </row>
    <row r="300" customFormat="false" ht="15" hidden="false" customHeight="false" outlineLevel="0" collapsed="false">
      <c r="A300" s="0" t="n">
        <v>2025</v>
      </c>
      <c r="B300" s="0" t="n">
        <v>5</v>
      </c>
      <c r="C300" s="0" t="n">
        <v>14</v>
      </c>
      <c r="D300" s="0" t="n">
        <v>3763177</v>
      </c>
    </row>
    <row r="301" customFormat="false" ht="15" hidden="false" customHeight="false" outlineLevel="0" collapsed="false">
      <c r="A301" s="0" t="n">
        <v>2025</v>
      </c>
      <c r="B301" s="0" t="n">
        <v>5</v>
      </c>
      <c r="C301" s="0" t="n">
        <v>13</v>
      </c>
      <c r="D301" s="0" t="n">
        <v>3569054</v>
      </c>
    </row>
    <row r="302" customFormat="false" ht="15" hidden="false" customHeight="false" outlineLevel="0" collapsed="false">
      <c r="A302" s="0" t="n">
        <v>2025</v>
      </c>
      <c r="B302" s="0" t="n">
        <v>5</v>
      </c>
      <c r="C302" s="0" t="n">
        <v>12</v>
      </c>
      <c r="D302" s="0" t="n">
        <v>3512309</v>
      </c>
    </row>
    <row r="303" customFormat="false" ht="15" hidden="false" customHeight="false" outlineLevel="0" collapsed="false">
      <c r="A303" s="0" t="n">
        <v>2025</v>
      </c>
      <c r="B303" s="0" t="n">
        <v>5</v>
      </c>
      <c r="C303" s="0" t="n">
        <v>11</v>
      </c>
      <c r="D303" s="0" t="n">
        <v>2262267</v>
      </c>
    </row>
    <row r="304" customFormat="false" ht="15" hidden="false" customHeight="false" outlineLevel="0" collapsed="false">
      <c r="A304" s="0" t="n">
        <v>2025</v>
      </c>
      <c r="B304" s="0" t="n">
        <v>5</v>
      </c>
      <c r="C304" s="0" t="n">
        <v>10</v>
      </c>
      <c r="D304" s="0" t="n">
        <v>1601148</v>
      </c>
    </row>
    <row r="305" customFormat="false" ht="15" hidden="false" customHeight="false" outlineLevel="0" collapsed="false">
      <c r="A305" s="0" t="n">
        <v>2025</v>
      </c>
      <c r="B305" s="0" t="n">
        <v>5</v>
      </c>
      <c r="C305" s="0" t="n">
        <v>9</v>
      </c>
      <c r="D305" s="0" t="n">
        <v>2429854</v>
      </c>
    </row>
    <row r="306" customFormat="false" ht="15" hidden="false" customHeight="false" outlineLevel="0" collapsed="false">
      <c r="A306" s="0" t="n">
        <v>2025</v>
      </c>
      <c r="B306" s="0" t="n">
        <v>5</v>
      </c>
      <c r="C306" s="0" t="n">
        <v>8</v>
      </c>
      <c r="D306" s="0" t="n">
        <v>3747505</v>
      </c>
    </row>
    <row r="307" customFormat="false" ht="15" hidden="false" customHeight="false" outlineLevel="0" collapsed="false">
      <c r="A307" s="0" t="n">
        <v>2025</v>
      </c>
      <c r="B307" s="0" t="n">
        <v>5</v>
      </c>
      <c r="C307" s="0" t="n">
        <v>7</v>
      </c>
      <c r="D307" s="0" t="n">
        <v>3553828</v>
      </c>
    </row>
    <row r="308" customFormat="false" ht="15" hidden="false" customHeight="false" outlineLevel="0" collapsed="false">
      <c r="A308" s="0" t="n">
        <v>2025</v>
      </c>
      <c r="B308" s="0" t="n">
        <v>5</v>
      </c>
      <c r="C308" s="0" t="n">
        <v>6</v>
      </c>
      <c r="D308" s="0" t="n">
        <v>3481246</v>
      </c>
    </row>
    <row r="309" customFormat="false" ht="15" hidden="false" customHeight="false" outlineLevel="0" collapsed="false">
      <c r="A309" s="0" t="n">
        <v>2025</v>
      </c>
      <c r="B309" s="0" t="n">
        <v>5</v>
      </c>
      <c r="C309" s="0" t="n">
        <v>5</v>
      </c>
      <c r="D309" s="0" t="n">
        <v>3441639</v>
      </c>
    </row>
    <row r="310" customFormat="false" ht="15" hidden="false" customHeight="false" outlineLevel="0" collapsed="false">
      <c r="A310" s="0" t="n">
        <v>2025</v>
      </c>
      <c r="B310" s="0" t="n">
        <v>5</v>
      </c>
      <c r="C310" s="0" t="n">
        <v>4</v>
      </c>
      <c r="D310" s="0" t="n">
        <v>2507622</v>
      </c>
    </row>
    <row r="311" customFormat="false" ht="15" hidden="false" customHeight="false" outlineLevel="0" collapsed="false">
      <c r="A311" s="0" t="n">
        <v>2025</v>
      </c>
      <c r="B311" s="0" t="n">
        <v>5</v>
      </c>
      <c r="C311" s="0" t="n">
        <v>3</v>
      </c>
      <c r="D311" s="0" t="n">
        <v>1598699</v>
      </c>
    </row>
    <row r="312" customFormat="false" ht="15" hidden="false" customHeight="false" outlineLevel="0" collapsed="false">
      <c r="A312" s="0" t="n">
        <v>2025</v>
      </c>
      <c r="B312" s="0" t="n">
        <v>5</v>
      </c>
      <c r="C312" s="0" t="n">
        <v>2</v>
      </c>
      <c r="D312" s="0" t="n">
        <v>2128508</v>
      </c>
    </row>
    <row r="313" customFormat="false" ht="15" hidden="false" customHeight="false" outlineLevel="0" collapsed="false">
      <c r="A313" s="0" t="n">
        <v>2025</v>
      </c>
      <c r="B313" s="0" t="n">
        <v>5</v>
      </c>
      <c r="C313" s="0" t="n">
        <v>1</v>
      </c>
      <c r="D313" s="0" t="n">
        <v>3446841</v>
      </c>
    </row>
    <row r="314" customFormat="false" ht="15" hidden="false" customHeight="false" outlineLevel="0" collapsed="false">
      <c r="A314" s="0" t="n">
        <v>2025</v>
      </c>
      <c r="B314" s="0" t="n">
        <v>5</v>
      </c>
      <c r="C314" s="0" t="s">
        <v>4</v>
      </c>
      <c r="D314" s="0" t="n">
        <v>85155819</v>
      </c>
    </row>
    <row r="315" customFormat="false" ht="15" hidden="false" customHeight="false" outlineLevel="0" collapsed="false">
      <c r="A315" s="0" t="n">
        <v>2025</v>
      </c>
      <c r="B315" s="0" t="n">
        <v>4</v>
      </c>
      <c r="C315" s="0" t="n">
        <v>30</v>
      </c>
      <c r="D315" s="0" t="n">
        <v>3503776</v>
      </c>
    </row>
    <row r="316" customFormat="false" ht="15" hidden="false" customHeight="false" outlineLevel="0" collapsed="false">
      <c r="A316" s="0" t="n">
        <v>2025</v>
      </c>
      <c r="B316" s="0" t="n">
        <v>4</v>
      </c>
      <c r="C316" s="0" t="n">
        <v>29</v>
      </c>
      <c r="D316" s="0" t="n">
        <v>3390360</v>
      </c>
    </row>
    <row r="317" customFormat="false" ht="15" hidden="false" customHeight="false" outlineLevel="0" collapsed="false">
      <c r="A317" s="0" t="n">
        <v>2025</v>
      </c>
      <c r="B317" s="0" t="n">
        <v>4</v>
      </c>
      <c r="C317" s="0" t="n">
        <v>28</v>
      </c>
      <c r="D317" s="0" t="n">
        <v>3138942</v>
      </c>
    </row>
    <row r="318" customFormat="false" ht="15" hidden="false" customHeight="false" outlineLevel="0" collapsed="false">
      <c r="A318" s="0" t="n">
        <v>2025</v>
      </c>
      <c r="B318" s="0" t="n">
        <v>4</v>
      </c>
      <c r="C318" s="0" t="n">
        <v>27</v>
      </c>
      <c r="D318" s="0" t="n">
        <v>2265815</v>
      </c>
    </row>
    <row r="319" customFormat="false" ht="15" hidden="false" customHeight="false" outlineLevel="0" collapsed="false">
      <c r="A319" s="0" t="n">
        <v>2025</v>
      </c>
      <c r="B319" s="0" t="n">
        <v>4</v>
      </c>
      <c r="C319" s="0" t="n">
        <v>26</v>
      </c>
      <c r="D319" s="0" t="n">
        <v>1519935</v>
      </c>
    </row>
    <row r="320" customFormat="false" ht="15" hidden="false" customHeight="false" outlineLevel="0" collapsed="false">
      <c r="A320" s="0" t="n">
        <v>2025</v>
      </c>
      <c r="B320" s="0" t="n">
        <v>4</v>
      </c>
      <c r="C320" s="0" t="n">
        <v>25</v>
      </c>
      <c r="D320" s="0" t="n">
        <v>2197313</v>
      </c>
    </row>
    <row r="321" customFormat="false" ht="15" hidden="false" customHeight="false" outlineLevel="0" collapsed="false">
      <c r="A321" s="0" t="n">
        <v>2025</v>
      </c>
      <c r="B321" s="0" t="n">
        <v>4</v>
      </c>
      <c r="C321" s="0" t="n">
        <v>24</v>
      </c>
      <c r="D321" s="0" t="n">
        <v>3077372</v>
      </c>
    </row>
    <row r="322" customFormat="false" ht="15" hidden="false" customHeight="false" outlineLevel="0" collapsed="false">
      <c r="A322" s="0" t="n">
        <v>2025</v>
      </c>
      <c r="B322" s="0" t="n">
        <v>4</v>
      </c>
      <c r="C322" s="0" t="n">
        <v>23</v>
      </c>
      <c r="D322" s="0" t="n">
        <v>3142257</v>
      </c>
    </row>
    <row r="323" customFormat="false" ht="15" hidden="false" customHeight="false" outlineLevel="0" collapsed="false">
      <c r="A323" s="0" t="n">
        <v>2025</v>
      </c>
      <c r="B323" s="0" t="n">
        <v>4</v>
      </c>
      <c r="C323" s="0" t="n">
        <v>22</v>
      </c>
      <c r="D323" s="0" t="n">
        <v>3204000</v>
      </c>
    </row>
    <row r="324" customFormat="false" ht="15" hidden="false" customHeight="false" outlineLevel="0" collapsed="false">
      <c r="A324" s="0" t="n">
        <v>2025</v>
      </c>
      <c r="B324" s="0" t="n">
        <v>4</v>
      </c>
      <c r="C324" s="0" t="n">
        <v>21</v>
      </c>
      <c r="D324" s="0" t="n">
        <v>3149195</v>
      </c>
    </row>
    <row r="325" customFormat="false" ht="15" hidden="false" customHeight="false" outlineLevel="0" collapsed="false">
      <c r="A325" s="0" t="n">
        <v>2025</v>
      </c>
      <c r="B325" s="0" t="n">
        <v>4</v>
      </c>
      <c r="C325" s="0" t="n">
        <v>20</v>
      </c>
      <c r="D325" s="0" t="n">
        <v>2275029</v>
      </c>
    </row>
    <row r="326" customFormat="false" ht="15" hidden="false" customHeight="false" outlineLevel="0" collapsed="false">
      <c r="A326" s="0" t="n">
        <v>2025</v>
      </c>
      <c r="B326" s="0" t="n">
        <v>4</v>
      </c>
      <c r="C326" s="0" t="n">
        <v>19</v>
      </c>
      <c r="D326" s="0" t="n">
        <v>1564552</v>
      </c>
    </row>
    <row r="327" customFormat="false" ht="15" hidden="false" customHeight="false" outlineLevel="0" collapsed="false">
      <c r="A327" s="0" t="n">
        <v>2025</v>
      </c>
      <c r="B327" s="0" t="n">
        <v>4</v>
      </c>
      <c r="C327" s="0" t="n">
        <v>18</v>
      </c>
      <c r="D327" s="0" t="n">
        <v>1937766</v>
      </c>
    </row>
    <row r="328" customFormat="false" ht="15" hidden="false" customHeight="false" outlineLevel="0" collapsed="false">
      <c r="A328" s="0" t="n">
        <v>2025</v>
      </c>
      <c r="B328" s="0" t="n">
        <v>4</v>
      </c>
      <c r="C328" s="0" t="n">
        <v>17</v>
      </c>
      <c r="D328" s="0" t="n">
        <v>3445833</v>
      </c>
    </row>
    <row r="329" customFormat="false" ht="15" hidden="false" customHeight="false" outlineLevel="0" collapsed="false">
      <c r="A329" s="0" t="n">
        <v>2025</v>
      </c>
      <c r="B329" s="0" t="n">
        <v>4</v>
      </c>
      <c r="C329" s="0" t="n">
        <v>16</v>
      </c>
      <c r="D329" s="0" t="n">
        <v>3269592</v>
      </c>
    </row>
    <row r="330" customFormat="false" ht="15" hidden="false" customHeight="false" outlineLevel="0" collapsed="false">
      <c r="A330" s="0" t="n">
        <v>2025</v>
      </c>
      <c r="B330" s="0" t="n">
        <v>4</v>
      </c>
      <c r="C330" s="0" t="n">
        <v>15</v>
      </c>
      <c r="D330" s="0" t="n">
        <v>3329167</v>
      </c>
    </row>
    <row r="331" customFormat="false" ht="15" hidden="false" customHeight="false" outlineLevel="0" collapsed="false">
      <c r="A331" s="0" t="n">
        <v>2025</v>
      </c>
      <c r="B331" s="0" t="n">
        <v>4</v>
      </c>
      <c r="C331" s="0" t="n">
        <v>14</v>
      </c>
      <c r="D331" s="0" t="n">
        <v>3330272</v>
      </c>
    </row>
    <row r="332" customFormat="false" ht="15" hidden="false" customHeight="false" outlineLevel="0" collapsed="false">
      <c r="A332" s="0" t="n">
        <v>2025</v>
      </c>
      <c r="B332" s="0" t="n">
        <v>4</v>
      </c>
      <c r="C332" s="0" t="n">
        <v>13</v>
      </c>
      <c r="D332" s="0" t="n">
        <v>2450056</v>
      </c>
    </row>
    <row r="333" customFormat="false" ht="15" hidden="false" customHeight="false" outlineLevel="0" collapsed="false">
      <c r="A333" s="0" t="n">
        <v>2025</v>
      </c>
      <c r="B333" s="0" t="n">
        <v>4</v>
      </c>
      <c r="C333" s="0" t="n">
        <v>12</v>
      </c>
      <c r="D333" s="0" t="n">
        <v>1346092</v>
      </c>
    </row>
    <row r="334" customFormat="false" ht="15" hidden="false" customHeight="false" outlineLevel="0" collapsed="false">
      <c r="A334" s="0" t="n">
        <v>2025</v>
      </c>
      <c r="B334" s="0" t="n">
        <v>4</v>
      </c>
      <c r="C334" s="0" t="n">
        <v>11</v>
      </c>
      <c r="D334" s="0" t="n">
        <v>1988045</v>
      </c>
    </row>
    <row r="335" customFormat="false" ht="15" hidden="false" customHeight="false" outlineLevel="0" collapsed="false">
      <c r="A335" s="0" t="n">
        <v>2025</v>
      </c>
      <c r="B335" s="0" t="n">
        <v>4</v>
      </c>
      <c r="C335" s="0" t="n">
        <v>10</v>
      </c>
      <c r="D335" s="0" t="n">
        <v>3041083</v>
      </c>
    </row>
    <row r="336" customFormat="false" ht="15" hidden="false" customHeight="false" outlineLevel="0" collapsed="false">
      <c r="A336" s="0" t="n">
        <v>2025</v>
      </c>
      <c r="B336" s="0" t="n">
        <v>4</v>
      </c>
      <c r="C336" s="0" t="n">
        <v>9</v>
      </c>
      <c r="D336" s="0" t="n">
        <v>3073009</v>
      </c>
    </row>
    <row r="337" customFormat="false" ht="15" hidden="false" customHeight="false" outlineLevel="0" collapsed="false">
      <c r="A337" s="0" t="n">
        <v>2025</v>
      </c>
      <c r="B337" s="0" t="n">
        <v>4</v>
      </c>
      <c r="C337" s="0" t="n">
        <v>8</v>
      </c>
      <c r="D337" s="0" t="n">
        <v>3349875</v>
      </c>
    </row>
    <row r="338" customFormat="false" ht="15" hidden="false" customHeight="false" outlineLevel="0" collapsed="false">
      <c r="A338" s="0" t="n">
        <v>2025</v>
      </c>
      <c r="B338" s="0" t="n">
        <v>4</v>
      </c>
      <c r="C338" s="0" t="n">
        <v>7</v>
      </c>
      <c r="D338" s="0" t="n">
        <v>3272218</v>
      </c>
    </row>
    <row r="339" customFormat="false" ht="15" hidden="false" customHeight="false" outlineLevel="0" collapsed="false">
      <c r="A339" s="0" t="n">
        <v>2025</v>
      </c>
      <c r="B339" s="0" t="n">
        <v>4</v>
      </c>
      <c r="C339" s="0" t="n">
        <v>6</v>
      </c>
      <c r="D339" s="0" t="n">
        <v>2398328</v>
      </c>
    </row>
    <row r="340" customFormat="false" ht="15" hidden="false" customHeight="false" outlineLevel="0" collapsed="false">
      <c r="A340" s="0" t="n">
        <v>2025</v>
      </c>
      <c r="B340" s="0" t="n">
        <v>4</v>
      </c>
      <c r="C340" s="0" t="n">
        <v>5</v>
      </c>
      <c r="D340" s="0" t="n">
        <v>1438644</v>
      </c>
    </row>
    <row r="341" customFormat="false" ht="15" hidden="false" customHeight="false" outlineLevel="0" collapsed="false">
      <c r="A341" s="0" t="n">
        <v>2025</v>
      </c>
      <c r="B341" s="0" t="n">
        <v>4</v>
      </c>
      <c r="C341" s="0" t="n">
        <v>4</v>
      </c>
      <c r="D341" s="0" t="n">
        <v>2019818</v>
      </c>
    </row>
    <row r="342" customFormat="false" ht="15" hidden="false" customHeight="false" outlineLevel="0" collapsed="false">
      <c r="A342" s="0" t="n">
        <v>2025</v>
      </c>
      <c r="B342" s="0" t="n">
        <v>4</v>
      </c>
      <c r="C342" s="0" t="n">
        <v>3</v>
      </c>
      <c r="D342" s="0" t="n">
        <v>3045916</v>
      </c>
    </row>
    <row r="343" customFormat="false" ht="15" hidden="false" customHeight="false" outlineLevel="0" collapsed="false">
      <c r="A343" s="0" t="n">
        <v>2025</v>
      </c>
      <c r="B343" s="0" t="n">
        <v>4</v>
      </c>
      <c r="C343" s="0" t="n">
        <v>2</v>
      </c>
      <c r="D343" s="0" t="n">
        <v>3089688</v>
      </c>
    </row>
    <row r="344" customFormat="false" ht="15" hidden="false" customHeight="false" outlineLevel="0" collapsed="false">
      <c r="A344" s="0" t="n">
        <v>2025</v>
      </c>
      <c r="B344" s="0" t="n">
        <v>4</v>
      </c>
      <c r="C344" s="0" t="n">
        <v>1</v>
      </c>
      <c r="D344" s="0" t="n">
        <v>3216682</v>
      </c>
    </row>
    <row r="345" customFormat="false" ht="15" hidden="false" customHeight="false" outlineLevel="0" collapsed="false">
      <c r="A345" s="0" t="n">
        <v>2025</v>
      </c>
      <c r="B345" s="0" t="n">
        <v>4</v>
      </c>
      <c r="C345" s="0" t="s">
        <v>4</v>
      </c>
      <c r="D345" s="0" t="n">
        <v>81470630</v>
      </c>
    </row>
    <row r="346" customFormat="false" ht="15" hidden="false" customHeight="false" outlineLevel="0" collapsed="false">
      <c r="A346" s="0" t="n">
        <v>2025</v>
      </c>
      <c r="B346" s="0" t="n">
        <v>3</v>
      </c>
      <c r="C346" s="0" t="n">
        <v>31</v>
      </c>
      <c r="D346" s="0" t="n">
        <v>3141408</v>
      </c>
    </row>
    <row r="347" customFormat="false" ht="15" hidden="false" customHeight="false" outlineLevel="0" collapsed="false">
      <c r="A347" s="0" t="n">
        <v>2025</v>
      </c>
      <c r="B347" s="0" t="n">
        <v>3</v>
      </c>
      <c r="C347" s="0" t="n">
        <v>30</v>
      </c>
      <c r="D347" s="0" t="n">
        <v>2178796</v>
      </c>
    </row>
    <row r="348" customFormat="false" ht="15" hidden="false" customHeight="false" outlineLevel="0" collapsed="false">
      <c r="A348" s="0" t="n">
        <v>2025</v>
      </c>
      <c r="B348" s="0" t="n">
        <v>3</v>
      </c>
      <c r="C348" s="0" t="n">
        <v>29</v>
      </c>
      <c r="D348" s="0" t="n">
        <v>1507461</v>
      </c>
    </row>
    <row r="349" customFormat="false" ht="15" hidden="false" customHeight="false" outlineLevel="0" collapsed="false">
      <c r="A349" s="0" t="n">
        <v>2025</v>
      </c>
      <c r="B349" s="0" t="n">
        <v>3</v>
      </c>
      <c r="C349" s="0" t="n">
        <v>28</v>
      </c>
      <c r="D349" s="0" t="n">
        <v>1962120</v>
      </c>
    </row>
    <row r="350" customFormat="false" ht="15" hidden="false" customHeight="false" outlineLevel="0" collapsed="false">
      <c r="A350" s="0" t="n">
        <v>2025</v>
      </c>
      <c r="B350" s="0" t="n">
        <v>3</v>
      </c>
      <c r="C350" s="0" t="n">
        <v>27</v>
      </c>
      <c r="D350" s="0" t="n">
        <v>2793137</v>
      </c>
    </row>
    <row r="351" customFormat="false" ht="15" hidden="false" customHeight="false" outlineLevel="0" collapsed="false">
      <c r="A351" s="0" t="n">
        <v>2025</v>
      </c>
      <c r="B351" s="0" t="n">
        <v>3</v>
      </c>
      <c r="C351" s="0" t="n">
        <v>26</v>
      </c>
      <c r="D351" s="0" t="n">
        <v>2914887</v>
      </c>
    </row>
    <row r="352" customFormat="false" ht="15" hidden="false" customHeight="false" outlineLevel="0" collapsed="false">
      <c r="A352" s="0" t="n">
        <v>2025</v>
      </c>
      <c r="B352" s="0" t="n">
        <v>3</v>
      </c>
      <c r="C352" s="0" t="n">
        <v>25</v>
      </c>
      <c r="D352" s="0" t="n">
        <v>3234662</v>
      </c>
    </row>
    <row r="353" customFormat="false" ht="15" hidden="false" customHeight="false" outlineLevel="0" collapsed="false">
      <c r="A353" s="0" t="n">
        <v>2025</v>
      </c>
      <c r="B353" s="0" t="n">
        <v>3</v>
      </c>
      <c r="C353" s="0" t="n">
        <v>24</v>
      </c>
      <c r="D353" s="0" t="n">
        <v>3261638</v>
      </c>
    </row>
    <row r="354" customFormat="false" ht="15" hidden="false" customHeight="false" outlineLevel="0" collapsed="false">
      <c r="A354" s="0" t="n">
        <v>2025</v>
      </c>
      <c r="B354" s="0" t="n">
        <v>3</v>
      </c>
      <c r="C354" s="0" t="n">
        <v>23</v>
      </c>
      <c r="D354" s="0" t="n">
        <v>1951130</v>
      </c>
    </row>
    <row r="355" customFormat="false" ht="15" hidden="false" customHeight="false" outlineLevel="0" collapsed="false">
      <c r="A355" s="0" t="n">
        <v>2025</v>
      </c>
      <c r="B355" s="0" t="n">
        <v>3</v>
      </c>
      <c r="C355" s="0" t="n">
        <v>22</v>
      </c>
      <c r="D355" s="0" t="n">
        <v>1507476</v>
      </c>
    </row>
    <row r="356" customFormat="false" ht="15" hidden="false" customHeight="false" outlineLevel="0" collapsed="false">
      <c r="A356" s="0" t="n">
        <v>2025</v>
      </c>
      <c r="B356" s="0" t="n">
        <v>3</v>
      </c>
      <c r="C356" s="0" t="n">
        <v>21</v>
      </c>
      <c r="D356" s="0" t="n">
        <v>2039354</v>
      </c>
    </row>
    <row r="357" customFormat="false" ht="15" hidden="false" customHeight="false" outlineLevel="0" collapsed="false">
      <c r="A357" s="0" t="n">
        <v>2025</v>
      </c>
      <c r="B357" s="0" t="n">
        <v>3</v>
      </c>
      <c r="C357" s="0" t="n">
        <v>20</v>
      </c>
      <c r="D357" s="0" t="n">
        <v>2950559</v>
      </c>
    </row>
    <row r="358" customFormat="false" ht="15" hidden="false" customHeight="false" outlineLevel="0" collapsed="false">
      <c r="A358" s="0" t="n">
        <v>2025</v>
      </c>
      <c r="B358" s="0" t="n">
        <v>3</v>
      </c>
      <c r="C358" s="0" t="n">
        <v>19</v>
      </c>
      <c r="D358" s="0" t="n">
        <v>3030522</v>
      </c>
    </row>
    <row r="359" customFormat="false" ht="15" hidden="false" customHeight="false" outlineLevel="0" collapsed="false">
      <c r="A359" s="0" t="n">
        <v>2025</v>
      </c>
      <c r="B359" s="0" t="n">
        <v>3</v>
      </c>
      <c r="C359" s="0" t="n">
        <v>18</v>
      </c>
      <c r="D359" s="0" t="n">
        <v>3260363</v>
      </c>
    </row>
    <row r="360" customFormat="false" ht="15" hidden="false" customHeight="false" outlineLevel="0" collapsed="false">
      <c r="A360" s="0" t="n">
        <v>2025</v>
      </c>
      <c r="B360" s="0" t="n">
        <v>3</v>
      </c>
      <c r="C360" s="0" t="n">
        <v>17</v>
      </c>
      <c r="D360" s="0" t="n">
        <v>3226337</v>
      </c>
    </row>
    <row r="361" customFormat="false" ht="15" hidden="false" customHeight="false" outlineLevel="0" collapsed="false">
      <c r="A361" s="0" t="n">
        <v>2025</v>
      </c>
      <c r="B361" s="0" t="n">
        <v>3</v>
      </c>
      <c r="C361" s="0" t="n">
        <v>16</v>
      </c>
      <c r="D361" s="0" t="n">
        <v>2370945</v>
      </c>
    </row>
    <row r="362" customFormat="false" ht="15" hidden="false" customHeight="false" outlineLevel="0" collapsed="false">
      <c r="A362" s="0" t="n">
        <v>2025</v>
      </c>
      <c r="B362" s="0" t="n">
        <v>3</v>
      </c>
      <c r="C362" s="0" t="n">
        <v>15</v>
      </c>
      <c r="D362" s="0" t="n">
        <v>1508307</v>
      </c>
    </row>
    <row r="363" customFormat="false" ht="15" hidden="false" customHeight="false" outlineLevel="0" collapsed="false">
      <c r="A363" s="0" t="n">
        <v>2025</v>
      </c>
      <c r="B363" s="0" t="n">
        <v>3</v>
      </c>
      <c r="C363" s="0" t="n">
        <v>14</v>
      </c>
      <c r="D363" s="0" t="n">
        <v>1785178</v>
      </c>
    </row>
    <row r="364" customFormat="false" ht="15" hidden="false" customHeight="false" outlineLevel="0" collapsed="false">
      <c r="A364" s="0" t="n">
        <v>2025</v>
      </c>
      <c r="B364" s="0" t="n">
        <v>3</v>
      </c>
      <c r="C364" s="0" t="n">
        <v>13</v>
      </c>
      <c r="D364" s="0" t="n">
        <v>2943392</v>
      </c>
    </row>
    <row r="365" customFormat="false" ht="15" hidden="false" customHeight="false" outlineLevel="0" collapsed="false">
      <c r="A365" s="0" t="n">
        <v>2025</v>
      </c>
      <c r="B365" s="0" t="n">
        <v>3</v>
      </c>
      <c r="C365" s="0" t="n">
        <v>12</v>
      </c>
      <c r="D365" s="0" t="n">
        <v>3068046</v>
      </c>
    </row>
    <row r="366" customFormat="false" ht="15" hidden="false" customHeight="false" outlineLevel="0" collapsed="false">
      <c r="A366" s="0" t="n">
        <v>2025</v>
      </c>
      <c r="B366" s="0" t="n">
        <v>3</v>
      </c>
      <c r="C366" s="0" t="n">
        <v>11</v>
      </c>
      <c r="D366" s="0" t="n">
        <v>3260796</v>
      </c>
    </row>
    <row r="367" customFormat="false" ht="15" hidden="false" customHeight="false" outlineLevel="0" collapsed="false">
      <c r="A367" s="0" t="n">
        <v>2025</v>
      </c>
      <c r="B367" s="0" t="n">
        <v>3</v>
      </c>
      <c r="C367" s="0" t="n">
        <v>10</v>
      </c>
      <c r="D367" s="0" t="n">
        <v>3213051</v>
      </c>
    </row>
    <row r="368" customFormat="false" ht="15" hidden="false" customHeight="false" outlineLevel="0" collapsed="false">
      <c r="A368" s="0" t="n">
        <v>2025</v>
      </c>
      <c r="B368" s="0" t="n">
        <v>3</v>
      </c>
      <c r="C368" s="0" t="n">
        <v>9</v>
      </c>
      <c r="D368" s="0" t="n">
        <v>2486755</v>
      </c>
    </row>
    <row r="369" customFormat="false" ht="15" hidden="false" customHeight="false" outlineLevel="0" collapsed="false">
      <c r="A369" s="0" t="n">
        <v>2025</v>
      </c>
      <c r="B369" s="0" t="n">
        <v>3</v>
      </c>
      <c r="C369" s="0" t="n">
        <v>8</v>
      </c>
      <c r="D369" s="0" t="n">
        <v>1457678</v>
      </c>
    </row>
    <row r="370" customFormat="false" ht="15" hidden="false" customHeight="false" outlineLevel="0" collapsed="false">
      <c r="A370" s="0" t="n">
        <v>2025</v>
      </c>
      <c r="B370" s="0" t="n">
        <v>3</v>
      </c>
      <c r="C370" s="0" t="n">
        <v>7</v>
      </c>
      <c r="D370" s="0" t="n">
        <v>2114616</v>
      </c>
    </row>
    <row r="371" customFormat="false" ht="15" hidden="false" customHeight="false" outlineLevel="0" collapsed="false">
      <c r="A371" s="0" t="n">
        <v>2025</v>
      </c>
      <c r="B371" s="0" t="n">
        <v>3</v>
      </c>
      <c r="C371" s="0" t="n">
        <v>6</v>
      </c>
      <c r="D371" s="0" t="n">
        <v>3033483</v>
      </c>
    </row>
    <row r="372" customFormat="false" ht="15" hidden="false" customHeight="false" outlineLevel="0" collapsed="false">
      <c r="A372" s="0" t="n">
        <v>2025</v>
      </c>
      <c r="B372" s="0" t="n">
        <v>3</v>
      </c>
      <c r="C372" s="0" t="n">
        <v>5</v>
      </c>
      <c r="D372" s="0" t="n">
        <v>3054050</v>
      </c>
    </row>
    <row r="373" customFormat="false" ht="15" hidden="false" customHeight="false" outlineLevel="0" collapsed="false">
      <c r="A373" s="0" t="n">
        <v>2025</v>
      </c>
      <c r="B373" s="0" t="n">
        <v>3</v>
      </c>
      <c r="C373" s="0" t="n">
        <v>4</v>
      </c>
      <c r="D373" s="0" t="n">
        <v>3236332</v>
      </c>
    </row>
    <row r="374" customFormat="false" ht="15" hidden="false" customHeight="false" outlineLevel="0" collapsed="false">
      <c r="A374" s="0" t="n">
        <v>2025</v>
      </c>
      <c r="B374" s="0" t="n">
        <v>3</v>
      </c>
      <c r="C374" s="0" t="n">
        <v>3</v>
      </c>
      <c r="D374" s="0" t="n">
        <v>3197873</v>
      </c>
    </row>
    <row r="375" customFormat="false" ht="15" hidden="false" customHeight="false" outlineLevel="0" collapsed="false">
      <c r="A375" s="0" t="n">
        <v>2025</v>
      </c>
      <c r="B375" s="0" t="n">
        <v>3</v>
      </c>
      <c r="C375" s="0" t="n">
        <v>2</v>
      </c>
      <c r="D375" s="0" t="n">
        <v>2352405</v>
      </c>
    </row>
    <row r="376" customFormat="false" ht="15" hidden="false" customHeight="false" outlineLevel="0" collapsed="false">
      <c r="A376" s="0" t="n">
        <v>2025</v>
      </c>
      <c r="B376" s="0" t="n">
        <v>3</v>
      </c>
      <c r="C376" s="0" t="n">
        <v>1</v>
      </c>
      <c r="D376" s="0" t="n">
        <v>1250591</v>
      </c>
    </row>
    <row r="377" customFormat="false" ht="15" hidden="false" customHeight="false" outlineLevel="0" collapsed="false">
      <c r="A377" s="0" t="n">
        <v>2025</v>
      </c>
      <c r="B377" s="0" t="n">
        <v>3</v>
      </c>
      <c r="C377" s="0" t="s">
        <v>4</v>
      </c>
      <c r="D377" s="0" t="n">
        <v>79293348</v>
      </c>
    </row>
    <row r="378" customFormat="false" ht="15" hidden="false" customHeight="false" outlineLevel="0" collapsed="false">
      <c r="A378" s="0" t="n">
        <v>2025</v>
      </c>
      <c r="B378" s="0" t="n">
        <v>2</v>
      </c>
      <c r="C378" s="0" t="n">
        <v>28</v>
      </c>
      <c r="D378" s="0" t="n">
        <v>1996673</v>
      </c>
    </row>
    <row r="379" customFormat="false" ht="15" hidden="false" customHeight="false" outlineLevel="0" collapsed="false">
      <c r="A379" s="0" t="n">
        <v>2025</v>
      </c>
      <c r="B379" s="0" t="n">
        <v>2</v>
      </c>
      <c r="C379" s="0" t="n">
        <v>27</v>
      </c>
      <c r="D379" s="0" t="n">
        <v>2937615</v>
      </c>
    </row>
    <row r="380" customFormat="false" ht="15" hidden="false" customHeight="false" outlineLevel="0" collapsed="false">
      <c r="A380" s="0" t="n">
        <v>2025</v>
      </c>
      <c r="B380" s="0" t="n">
        <v>2</v>
      </c>
      <c r="C380" s="0" t="n">
        <v>26</v>
      </c>
      <c r="D380" s="0" t="n">
        <v>2907530</v>
      </c>
    </row>
    <row r="381" customFormat="false" ht="15" hidden="false" customHeight="false" outlineLevel="0" collapsed="false">
      <c r="A381" s="0" t="n">
        <v>2025</v>
      </c>
      <c r="B381" s="0" t="n">
        <v>2</v>
      </c>
      <c r="C381" s="0" t="s">
        <v>4</v>
      </c>
      <c r="D381" s="0" t="n">
        <v>7841818</v>
      </c>
    </row>
    <row r="382" customFormat="false" ht="15" hidden="false" customHeight="false" outlineLevel="0" collapsed="false">
      <c r="A382" s="0" t="n">
        <v>2025</v>
      </c>
      <c r="B382" s="0" t="s">
        <v>4</v>
      </c>
      <c r="C382" s="0" t="s">
        <v>4</v>
      </c>
      <c r="D382" s="0" t="n">
        <v>901244090</v>
      </c>
    </row>
    <row r="383" customFormat="false" ht="15" hidden="false" customHeight="false" outlineLevel="0" collapsed="false">
      <c r="A383" s="0" t="s">
        <v>4</v>
      </c>
      <c r="B383" s="0" t="s">
        <v>4</v>
      </c>
      <c r="C383" s="0" t="s">
        <v>4</v>
      </c>
      <c r="D383" s="0" t="n">
        <v>1126210190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18" activeCellId="0" sqref="L18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18" hidden="false" customHeight="tru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.75" hidden="false" customHeight="true" outlineLevel="0" collapsed="fals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customFormat="false" ht="15.75" hidden="false" customHeight="true" outlineLevel="0" collapsed="false">
      <c r="A4" s="3" t="s">
        <v>13</v>
      </c>
      <c r="B4" s="4" t="n">
        <v>7841818</v>
      </c>
      <c r="C4" s="4" t="n">
        <v>3</v>
      </c>
      <c r="D4" s="4" t="n">
        <f aca="false">IF(C4&gt;0,B4/C4,"")</f>
        <v>2613939.33333333</v>
      </c>
      <c r="E4" s="5"/>
      <c r="F4" s="4" t="n">
        <f aca="false">B4</f>
        <v>7841818</v>
      </c>
      <c r="G4" s="6" t="n">
        <v>510</v>
      </c>
    </row>
    <row r="5" customFormat="false" ht="15.75" hidden="false" customHeight="true" outlineLevel="0" collapsed="false">
      <c r="A5" s="3" t="s">
        <v>14</v>
      </c>
      <c r="B5" s="4" t="n">
        <v>79293348</v>
      </c>
      <c r="C5" s="4" t="n">
        <v>31</v>
      </c>
      <c r="D5" s="4" t="n">
        <f aca="false">IF(C5&gt;0,B5/C5,"")</f>
        <v>2557849.93548387</v>
      </c>
      <c r="E5" s="5" t="n">
        <f aca="false">IF(B4&gt;0,(B5-B4)/B4,"")</f>
        <v>9.11160269213083</v>
      </c>
      <c r="F5" s="4" t="n">
        <f aca="false">F4+B5</f>
        <v>87135166</v>
      </c>
      <c r="G5" s="6" t="n">
        <v>510</v>
      </c>
    </row>
    <row r="6" customFormat="false" ht="15.75" hidden="false" customHeight="true" outlineLevel="0" collapsed="false">
      <c r="A6" s="3" t="s">
        <v>15</v>
      </c>
      <c r="B6" s="4" t="n">
        <v>81470630</v>
      </c>
      <c r="C6" s="4" t="n">
        <v>30</v>
      </c>
      <c r="D6" s="4" t="n">
        <f aca="false">IF(C6&gt;0,B6/C6,"")</f>
        <v>2715687.66666667</v>
      </c>
      <c r="E6" s="5" t="n">
        <f aca="false">IF(B5&gt;0,(B6-B5)/B5,"")</f>
        <v>0.027458570673545</v>
      </c>
      <c r="F6" s="4" t="n">
        <f aca="false">F5+B6</f>
        <v>168605796</v>
      </c>
      <c r="G6" s="6" t="n">
        <v>510</v>
      </c>
    </row>
    <row r="7" customFormat="false" ht="15.75" hidden="false" customHeight="true" outlineLevel="0" collapsed="false">
      <c r="A7" s="3" t="s">
        <v>16</v>
      </c>
      <c r="B7" s="4" t="n">
        <v>85155819</v>
      </c>
      <c r="C7" s="4" t="n">
        <v>31</v>
      </c>
      <c r="D7" s="4" t="n">
        <f aca="false">IF(C7&gt;0,B7/C7,"")</f>
        <v>2746961.90322581</v>
      </c>
      <c r="E7" s="5" t="n">
        <f aca="false">IF(B6&gt;0,(B7-B6)/B6,"")</f>
        <v>0.0452333435987914</v>
      </c>
      <c r="F7" s="4" t="n">
        <f aca="false">F6+B7</f>
        <v>253761615</v>
      </c>
      <c r="G7" s="6" t="n">
        <v>510</v>
      </c>
    </row>
    <row r="8" customFormat="false" ht="15.75" hidden="false" customHeight="true" outlineLevel="0" collapsed="false">
      <c r="A8" s="3" t="s">
        <v>17</v>
      </c>
      <c r="B8" s="4" t="n">
        <v>81037117</v>
      </c>
      <c r="C8" s="4" t="n">
        <v>30</v>
      </c>
      <c r="D8" s="4" t="n">
        <f aca="false">IF(C8&gt;0,B8/C8,"")</f>
        <v>2701237.23333333</v>
      </c>
      <c r="E8" s="5" t="n">
        <f aca="false">IF(B7&gt;0,(B8-B7)/B7,"")</f>
        <v>-0.048366653604729</v>
      </c>
      <c r="F8" s="4" t="n">
        <f aca="false">F7+B8</f>
        <v>334798732</v>
      </c>
      <c r="G8" s="6" t="n">
        <v>510</v>
      </c>
    </row>
    <row r="9" customFormat="false" ht="15.75" hidden="false" customHeight="true" outlineLevel="0" collapsed="false">
      <c r="A9" s="3" t="s">
        <v>18</v>
      </c>
      <c r="B9" s="4" t="n">
        <v>81914502</v>
      </c>
      <c r="C9" s="4" t="n">
        <v>31</v>
      </c>
      <c r="D9" s="4" t="n">
        <f aca="false">IF(C9&gt;0,B9/C9,"")</f>
        <v>2642403.29032258</v>
      </c>
      <c r="E9" s="5" t="n">
        <f aca="false">IF(B8&gt;0,(B9-B8)/B8,"")</f>
        <v>0.0108269522964397</v>
      </c>
      <c r="F9" s="4" t="n">
        <f aca="false">F8+B9</f>
        <v>416713234</v>
      </c>
      <c r="G9" s="6" t="n">
        <v>510</v>
      </c>
    </row>
    <row r="10" customFormat="false" ht="15.75" hidden="false" customHeight="true" outlineLevel="0" collapsed="false">
      <c r="A10" s="3" t="s">
        <v>19</v>
      </c>
      <c r="B10" s="4" t="n">
        <v>81824777</v>
      </c>
      <c r="C10" s="4" t="n">
        <v>31</v>
      </c>
      <c r="D10" s="4" t="n">
        <f aca="false">IF(C10&gt;0,B10/C10,"")</f>
        <v>2639508.93548387</v>
      </c>
      <c r="E10" s="5" t="n">
        <f aca="false">IF(B9&gt;0,(B10-B9)/B9,"")</f>
        <v>-0.00109534939246777</v>
      </c>
      <c r="F10" s="4" t="n">
        <f aca="false">F9+B10</f>
        <v>498538011</v>
      </c>
      <c r="G10" s="6" t="n">
        <v>510</v>
      </c>
    </row>
    <row r="11" customFormat="false" ht="15.75" hidden="false" customHeight="true" outlineLevel="0" collapsed="false">
      <c r="A11" s="3" t="s">
        <v>20</v>
      </c>
      <c r="B11" s="4" t="n">
        <v>82688899</v>
      </c>
      <c r="C11" s="4" t="n">
        <v>30</v>
      </c>
      <c r="D11" s="4" t="n">
        <f aca="false">IF(C11&gt;0,B11/C11,"")</f>
        <v>2756296.63333333</v>
      </c>
      <c r="E11" s="5" t="n">
        <f aca="false">IF(B10&gt;0,(B11-B10)/B10,"")</f>
        <v>0.0105606398414016</v>
      </c>
      <c r="F11" s="4" t="n">
        <f aca="false">F10+B11</f>
        <v>581226910</v>
      </c>
      <c r="G11" s="6" t="n">
        <v>510</v>
      </c>
    </row>
    <row r="12" customFormat="false" ht="15.75" hidden="false" customHeight="true" outlineLevel="0" collapsed="false">
      <c r="A12" s="3" t="s">
        <v>21</v>
      </c>
      <c r="B12" s="4" t="n">
        <v>93860361</v>
      </c>
      <c r="C12" s="4" t="n">
        <v>31</v>
      </c>
      <c r="D12" s="4" t="n">
        <f aca="false">IF(C12&gt;0,B12/C12,"")</f>
        <v>3027753.58064516</v>
      </c>
      <c r="E12" s="5" t="n">
        <f aca="false">IF(B11&gt;0,(B12-B11)/B11,"")</f>
        <v>0.135102318873541</v>
      </c>
      <c r="F12" s="4" t="n">
        <f aca="false">F11+B12</f>
        <v>675087271</v>
      </c>
      <c r="G12" s="6" t="n">
        <v>510</v>
      </c>
    </row>
    <row r="13" customFormat="false" ht="15.75" hidden="false" customHeight="true" outlineLevel="0" collapsed="false">
      <c r="A13" s="3" t="s">
        <v>22</v>
      </c>
      <c r="B13" s="4" t="n">
        <v>109950579</v>
      </c>
      <c r="C13" s="4" t="n">
        <v>30</v>
      </c>
      <c r="D13" s="4" t="n">
        <f aca="false">IF(C13&gt;0,B13/C13,"")</f>
        <v>3665019.3</v>
      </c>
      <c r="E13" s="5" t="n">
        <f aca="false">IF(B12&gt;0,(B13-B12)/B12,"")</f>
        <v>0.171427190653997</v>
      </c>
      <c r="F13" s="4" t="n">
        <f aca="false">F12+B13</f>
        <v>785037850</v>
      </c>
      <c r="G13" s="6" t="n">
        <v>510</v>
      </c>
    </row>
    <row r="14" customFormat="false" ht="15.75" hidden="false" customHeight="true" outlineLevel="0" collapsed="false">
      <c r="A14" s="3" t="s">
        <v>23</v>
      </c>
      <c r="B14" s="4" t="n">
        <v>116206240</v>
      </c>
      <c r="C14" s="4" t="n">
        <v>31</v>
      </c>
      <c r="D14" s="4" t="n">
        <f aca="false">IF(C14&gt;0,B14/C14,"")</f>
        <v>3748588.38709677</v>
      </c>
      <c r="E14" s="5" t="n">
        <f aca="false">IF(B13&gt;0,(B14-B13)/B13,"")</f>
        <v>0.0568952074367885</v>
      </c>
      <c r="F14" s="4" t="n">
        <f aca="false">F13+B14</f>
        <v>901244090</v>
      </c>
      <c r="G14" s="6" t="n">
        <v>510</v>
      </c>
    </row>
    <row r="15" customFormat="false" ht="15.75" hidden="false" customHeight="true" outlineLevel="0" collapsed="false">
      <c r="A15" s="3" t="s">
        <v>24</v>
      </c>
      <c r="B15" s="4" t="n">
        <v>122846116</v>
      </c>
      <c r="C15" s="4" t="n">
        <v>31</v>
      </c>
      <c r="D15" s="4" t="n">
        <f aca="false">IF(C15&gt;0,B15/C15,"")</f>
        <v>3962777.93548387</v>
      </c>
      <c r="E15" s="5" t="n">
        <f aca="false">IF(B14&gt;0,(B15-B14)/B14,"")</f>
        <v>0.0571387216383561</v>
      </c>
      <c r="F15" s="4" t="n">
        <f aca="false">F14+B15</f>
        <v>1024090206</v>
      </c>
      <c r="G15" s="6" t="n">
        <v>510</v>
      </c>
    </row>
    <row r="16" customFormat="false" ht="15.75" hidden="false" customHeight="true" outlineLevel="0" collapsed="false">
      <c r="A16" s="3" t="s">
        <v>25</v>
      </c>
      <c r="B16" s="4" t="n">
        <v>102119984</v>
      </c>
      <c r="C16" s="4" t="n">
        <v>26</v>
      </c>
      <c r="D16" s="4" t="n">
        <f aca="false">IF(C16&gt;0,B16/C16,"")</f>
        <v>3927691.69230769</v>
      </c>
      <c r="E16" s="5" t="n">
        <f aca="false">IF(B15&gt;0,(B16-B15)/B15,"")</f>
        <v>-0.168716217287651</v>
      </c>
      <c r="F16" s="4" t="n">
        <f aca="false">F15+B16</f>
        <v>1126210190</v>
      </c>
      <c r="G16" s="6" t="n">
        <v>510</v>
      </c>
    </row>
    <row r="18" customFormat="false" ht="15.75" hidden="false" customHeight="true" outlineLevel="0" collapsed="false">
      <c r="A18" s="7" t="s">
        <v>26</v>
      </c>
    </row>
    <row r="19" customFormat="false" ht="15.75" hidden="false" customHeight="true" outlineLevel="0" collapsed="false">
      <c r="A19" s="8" t="s">
        <v>27</v>
      </c>
      <c r="B19" s="4" t="n">
        <f aca="false">SUM(B4:B16)</f>
        <v>1126210190</v>
      </c>
    </row>
    <row r="20" customFormat="false" ht="15.75" hidden="false" customHeight="true" outlineLevel="0" collapsed="false">
      <c r="A20" s="8" t="s">
        <v>28</v>
      </c>
      <c r="B20" s="4" t="n">
        <f aca="false">AVERAGE(D4:D16)</f>
        <v>3054285.83282433</v>
      </c>
    </row>
    <row r="21" customFormat="false" ht="15.75" hidden="false" customHeight="true" outlineLevel="0" collapsed="false">
      <c r="A21" s="8" t="s">
        <v>29</v>
      </c>
      <c r="B21" s="5" t="n">
        <f aca="false">AVERAGE(E5:E16)</f>
        <v>0.78400561807157</v>
      </c>
    </row>
    <row r="22" customFormat="false" ht="15.75" hidden="false" customHeight="true" outlineLevel="0" collapsed="false">
      <c r="A22" s="8" t="s">
        <v>30</v>
      </c>
      <c r="B22" s="4" t="n">
        <f aca="false">MAX(B4:B16)</f>
        <v>122846116</v>
      </c>
    </row>
    <row r="23" customFormat="false" ht="15.75" hidden="false" customHeight="true" outlineLevel="0" collapsed="false">
      <c r="A23" s="8" t="s">
        <v>31</v>
      </c>
      <c r="B23" s="9" t="n">
        <f aca="false">F16*G4/1024/1024/1024</f>
        <v>534.921136591584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8" hidden="false" customHeight="true" outlineLevel="0" collapsed="false">
      <c r="A1" s="1" t="s">
        <v>32</v>
      </c>
      <c r="B1" s="1"/>
      <c r="C1" s="1"/>
      <c r="D1" s="1"/>
      <c r="E1" s="1"/>
      <c r="F1" s="1"/>
    </row>
    <row r="3" customFormat="false" ht="15.75" hidden="false" customHeight="true" outlineLevel="0" collapsed="false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H3" s="10" t="s">
        <v>39</v>
      </c>
      <c r="I3" s="10"/>
      <c r="J3" s="10"/>
    </row>
    <row r="4" customFormat="false" ht="15.75" hidden="false" customHeight="true" outlineLevel="0" collapsed="false">
      <c r="A4" s="11" t="n">
        <v>45714</v>
      </c>
      <c r="B4" s="2" t="s">
        <v>40</v>
      </c>
      <c r="C4" s="12" t="n">
        <v>2907530</v>
      </c>
      <c r="D4" s="12"/>
      <c r="E4" s="12"/>
      <c r="F4" s="2" t="s">
        <v>41</v>
      </c>
      <c r="G4" s="2"/>
      <c r="H4" s="2" t="s">
        <v>42</v>
      </c>
      <c r="I4" s="2" t="s">
        <v>43</v>
      </c>
      <c r="J4" s="2" t="s">
        <v>44</v>
      </c>
    </row>
    <row r="5" customFormat="false" ht="15.75" hidden="false" customHeight="true" outlineLevel="0" collapsed="false">
      <c r="A5" s="13" t="n">
        <v>45715</v>
      </c>
      <c r="B5" s="3" t="s">
        <v>45</v>
      </c>
      <c r="C5" s="4" t="n">
        <v>2937615</v>
      </c>
      <c r="D5" s="4"/>
      <c r="E5" s="4"/>
      <c r="F5" s="3" t="s">
        <v>41</v>
      </c>
      <c r="H5" s="3" t="s">
        <v>46</v>
      </c>
      <c r="I5" s="4" t="n">
        <f aca="false">AVERAGEIF(B$4:B$369,H5,C$4:C$369)</f>
        <v>3696162.86538462</v>
      </c>
      <c r="J5" s="5" t="n">
        <f aca="false">I5/MAX(I$6:I$12)</f>
        <v>0.958857294934076</v>
      </c>
    </row>
    <row r="6" customFormat="false" ht="15.75" hidden="false" customHeight="true" outlineLevel="0" collapsed="false">
      <c r="A6" s="13" t="n">
        <v>45716</v>
      </c>
      <c r="B6" s="3" t="s">
        <v>47</v>
      </c>
      <c r="C6" s="4" t="n">
        <v>1996673</v>
      </c>
      <c r="D6" s="4"/>
      <c r="E6" s="4"/>
      <c r="F6" s="3" t="s">
        <v>41</v>
      </c>
      <c r="H6" s="3" t="s">
        <v>48</v>
      </c>
      <c r="I6" s="4" t="n">
        <f aca="false">AVERAGEIF(B$4:B$369,H6,C$4:C$369)</f>
        <v>3854758.03846154</v>
      </c>
      <c r="J6" s="5" t="n">
        <f aca="false">I6/MAX(I$6:I$12)</f>
        <v>1</v>
      </c>
    </row>
    <row r="7" customFormat="false" ht="15.75" hidden="false" customHeight="true" outlineLevel="0" collapsed="false">
      <c r="A7" s="13" t="n">
        <v>45717</v>
      </c>
      <c r="B7" s="3" t="s">
        <v>49</v>
      </c>
      <c r="C7" s="4" t="n">
        <v>1250591</v>
      </c>
      <c r="D7" s="4"/>
      <c r="E7" s="4"/>
      <c r="F7" s="3" t="s">
        <v>50</v>
      </c>
      <c r="H7" s="3" t="s">
        <v>40</v>
      </c>
      <c r="I7" s="4" t="n">
        <f aca="false">AVERAGEIF(B$4:B$369,H7,C$4:C$369)</f>
        <v>3651214.30188679</v>
      </c>
      <c r="J7" s="5" t="n">
        <f aca="false">I7/MAX(I$6:I$12)</f>
        <v>0.947196754103928</v>
      </c>
    </row>
    <row r="8" customFormat="false" ht="15.75" hidden="false" customHeight="true" outlineLevel="0" collapsed="false">
      <c r="A8" s="13" t="n">
        <v>45718</v>
      </c>
      <c r="B8" s="3" t="s">
        <v>51</v>
      </c>
      <c r="C8" s="4" t="n">
        <v>2352405</v>
      </c>
      <c r="D8" s="4"/>
      <c r="E8" s="4"/>
      <c r="F8" s="3" t="s">
        <v>50</v>
      </c>
      <c r="H8" s="3" t="s">
        <v>45</v>
      </c>
      <c r="I8" s="4" t="n">
        <f aca="false">AVERAGEIF(B$4:B$369,H8,C$4:C$369)</f>
        <v>3467685.60377359</v>
      </c>
      <c r="J8" s="5" t="n">
        <f aca="false">I8/MAX(I$6:I$12)</f>
        <v>0.899585802578043</v>
      </c>
    </row>
    <row r="9" customFormat="false" ht="15.75" hidden="false" customHeight="true" outlineLevel="0" collapsed="false">
      <c r="A9" s="13" t="n">
        <v>45719</v>
      </c>
      <c r="B9" s="3" t="s">
        <v>46</v>
      </c>
      <c r="C9" s="4" t="n">
        <v>3197873</v>
      </c>
      <c r="D9" s="4"/>
      <c r="E9" s="4"/>
      <c r="F9" s="3" t="s">
        <v>41</v>
      </c>
      <c r="H9" s="3" t="s">
        <v>47</v>
      </c>
      <c r="I9" s="4" t="n">
        <f aca="false">AVERAGEIF(B$4:B$369,H9,C$4:C$369)</f>
        <v>2333019.82692308</v>
      </c>
      <c r="J9" s="5" t="n">
        <f aca="false">I9/MAX(I$6:I$12)</f>
        <v>0.605231198338509</v>
      </c>
    </row>
    <row r="10" customFormat="false" ht="15.75" hidden="false" customHeight="true" outlineLevel="0" collapsed="false">
      <c r="A10" s="13" t="n">
        <v>45720</v>
      </c>
      <c r="B10" s="3" t="s">
        <v>48</v>
      </c>
      <c r="C10" s="4" t="n">
        <v>3236332</v>
      </c>
      <c r="D10" s="4" t="n">
        <f aca="false">AVERAGE(C4:C10)</f>
        <v>2554145.57142857</v>
      </c>
      <c r="E10" s="4"/>
      <c r="F10" s="3" t="s">
        <v>41</v>
      </c>
      <c r="H10" s="3" t="s">
        <v>49</v>
      </c>
      <c r="I10" s="4" t="n">
        <f aca="false">AVERAGEIF(B$4:B$369,H10,C$4:C$369)</f>
        <v>1702491.11538462</v>
      </c>
      <c r="J10" s="5" t="n">
        <f aca="false">I10/MAX(I$6:I$12)</f>
        <v>0.441659657596587</v>
      </c>
    </row>
    <row r="11" customFormat="false" ht="15.75" hidden="false" customHeight="true" outlineLevel="0" collapsed="false">
      <c r="A11" s="13" t="n">
        <v>45721</v>
      </c>
      <c r="B11" s="3" t="s">
        <v>40</v>
      </c>
      <c r="C11" s="4" t="n">
        <v>3054050</v>
      </c>
      <c r="D11" s="4" t="n">
        <f aca="false">AVERAGE(C5:C11)</f>
        <v>2575077</v>
      </c>
      <c r="E11" s="4"/>
      <c r="F11" s="3" t="s">
        <v>41</v>
      </c>
      <c r="H11" s="3" t="s">
        <v>51</v>
      </c>
      <c r="I11" s="4" t="n">
        <f aca="false">AVERAGEIF(B$4:B$369,H11,C$4:C$369)</f>
        <v>2815654.59615385</v>
      </c>
      <c r="J11" s="5" t="n">
        <f aca="false">I11/MAX(I$6:I$12)</f>
        <v>0.730436143607497</v>
      </c>
    </row>
    <row r="12" customFormat="false" ht="15.75" hidden="false" customHeight="true" outlineLevel="0" collapsed="false">
      <c r="A12" s="13" t="n">
        <v>45722</v>
      </c>
      <c r="B12" s="3" t="s">
        <v>45</v>
      </c>
      <c r="C12" s="4" t="n">
        <v>3033483</v>
      </c>
      <c r="D12" s="4" t="n">
        <f aca="false">AVERAGE(C6:C12)</f>
        <v>2588772.42857143</v>
      </c>
      <c r="E12" s="4"/>
      <c r="F12" s="3" t="s">
        <v>41</v>
      </c>
    </row>
    <row r="13" customFormat="false" ht="15.75" hidden="false" customHeight="true" outlineLevel="0" collapsed="false">
      <c r="A13" s="13" t="n">
        <v>45723</v>
      </c>
      <c r="B13" s="3" t="s">
        <v>47</v>
      </c>
      <c r="C13" s="4" t="n">
        <v>2114616</v>
      </c>
      <c r="D13" s="4" t="n">
        <f aca="false">AVERAGE(C7:C13)</f>
        <v>2605621.42857143</v>
      </c>
      <c r="E13" s="4"/>
      <c r="F13" s="3" t="s">
        <v>41</v>
      </c>
      <c r="H13" s="8" t="s">
        <v>52</v>
      </c>
      <c r="I13" s="4" t="n">
        <f aca="false">AVERAGEIF(F$4:F$369,"Weekday",C$4:C$369)</f>
        <v>3401780.96564886</v>
      </c>
    </row>
    <row r="14" customFormat="false" ht="15.75" hidden="false" customHeight="true" outlineLevel="0" collapsed="false">
      <c r="A14" s="13" t="n">
        <v>45724</v>
      </c>
      <c r="B14" s="3" t="s">
        <v>49</v>
      </c>
      <c r="C14" s="4" t="n">
        <v>1457678</v>
      </c>
      <c r="D14" s="4" t="n">
        <f aca="false">AVERAGE(C8:C14)</f>
        <v>2635205.28571429</v>
      </c>
      <c r="E14" s="4"/>
      <c r="F14" s="3" t="s">
        <v>50</v>
      </c>
      <c r="H14" s="8" t="s">
        <v>53</v>
      </c>
      <c r="I14" s="4" t="n">
        <f aca="false">AVERAGEIF(F$4:F$369,"Weekend",C$4:C$369)</f>
        <v>2259072.85576923</v>
      </c>
    </row>
    <row r="15" customFormat="false" ht="15.75" hidden="false" customHeight="true" outlineLevel="0" collapsed="false">
      <c r="A15" s="13" t="n">
        <v>45725</v>
      </c>
      <c r="B15" s="3" t="s">
        <v>51</v>
      </c>
      <c r="C15" s="4" t="n">
        <v>2486755</v>
      </c>
      <c r="D15" s="4" t="n">
        <f aca="false">AVERAGE(C9:C15)</f>
        <v>2654398.14285714</v>
      </c>
      <c r="E15" s="4"/>
      <c r="F15" s="3" t="s">
        <v>50</v>
      </c>
      <c r="H15" s="8" t="s">
        <v>54</v>
      </c>
      <c r="I15" s="5" t="n">
        <f aca="false">I14/I13</f>
        <v>0.664085336058177</v>
      </c>
    </row>
    <row r="16" customFormat="false" ht="15.75" hidden="false" customHeight="true" outlineLevel="0" collapsed="false">
      <c r="A16" s="13" t="n">
        <v>45726</v>
      </c>
      <c r="B16" s="3" t="s">
        <v>46</v>
      </c>
      <c r="C16" s="4" t="n">
        <v>3213051</v>
      </c>
      <c r="D16" s="4" t="n">
        <f aca="false">AVERAGE(C10:C16)</f>
        <v>2656566.42857143</v>
      </c>
      <c r="E16" s="4"/>
      <c r="F16" s="3" t="s">
        <v>41</v>
      </c>
    </row>
    <row r="17" customFormat="false" ht="15.75" hidden="false" customHeight="true" outlineLevel="0" collapsed="false">
      <c r="A17" s="13" t="n">
        <v>45727</v>
      </c>
      <c r="B17" s="3" t="s">
        <v>48</v>
      </c>
      <c r="C17" s="4" t="n">
        <v>3260796</v>
      </c>
      <c r="D17" s="4" t="n">
        <f aca="false">AVERAGE(C11:C17)</f>
        <v>2660061.28571429</v>
      </c>
      <c r="E17" s="4"/>
      <c r="F17" s="3" t="s">
        <v>41</v>
      </c>
    </row>
    <row r="18" customFormat="false" ht="15.75" hidden="false" customHeight="true" outlineLevel="0" collapsed="false">
      <c r="A18" s="13" t="n">
        <v>45728</v>
      </c>
      <c r="B18" s="3" t="s">
        <v>40</v>
      </c>
      <c r="C18" s="4" t="n">
        <v>3068046</v>
      </c>
      <c r="D18" s="4" t="n">
        <f aca="false">AVERAGE(C12:C18)</f>
        <v>2662060.71428571</v>
      </c>
      <c r="E18" s="4"/>
      <c r="F18" s="3" t="s">
        <v>41</v>
      </c>
    </row>
    <row r="19" customFormat="false" ht="15.75" hidden="false" customHeight="true" outlineLevel="0" collapsed="false">
      <c r="A19" s="13" t="n">
        <v>45729</v>
      </c>
      <c r="B19" s="3" t="s">
        <v>45</v>
      </c>
      <c r="C19" s="4" t="n">
        <v>2943392</v>
      </c>
      <c r="D19" s="4" t="n">
        <f aca="false">AVERAGE(C13:C19)</f>
        <v>2649190.57142857</v>
      </c>
      <c r="E19" s="4"/>
      <c r="F19" s="3" t="s">
        <v>41</v>
      </c>
    </row>
    <row r="20" customFormat="false" ht="15.75" hidden="false" customHeight="true" outlineLevel="0" collapsed="false">
      <c r="A20" s="13" t="n">
        <v>45730</v>
      </c>
      <c r="B20" s="3" t="s">
        <v>47</v>
      </c>
      <c r="C20" s="4" t="n">
        <v>1785178</v>
      </c>
      <c r="D20" s="4" t="n">
        <f aca="false">AVERAGE(C14:C20)</f>
        <v>2602128</v>
      </c>
      <c r="E20" s="4"/>
      <c r="F20" s="3" t="s">
        <v>41</v>
      </c>
    </row>
    <row r="21" customFormat="false" ht="15.75" hidden="false" customHeight="true" outlineLevel="0" collapsed="false">
      <c r="A21" s="13" t="n">
        <v>45731</v>
      </c>
      <c r="B21" s="3" t="s">
        <v>49</v>
      </c>
      <c r="C21" s="4" t="n">
        <v>1508307</v>
      </c>
      <c r="D21" s="4" t="n">
        <f aca="false">AVERAGE(C15:C21)</f>
        <v>2609360.71428571</v>
      </c>
      <c r="E21" s="4"/>
      <c r="F21" s="3" t="s">
        <v>50</v>
      </c>
    </row>
    <row r="22" customFormat="false" ht="15.75" hidden="false" customHeight="true" outlineLevel="0" collapsed="false">
      <c r="A22" s="13" t="n">
        <v>45732</v>
      </c>
      <c r="B22" s="3" t="s">
        <v>51</v>
      </c>
      <c r="C22" s="4" t="n">
        <v>2370945</v>
      </c>
      <c r="D22" s="4" t="n">
        <f aca="false">AVERAGE(C16:C22)</f>
        <v>2592816.42857143</v>
      </c>
      <c r="E22" s="4"/>
      <c r="F22" s="3" t="s">
        <v>50</v>
      </c>
    </row>
    <row r="23" customFormat="false" ht="15.75" hidden="false" customHeight="true" outlineLevel="0" collapsed="false">
      <c r="A23" s="13" t="n">
        <v>45733</v>
      </c>
      <c r="B23" s="3" t="s">
        <v>46</v>
      </c>
      <c r="C23" s="4" t="n">
        <v>3226337</v>
      </c>
      <c r="D23" s="4" t="n">
        <f aca="false">AVERAGE(C17:C23)</f>
        <v>2594714.42857143</v>
      </c>
      <c r="E23" s="4"/>
      <c r="F23" s="3" t="s">
        <v>41</v>
      </c>
    </row>
    <row r="24" customFormat="false" ht="15.75" hidden="false" customHeight="true" outlineLevel="0" collapsed="false">
      <c r="A24" s="13" t="n">
        <v>45734</v>
      </c>
      <c r="B24" s="3" t="s">
        <v>48</v>
      </c>
      <c r="C24" s="4" t="n">
        <v>3260363</v>
      </c>
      <c r="D24" s="4" t="n">
        <f aca="false">AVERAGE(C18:C24)</f>
        <v>2594652.57142857</v>
      </c>
      <c r="E24" s="4"/>
      <c r="F24" s="3" t="s">
        <v>41</v>
      </c>
    </row>
    <row r="25" customFormat="false" ht="15.75" hidden="false" customHeight="true" outlineLevel="0" collapsed="false">
      <c r="A25" s="13" t="n">
        <v>45735</v>
      </c>
      <c r="B25" s="3" t="s">
        <v>40</v>
      </c>
      <c r="C25" s="4" t="n">
        <v>3030522</v>
      </c>
      <c r="D25" s="4" t="n">
        <f aca="false">AVERAGE(C19:C25)</f>
        <v>2589292</v>
      </c>
      <c r="E25" s="4"/>
      <c r="F25" s="3" t="s">
        <v>41</v>
      </c>
    </row>
    <row r="26" customFormat="false" ht="15.75" hidden="false" customHeight="true" outlineLevel="0" collapsed="false">
      <c r="A26" s="13" t="n">
        <v>45736</v>
      </c>
      <c r="B26" s="3" t="s">
        <v>45</v>
      </c>
      <c r="C26" s="4" t="n">
        <v>2950559</v>
      </c>
      <c r="D26" s="4" t="n">
        <f aca="false">AVERAGE(C20:C26)</f>
        <v>2590315.85714286</v>
      </c>
      <c r="E26" s="4"/>
      <c r="F26" s="3" t="s">
        <v>41</v>
      </c>
    </row>
    <row r="27" customFormat="false" ht="15.75" hidden="false" customHeight="true" outlineLevel="0" collapsed="false">
      <c r="A27" s="13" t="n">
        <v>45737</v>
      </c>
      <c r="B27" s="3" t="s">
        <v>47</v>
      </c>
      <c r="C27" s="4" t="n">
        <v>2039354</v>
      </c>
      <c r="D27" s="4" t="n">
        <f aca="false">AVERAGE(C21:C27)</f>
        <v>2626626.71428571</v>
      </c>
      <c r="E27" s="4"/>
      <c r="F27" s="3" t="s">
        <v>41</v>
      </c>
    </row>
    <row r="28" customFormat="false" ht="15.75" hidden="false" customHeight="true" outlineLevel="0" collapsed="false">
      <c r="A28" s="13" t="n">
        <v>45738</v>
      </c>
      <c r="B28" s="3" t="s">
        <v>49</v>
      </c>
      <c r="C28" s="4" t="n">
        <v>1507476</v>
      </c>
      <c r="D28" s="4" t="n">
        <f aca="false">AVERAGE(C22:C28)</f>
        <v>2626508</v>
      </c>
      <c r="E28" s="4"/>
      <c r="F28" s="3" t="s">
        <v>50</v>
      </c>
    </row>
    <row r="29" customFormat="false" ht="15.75" hidden="false" customHeight="true" outlineLevel="0" collapsed="false">
      <c r="A29" s="13" t="n">
        <v>45739</v>
      </c>
      <c r="B29" s="3" t="s">
        <v>51</v>
      </c>
      <c r="C29" s="4" t="n">
        <v>1951130</v>
      </c>
      <c r="D29" s="4" t="n">
        <f aca="false">AVERAGE(C23:C29)</f>
        <v>2566534.42857143</v>
      </c>
      <c r="E29" s="4"/>
      <c r="F29" s="3" t="s">
        <v>50</v>
      </c>
    </row>
    <row r="30" customFormat="false" ht="15.75" hidden="false" customHeight="true" outlineLevel="0" collapsed="false">
      <c r="A30" s="13" t="n">
        <v>45740</v>
      </c>
      <c r="B30" s="3" t="s">
        <v>46</v>
      </c>
      <c r="C30" s="4" t="n">
        <v>3261638</v>
      </c>
      <c r="D30" s="4" t="n">
        <f aca="false">AVERAGE(C24:C30)</f>
        <v>2571577.42857143</v>
      </c>
      <c r="E30" s="4"/>
      <c r="F30" s="3" t="s">
        <v>41</v>
      </c>
    </row>
    <row r="31" customFormat="false" ht="15.75" hidden="false" customHeight="true" outlineLevel="0" collapsed="false">
      <c r="A31" s="13" t="n">
        <v>45741</v>
      </c>
      <c r="B31" s="3" t="s">
        <v>48</v>
      </c>
      <c r="C31" s="4" t="n">
        <v>3234662</v>
      </c>
      <c r="D31" s="4" t="n">
        <f aca="false">AVERAGE(C25:C31)</f>
        <v>2567905.85714286</v>
      </c>
      <c r="E31" s="4"/>
      <c r="F31" s="3" t="s">
        <v>41</v>
      </c>
    </row>
    <row r="32" customFormat="false" ht="15.75" hidden="false" customHeight="true" outlineLevel="0" collapsed="false">
      <c r="A32" s="13" t="n">
        <v>45742</v>
      </c>
      <c r="B32" s="3" t="s">
        <v>40</v>
      </c>
      <c r="C32" s="4" t="n">
        <v>2914887</v>
      </c>
      <c r="D32" s="4" t="n">
        <f aca="false">AVERAGE(C26:C32)</f>
        <v>2551386.57142857</v>
      </c>
      <c r="E32" s="4"/>
      <c r="F32" s="3" t="s">
        <v>41</v>
      </c>
    </row>
    <row r="33" customFormat="false" ht="15.75" hidden="false" customHeight="true" outlineLevel="0" collapsed="false">
      <c r="A33" s="13" t="n">
        <v>45743</v>
      </c>
      <c r="B33" s="3" t="s">
        <v>45</v>
      </c>
      <c r="C33" s="4" t="n">
        <v>2793137</v>
      </c>
      <c r="D33" s="4" t="n">
        <f aca="false">AVERAGE(C27:C33)</f>
        <v>2528897.71428571</v>
      </c>
      <c r="E33" s="4" t="n">
        <f aca="false">AVERAGE(C4:C33)</f>
        <v>2611512.7</v>
      </c>
      <c r="F33" s="3" t="s">
        <v>41</v>
      </c>
    </row>
    <row r="34" customFormat="false" ht="15.75" hidden="false" customHeight="true" outlineLevel="0" collapsed="false">
      <c r="A34" s="13" t="n">
        <v>45744</v>
      </c>
      <c r="B34" s="3" t="s">
        <v>47</v>
      </c>
      <c r="C34" s="4" t="n">
        <v>1962120</v>
      </c>
      <c r="D34" s="4" t="n">
        <f aca="false">AVERAGE(C28:C34)</f>
        <v>2517864.28571429</v>
      </c>
      <c r="E34" s="4" t="n">
        <f aca="false">AVERAGE(C5:C34)</f>
        <v>2579999.03333333</v>
      </c>
      <c r="F34" s="3" t="s">
        <v>41</v>
      </c>
    </row>
    <row r="35" customFormat="false" ht="15.75" hidden="false" customHeight="true" outlineLevel="0" collapsed="false">
      <c r="A35" s="13" t="n">
        <v>45745</v>
      </c>
      <c r="B35" s="3" t="s">
        <v>49</v>
      </c>
      <c r="C35" s="4" t="n">
        <v>1507461</v>
      </c>
      <c r="D35" s="4" t="n">
        <f aca="false">AVERAGE(C29:C35)</f>
        <v>2517862.14285714</v>
      </c>
      <c r="E35" s="4" t="n">
        <f aca="false">AVERAGE(C6:C35)</f>
        <v>2532327.23333333</v>
      </c>
      <c r="F35" s="3" t="s">
        <v>50</v>
      </c>
    </row>
    <row r="36" customFormat="false" ht="15.75" hidden="false" customHeight="true" outlineLevel="0" collapsed="false">
      <c r="A36" s="13" t="n">
        <v>45746</v>
      </c>
      <c r="B36" s="3" t="s">
        <v>51</v>
      </c>
      <c r="C36" s="4" t="n">
        <v>2178796</v>
      </c>
      <c r="D36" s="4" t="n">
        <f aca="false">AVERAGE(C30:C36)</f>
        <v>2550385.85714286</v>
      </c>
      <c r="E36" s="4" t="n">
        <f aca="false">AVERAGE(C7:C36)</f>
        <v>2538398</v>
      </c>
      <c r="F36" s="3" t="s">
        <v>50</v>
      </c>
    </row>
    <row r="37" customFormat="false" ht="15.75" hidden="false" customHeight="true" outlineLevel="0" collapsed="false">
      <c r="A37" s="13" t="n">
        <v>45747</v>
      </c>
      <c r="B37" s="3" t="s">
        <v>46</v>
      </c>
      <c r="C37" s="4" t="n">
        <v>3141408</v>
      </c>
      <c r="D37" s="4" t="n">
        <f aca="false">AVERAGE(C31:C37)</f>
        <v>2533210.14285714</v>
      </c>
      <c r="E37" s="4" t="n">
        <f aca="false">AVERAGE(C8:C37)</f>
        <v>2601425.23333333</v>
      </c>
      <c r="F37" s="3" t="s">
        <v>41</v>
      </c>
    </row>
    <row r="38" customFormat="false" ht="15.75" hidden="false" customHeight="true" outlineLevel="0" collapsed="false">
      <c r="A38" s="13" t="n">
        <v>45748</v>
      </c>
      <c r="B38" s="3" t="s">
        <v>48</v>
      </c>
      <c r="C38" s="4" t="n">
        <v>3216682</v>
      </c>
      <c r="D38" s="4" t="n">
        <f aca="false">AVERAGE(C32:C38)</f>
        <v>2530641.57142857</v>
      </c>
      <c r="E38" s="4" t="n">
        <f aca="false">AVERAGE(C9:C38)</f>
        <v>2630234.46666667</v>
      </c>
      <c r="F38" s="3" t="s">
        <v>41</v>
      </c>
    </row>
    <row r="39" customFormat="false" ht="15.75" hidden="false" customHeight="true" outlineLevel="0" collapsed="false">
      <c r="A39" s="13" t="n">
        <v>45749</v>
      </c>
      <c r="B39" s="3" t="s">
        <v>40</v>
      </c>
      <c r="C39" s="4" t="n">
        <v>3089688</v>
      </c>
      <c r="D39" s="4" t="n">
        <f aca="false">AVERAGE(C33:C39)</f>
        <v>2555613.14285714</v>
      </c>
      <c r="E39" s="4" t="n">
        <f aca="false">AVERAGE(C10:C39)</f>
        <v>2626628.3</v>
      </c>
      <c r="F39" s="3" t="s">
        <v>41</v>
      </c>
    </row>
    <row r="40" customFormat="false" ht="15.75" hidden="false" customHeight="true" outlineLevel="0" collapsed="false">
      <c r="A40" s="13" t="n">
        <v>45750</v>
      </c>
      <c r="B40" s="3" t="s">
        <v>45</v>
      </c>
      <c r="C40" s="4" t="n">
        <v>3045916</v>
      </c>
      <c r="D40" s="4" t="n">
        <f aca="false">AVERAGE(C34:C40)</f>
        <v>2591724.42857143</v>
      </c>
      <c r="E40" s="4" t="n">
        <f aca="false">AVERAGE(C11:C40)</f>
        <v>2620281.1</v>
      </c>
      <c r="F40" s="3" t="s">
        <v>41</v>
      </c>
    </row>
    <row r="41" customFormat="false" ht="15.75" hidden="false" customHeight="true" outlineLevel="0" collapsed="false">
      <c r="A41" s="13" t="n">
        <v>45751</v>
      </c>
      <c r="B41" s="3" t="s">
        <v>47</v>
      </c>
      <c r="C41" s="4" t="n">
        <v>2019818</v>
      </c>
      <c r="D41" s="4" t="n">
        <f aca="false">AVERAGE(C35:C41)</f>
        <v>2599967</v>
      </c>
      <c r="E41" s="4" t="n">
        <f aca="false">AVERAGE(C12:C41)</f>
        <v>2585806.7</v>
      </c>
      <c r="F41" s="3" t="s">
        <v>41</v>
      </c>
    </row>
    <row r="42" customFormat="false" ht="15.75" hidden="false" customHeight="true" outlineLevel="0" collapsed="false">
      <c r="A42" s="13" t="n">
        <v>45752</v>
      </c>
      <c r="B42" s="3" t="s">
        <v>49</v>
      </c>
      <c r="C42" s="4" t="n">
        <v>1438644</v>
      </c>
      <c r="D42" s="4" t="n">
        <f aca="false">AVERAGE(C36:C42)</f>
        <v>2590136</v>
      </c>
      <c r="E42" s="4" t="n">
        <f aca="false">AVERAGE(C13:C42)</f>
        <v>2532645.4</v>
      </c>
      <c r="F42" s="3" t="s">
        <v>50</v>
      </c>
    </row>
    <row r="43" customFormat="false" ht="15.75" hidden="false" customHeight="true" outlineLevel="0" collapsed="false">
      <c r="A43" s="13" t="n">
        <v>45753</v>
      </c>
      <c r="B43" s="3" t="s">
        <v>51</v>
      </c>
      <c r="C43" s="4" t="n">
        <v>2398328</v>
      </c>
      <c r="D43" s="4" t="n">
        <f aca="false">AVERAGE(C37:C43)</f>
        <v>2621497.71428571</v>
      </c>
      <c r="E43" s="4" t="n">
        <f aca="false">AVERAGE(C14:C43)</f>
        <v>2542102.46666667</v>
      </c>
      <c r="F43" s="3" t="s">
        <v>50</v>
      </c>
    </row>
    <row r="44" customFormat="false" ht="15.75" hidden="false" customHeight="true" outlineLevel="0" collapsed="false">
      <c r="A44" s="13" t="n">
        <v>45754</v>
      </c>
      <c r="B44" s="3" t="s">
        <v>46</v>
      </c>
      <c r="C44" s="4" t="n">
        <v>3272218</v>
      </c>
      <c r="D44" s="4" t="n">
        <f aca="false">AVERAGE(C38:C44)</f>
        <v>2640184.85714286</v>
      </c>
      <c r="E44" s="4" t="n">
        <f aca="false">AVERAGE(C15:C44)</f>
        <v>2602587.13333333</v>
      </c>
      <c r="F44" s="3" t="s">
        <v>41</v>
      </c>
    </row>
    <row r="45" customFormat="false" ht="15.75" hidden="false" customHeight="true" outlineLevel="0" collapsed="false">
      <c r="A45" s="13" t="n">
        <v>45755</v>
      </c>
      <c r="B45" s="3" t="s">
        <v>48</v>
      </c>
      <c r="C45" s="4" t="n">
        <v>3349875</v>
      </c>
      <c r="D45" s="4" t="n">
        <f aca="false">AVERAGE(C39:C45)</f>
        <v>2659212.42857143</v>
      </c>
      <c r="E45" s="4" t="n">
        <f aca="false">AVERAGE(C16:C45)</f>
        <v>2631357.8</v>
      </c>
      <c r="F45" s="3" t="s">
        <v>41</v>
      </c>
    </row>
    <row r="46" customFormat="false" ht="15.75" hidden="false" customHeight="true" outlineLevel="0" collapsed="false">
      <c r="A46" s="13" t="n">
        <v>45756</v>
      </c>
      <c r="B46" s="3" t="s">
        <v>40</v>
      </c>
      <c r="C46" s="4" t="n">
        <v>3073009</v>
      </c>
      <c r="D46" s="4" t="n">
        <f aca="false">AVERAGE(C40:C46)</f>
        <v>2656829.71428571</v>
      </c>
      <c r="E46" s="4" t="n">
        <f aca="false">AVERAGE(C17:C46)</f>
        <v>2626689.73333333</v>
      </c>
      <c r="F46" s="3" t="s">
        <v>41</v>
      </c>
    </row>
    <row r="47" customFormat="false" ht="15.75" hidden="false" customHeight="true" outlineLevel="0" collapsed="false">
      <c r="A47" s="13" t="n">
        <v>45757</v>
      </c>
      <c r="B47" s="3" t="s">
        <v>45</v>
      </c>
      <c r="C47" s="4" t="n">
        <v>3041083</v>
      </c>
      <c r="D47" s="4" t="n">
        <f aca="false">AVERAGE(C41:C47)</f>
        <v>2656139.28571429</v>
      </c>
      <c r="E47" s="4" t="n">
        <f aca="false">AVERAGE(C18:C47)</f>
        <v>2619365.96666667</v>
      </c>
      <c r="F47" s="3" t="s">
        <v>41</v>
      </c>
    </row>
    <row r="48" customFormat="false" ht="15.75" hidden="false" customHeight="true" outlineLevel="0" collapsed="false">
      <c r="A48" s="13" t="n">
        <v>45758</v>
      </c>
      <c r="B48" s="3" t="s">
        <v>47</v>
      </c>
      <c r="C48" s="4" t="n">
        <v>1988045</v>
      </c>
      <c r="D48" s="4" t="n">
        <f aca="false">AVERAGE(C42:C48)</f>
        <v>2651600.28571429</v>
      </c>
      <c r="E48" s="4" t="n">
        <f aca="false">AVERAGE(C19:C48)</f>
        <v>2583365.93333333</v>
      </c>
      <c r="F48" s="3" t="s">
        <v>41</v>
      </c>
    </row>
    <row r="49" customFormat="false" ht="15.75" hidden="false" customHeight="true" outlineLevel="0" collapsed="false">
      <c r="A49" s="13" t="n">
        <v>45759</v>
      </c>
      <c r="B49" s="3" t="s">
        <v>49</v>
      </c>
      <c r="C49" s="4" t="n">
        <v>1346092</v>
      </c>
      <c r="D49" s="4" t="n">
        <f aca="false">AVERAGE(C43:C49)</f>
        <v>2638378.57142857</v>
      </c>
      <c r="E49" s="4" t="n">
        <f aca="false">AVERAGE(C20:C49)</f>
        <v>2530122.6</v>
      </c>
      <c r="F49" s="3" t="s">
        <v>50</v>
      </c>
    </row>
    <row r="50" customFormat="false" ht="15.75" hidden="false" customHeight="true" outlineLevel="0" collapsed="false">
      <c r="A50" s="13" t="n">
        <v>45760</v>
      </c>
      <c r="B50" s="3" t="s">
        <v>51</v>
      </c>
      <c r="C50" s="4" t="n">
        <v>2450056</v>
      </c>
      <c r="D50" s="4" t="n">
        <f aca="false">AVERAGE(C44:C50)</f>
        <v>2645768.28571429</v>
      </c>
      <c r="E50" s="4" t="n">
        <f aca="false">AVERAGE(C21:C50)</f>
        <v>2552285.2</v>
      </c>
      <c r="F50" s="3" t="s">
        <v>50</v>
      </c>
    </row>
    <row r="51" customFormat="false" ht="15.75" hidden="false" customHeight="true" outlineLevel="0" collapsed="false">
      <c r="A51" s="13" t="n">
        <v>45761</v>
      </c>
      <c r="B51" s="3" t="s">
        <v>46</v>
      </c>
      <c r="C51" s="4" t="n">
        <v>3330272</v>
      </c>
      <c r="D51" s="4" t="n">
        <f aca="false">AVERAGE(C45:C51)</f>
        <v>2654061.71428571</v>
      </c>
      <c r="E51" s="4" t="n">
        <f aca="false">AVERAGE(C22:C51)</f>
        <v>2613017.36666667</v>
      </c>
      <c r="F51" s="3" t="s">
        <v>41</v>
      </c>
    </row>
    <row r="52" customFormat="false" ht="15.75" hidden="false" customHeight="true" outlineLevel="0" collapsed="false">
      <c r="A52" s="13" t="n">
        <v>45762</v>
      </c>
      <c r="B52" s="3" t="s">
        <v>48</v>
      </c>
      <c r="C52" s="4" t="n">
        <v>3329167</v>
      </c>
      <c r="D52" s="4" t="n">
        <f aca="false">AVERAGE(C46:C52)</f>
        <v>2651103.42857143</v>
      </c>
      <c r="E52" s="4" t="n">
        <f aca="false">AVERAGE(C23:C52)</f>
        <v>2644958.1</v>
      </c>
      <c r="F52" s="3" t="s">
        <v>41</v>
      </c>
    </row>
    <row r="53" customFormat="false" ht="15.75" hidden="false" customHeight="true" outlineLevel="0" collapsed="false">
      <c r="A53" s="13" t="n">
        <v>45763</v>
      </c>
      <c r="B53" s="3" t="s">
        <v>40</v>
      </c>
      <c r="C53" s="4" t="n">
        <v>3269592</v>
      </c>
      <c r="D53" s="4" t="n">
        <f aca="false">AVERAGE(C47:C53)</f>
        <v>2679186.71428571</v>
      </c>
      <c r="E53" s="4" t="n">
        <f aca="false">AVERAGE(C24:C53)</f>
        <v>2646399.93333333</v>
      </c>
      <c r="F53" s="3" t="s">
        <v>41</v>
      </c>
    </row>
    <row r="54" customFormat="false" ht="15.75" hidden="false" customHeight="true" outlineLevel="0" collapsed="false">
      <c r="A54" s="13" t="n">
        <v>45764</v>
      </c>
      <c r="B54" s="3" t="s">
        <v>45</v>
      </c>
      <c r="C54" s="4" t="n">
        <v>3445833</v>
      </c>
      <c r="D54" s="4" t="n">
        <f aca="false">AVERAGE(C48:C54)</f>
        <v>2737008.14285714</v>
      </c>
      <c r="E54" s="4" t="n">
        <f aca="false">AVERAGE(C25:C54)</f>
        <v>2652582.26666667</v>
      </c>
      <c r="F54" s="3" t="s">
        <v>41</v>
      </c>
    </row>
    <row r="55" customFormat="false" ht="15.75" hidden="false" customHeight="true" outlineLevel="0" collapsed="false">
      <c r="A55" s="13" t="n">
        <v>45765</v>
      </c>
      <c r="B55" s="3" t="s">
        <v>47</v>
      </c>
      <c r="C55" s="4" t="n">
        <v>1937766</v>
      </c>
      <c r="D55" s="4" t="n">
        <f aca="false">AVERAGE(C49:C55)</f>
        <v>2729825.42857143</v>
      </c>
      <c r="E55" s="4" t="n">
        <f aca="false">AVERAGE(C26:C55)</f>
        <v>2616157.06666667</v>
      </c>
      <c r="F55" s="3" t="s">
        <v>41</v>
      </c>
    </row>
    <row r="56" customFormat="false" ht="15.75" hidden="false" customHeight="true" outlineLevel="0" collapsed="false">
      <c r="A56" s="13" t="n">
        <v>45766</v>
      </c>
      <c r="B56" s="3" t="s">
        <v>49</v>
      </c>
      <c r="C56" s="4" t="n">
        <v>1564552</v>
      </c>
      <c r="D56" s="4" t="n">
        <f aca="false">AVERAGE(C50:C56)</f>
        <v>2761034</v>
      </c>
      <c r="E56" s="4" t="n">
        <f aca="false">AVERAGE(C27:C56)</f>
        <v>2569956.83333333</v>
      </c>
      <c r="F56" s="3" t="s">
        <v>50</v>
      </c>
    </row>
    <row r="57" customFormat="false" ht="15.75" hidden="false" customHeight="true" outlineLevel="0" collapsed="false">
      <c r="A57" s="13" t="n">
        <v>45767</v>
      </c>
      <c r="B57" s="3" t="s">
        <v>51</v>
      </c>
      <c r="C57" s="4" t="n">
        <v>2275029</v>
      </c>
      <c r="D57" s="4" t="n">
        <f aca="false">AVERAGE(C51:C57)</f>
        <v>2736030.14285714</v>
      </c>
      <c r="E57" s="4" t="n">
        <f aca="false">AVERAGE(C28:C57)</f>
        <v>2577812.66666667</v>
      </c>
      <c r="F57" s="3" t="s">
        <v>50</v>
      </c>
    </row>
    <row r="58" customFormat="false" ht="15.75" hidden="false" customHeight="true" outlineLevel="0" collapsed="false">
      <c r="A58" s="13" t="n">
        <v>45768</v>
      </c>
      <c r="B58" s="3" t="s">
        <v>46</v>
      </c>
      <c r="C58" s="4" t="n">
        <v>3149195</v>
      </c>
      <c r="D58" s="4" t="n">
        <f aca="false">AVERAGE(C52:C58)</f>
        <v>2710162</v>
      </c>
      <c r="E58" s="4" t="n">
        <f aca="false">AVERAGE(C29:C58)</f>
        <v>2632536.63333333</v>
      </c>
      <c r="F58" s="3" t="s">
        <v>41</v>
      </c>
    </row>
    <row r="59" customFormat="false" ht="15.75" hidden="false" customHeight="true" outlineLevel="0" collapsed="false">
      <c r="A59" s="13" t="n">
        <v>45769</v>
      </c>
      <c r="B59" s="3" t="s">
        <v>48</v>
      </c>
      <c r="C59" s="4" t="n">
        <v>3204000</v>
      </c>
      <c r="D59" s="4" t="n">
        <f aca="false">AVERAGE(C53:C59)</f>
        <v>2692281</v>
      </c>
      <c r="E59" s="4" t="n">
        <f aca="false">AVERAGE(C30:C59)</f>
        <v>2674298.96666667</v>
      </c>
      <c r="F59" s="3" t="s">
        <v>41</v>
      </c>
    </row>
    <row r="60" customFormat="false" ht="15.75" hidden="false" customHeight="true" outlineLevel="0" collapsed="false">
      <c r="A60" s="13" t="n">
        <v>45770</v>
      </c>
      <c r="B60" s="3" t="s">
        <v>40</v>
      </c>
      <c r="C60" s="4" t="n">
        <v>3142257</v>
      </c>
      <c r="D60" s="4" t="n">
        <f aca="false">AVERAGE(C54:C60)</f>
        <v>2674090.28571429</v>
      </c>
      <c r="E60" s="4" t="n">
        <f aca="false">AVERAGE(C31:C60)</f>
        <v>2670319.6</v>
      </c>
      <c r="F60" s="3" t="s">
        <v>41</v>
      </c>
    </row>
    <row r="61" customFormat="false" ht="15.75" hidden="false" customHeight="true" outlineLevel="0" collapsed="false">
      <c r="A61" s="13" t="n">
        <v>45771</v>
      </c>
      <c r="B61" s="3" t="s">
        <v>45</v>
      </c>
      <c r="C61" s="4" t="n">
        <v>3077372</v>
      </c>
      <c r="D61" s="4" t="n">
        <f aca="false">AVERAGE(C55:C61)</f>
        <v>2621453</v>
      </c>
      <c r="E61" s="4" t="n">
        <f aca="false">AVERAGE(C32:C61)</f>
        <v>2665076.6</v>
      </c>
      <c r="F61" s="3" t="s">
        <v>41</v>
      </c>
    </row>
    <row r="62" customFormat="false" ht="15.75" hidden="false" customHeight="true" outlineLevel="0" collapsed="false">
      <c r="A62" s="13" t="n">
        <v>45772</v>
      </c>
      <c r="B62" s="3" t="s">
        <v>47</v>
      </c>
      <c r="C62" s="4" t="n">
        <v>2197313</v>
      </c>
      <c r="D62" s="4" t="n">
        <f aca="false">AVERAGE(C56:C62)</f>
        <v>2658531.14285714</v>
      </c>
      <c r="E62" s="4" t="n">
        <f aca="false">AVERAGE(C33:C62)</f>
        <v>2641157.46666667</v>
      </c>
      <c r="F62" s="3" t="s">
        <v>41</v>
      </c>
    </row>
    <row r="63" customFormat="false" ht="15.75" hidden="false" customHeight="true" outlineLevel="0" collapsed="false">
      <c r="A63" s="13" t="n">
        <v>45773</v>
      </c>
      <c r="B63" s="3" t="s">
        <v>49</v>
      </c>
      <c r="C63" s="4" t="n">
        <v>1519935</v>
      </c>
      <c r="D63" s="4" t="n">
        <f aca="false">AVERAGE(C57:C63)</f>
        <v>2652157.28571429</v>
      </c>
      <c r="E63" s="4" t="n">
        <f aca="false">AVERAGE(C34:C63)</f>
        <v>2598717.4</v>
      </c>
      <c r="F63" s="3" t="s">
        <v>50</v>
      </c>
    </row>
    <row r="64" customFormat="false" ht="15.75" hidden="false" customHeight="true" outlineLevel="0" collapsed="false">
      <c r="A64" s="13" t="n">
        <v>45774</v>
      </c>
      <c r="B64" s="3" t="s">
        <v>51</v>
      </c>
      <c r="C64" s="4" t="n">
        <v>2265815</v>
      </c>
      <c r="D64" s="4" t="n">
        <f aca="false">AVERAGE(C58:C64)</f>
        <v>2650841</v>
      </c>
      <c r="E64" s="4" t="n">
        <f aca="false">AVERAGE(C35:C64)</f>
        <v>2608840.56666667</v>
      </c>
      <c r="F64" s="3" t="s">
        <v>50</v>
      </c>
    </row>
    <row r="65" customFormat="false" ht="15.75" hidden="false" customHeight="true" outlineLevel="0" collapsed="false">
      <c r="A65" s="13" t="n">
        <v>45775</v>
      </c>
      <c r="B65" s="3" t="s">
        <v>46</v>
      </c>
      <c r="C65" s="4" t="n">
        <v>3138942</v>
      </c>
      <c r="D65" s="4" t="n">
        <f aca="false">AVERAGE(C59:C65)</f>
        <v>2649376.28571429</v>
      </c>
      <c r="E65" s="4" t="n">
        <f aca="false">AVERAGE(C36:C65)</f>
        <v>2663223.26666667</v>
      </c>
      <c r="F65" s="3" t="s">
        <v>41</v>
      </c>
    </row>
    <row r="66" customFormat="false" ht="15.75" hidden="false" customHeight="true" outlineLevel="0" collapsed="false">
      <c r="A66" s="13" t="n">
        <v>45776</v>
      </c>
      <c r="B66" s="3" t="s">
        <v>48</v>
      </c>
      <c r="C66" s="4" t="n">
        <v>3390360</v>
      </c>
      <c r="D66" s="4" t="n">
        <f aca="false">AVERAGE(C60:C66)</f>
        <v>2675999.14285714</v>
      </c>
      <c r="E66" s="4" t="n">
        <f aca="false">AVERAGE(C37:C66)</f>
        <v>2703608.73333333</v>
      </c>
      <c r="F66" s="3" t="s">
        <v>41</v>
      </c>
    </row>
    <row r="67" customFormat="false" ht="15.75" hidden="false" customHeight="true" outlineLevel="0" collapsed="false">
      <c r="A67" s="13" t="n">
        <v>45777</v>
      </c>
      <c r="B67" s="3" t="s">
        <v>40</v>
      </c>
      <c r="C67" s="4" t="n">
        <v>3503776</v>
      </c>
      <c r="D67" s="4" t="n">
        <f aca="false">AVERAGE(C61:C67)</f>
        <v>2727644.71428571</v>
      </c>
      <c r="E67" s="4" t="n">
        <f aca="false">AVERAGE(C38:C67)</f>
        <v>2715687.66666667</v>
      </c>
      <c r="F67" s="3" t="s">
        <v>41</v>
      </c>
    </row>
    <row r="68" customFormat="false" ht="15.75" hidden="false" customHeight="true" outlineLevel="0" collapsed="false">
      <c r="A68" s="13" t="n">
        <v>45778</v>
      </c>
      <c r="B68" s="3" t="s">
        <v>45</v>
      </c>
      <c r="C68" s="4" t="n">
        <v>3446841</v>
      </c>
      <c r="D68" s="4" t="n">
        <f aca="false">AVERAGE(C62:C68)</f>
        <v>2780426</v>
      </c>
      <c r="E68" s="4" t="n">
        <f aca="false">AVERAGE(C39:C68)</f>
        <v>2723359.63333333</v>
      </c>
      <c r="F68" s="3" t="s">
        <v>41</v>
      </c>
    </row>
    <row r="69" customFormat="false" ht="15.75" hidden="false" customHeight="true" outlineLevel="0" collapsed="false">
      <c r="A69" s="13" t="n">
        <v>45779</v>
      </c>
      <c r="B69" s="3" t="s">
        <v>47</v>
      </c>
      <c r="C69" s="4" t="n">
        <v>2128508</v>
      </c>
      <c r="D69" s="4" t="n">
        <f aca="false">AVERAGE(C63:C69)</f>
        <v>2770596.71428571</v>
      </c>
      <c r="E69" s="4" t="n">
        <f aca="false">AVERAGE(C40:C69)</f>
        <v>2691320.3</v>
      </c>
      <c r="F69" s="3" t="s">
        <v>41</v>
      </c>
    </row>
    <row r="70" customFormat="false" ht="15.75" hidden="false" customHeight="true" outlineLevel="0" collapsed="false">
      <c r="A70" s="13" t="n">
        <v>45780</v>
      </c>
      <c r="B70" s="3" t="s">
        <v>49</v>
      </c>
      <c r="C70" s="4" t="n">
        <v>1598699</v>
      </c>
      <c r="D70" s="4" t="n">
        <f aca="false">AVERAGE(C64:C70)</f>
        <v>2781848.71428571</v>
      </c>
      <c r="E70" s="4" t="n">
        <f aca="false">AVERAGE(C41:C70)</f>
        <v>2643079.73333333</v>
      </c>
      <c r="F70" s="3" t="s">
        <v>50</v>
      </c>
    </row>
    <row r="71" customFormat="false" ht="15.75" hidden="false" customHeight="true" outlineLevel="0" collapsed="false">
      <c r="A71" s="13" t="n">
        <v>45781</v>
      </c>
      <c r="B71" s="3" t="s">
        <v>51</v>
      </c>
      <c r="C71" s="4" t="n">
        <v>2507622</v>
      </c>
      <c r="D71" s="4" t="n">
        <f aca="false">AVERAGE(C65:C71)</f>
        <v>2816392.57142857</v>
      </c>
      <c r="E71" s="4" t="n">
        <f aca="false">AVERAGE(C42:C71)</f>
        <v>2659339.86666667</v>
      </c>
      <c r="F71" s="3" t="s">
        <v>50</v>
      </c>
    </row>
    <row r="72" customFormat="false" ht="15.75" hidden="false" customHeight="true" outlineLevel="0" collapsed="false">
      <c r="A72" s="13" t="n">
        <v>45782</v>
      </c>
      <c r="B72" s="3" t="s">
        <v>46</v>
      </c>
      <c r="C72" s="4" t="n">
        <v>3441639</v>
      </c>
      <c r="D72" s="4" t="n">
        <f aca="false">AVERAGE(C66:C72)</f>
        <v>2859635</v>
      </c>
      <c r="E72" s="4" t="n">
        <f aca="false">AVERAGE(C43:C72)</f>
        <v>2726106.36666667</v>
      </c>
      <c r="F72" s="3" t="s">
        <v>41</v>
      </c>
    </row>
    <row r="73" customFormat="false" ht="15.75" hidden="false" customHeight="true" outlineLevel="0" collapsed="false">
      <c r="A73" s="13" t="n">
        <v>45783</v>
      </c>
      <c r="B73" s="3" t="s">
        <v>48</v>
      </c>
      <c r="C73" s="4" t="n">
        <v>3481246</v>
      </c>
      <c r="D73" s="4" t="n">
        <f aca="false">AVERAGE(C67:C73)</f>
        <v>2872618.71428571</v>
      </c>
      <c r="E73" s="4" t="n">
        <f aca="false">AVERAGE(C44:C73)</f>
        <v>2762203.63333333</v>
      </c>
      <c r="F73" s="3" t="s">
        <v>41</v>
      </c>
    </row>
    <row r="74" customFormat="false" ht="15.75" hidden="false" customHeight="true" outlineLevel="0" collapsed="false">
      <c r="A74" s="13" t="n">
        <v>45784</v>
      </c>
      <c r="B74" s="3" t="s">
        <v>40</v>
      </c>
      <c r="C74" s="4" t="n">
        <v>3553828</v>
      </c>
      <c r="D74" s="4" t="n">
        <f aca="false">AVERAGE(C68:C74)</f>
        <v>2879769</v>
      </c>
      <c r="E74" s="4" t="n">
        <f aca="false">AVERAGE(C45:C74)</f>
        <v>2771590.63333333</v>
      </c>
      <c r="F74" s="3" t="s">
        <v>41</v>
      </c>
    </row>
    <row r="75" customFormat="false" ht="15.75" hidden="false" customHeight="true" outlineLevel="0" collapsed="false">
      <c r="A75" s="13" t="n">
        <v>45785</v>
      </c>
      <c r="B75" s="3" t="s">
        <v>45</v>
      </c>
      <c r="C75" s="4" t="n">
        <v>3747505</v>
      </c>
      <c r="D75" s="4" t="n">
        <f aca="false">AVERAGE(C69:C75)</f>
        <v>2922721</v>
      </c>
      <c r="E75" s="4" t="n">
        <f aca="false">AVERAGE(C46:C75)</f>
        <v>2784844.96666667</v>
      </c>
      <c r="F75" s="3" t="s">
        <v>41</v>
      </c>
    </row>
    <row r="76" customFormat="false" ht="15.75" hidden="false" customHeight="true" outlineLevel="0" collapsed="false">
      <c r="A76" s="13" t="n">
        <v>45786</v>
      </c>
      <c r="B76" s="3" t="s">
        <v>47</v>
      </c>
      <c r="C76" s="4" t="n">
        <v>2429854</v>
      </c>
      <c r="D76" s="4" t="n">
        <f aca="false">AVERAGE(C70:C76)</f>
        <v>2965770.42857143</v>
      </c>
      <c r="E76" s="4" t="n">
        <f aca="false">AVERAGE(C47:C76)</f>
        <v>2763406.46666667</v>
      </c>
      <c r="F76" s="3" t="s">
        <v>41</v>
      </c>
    </row>
    <row r="77" customFormat="false" ht="15.75" hidden="false" customHeight="true" outlineLevel="0" collapsed="false">
      <c r="A77" s="13" t="n">
        <v>45787</v>
      </c>
      <c r="B77" s="3" t="s">
        <v>49</v>
      </c>
      <c r="C77" s="4" t="n">
        <v>1601148</v>
      </c>
      <c r="D77" s="4" t="n">
        <f aca="false">AVERAGE(C71:C77)</f>
        <v>2966120.28571429</v>
      </c>
      <c r="E77" s="4" t="n">
        <f aca="false">AVERAGE(C48:C77)</f>
        <v>2715408.63333333</v>
      </c>
      <c r="F77" s="3" t="s">
        <v>50</v>
      </c>
    </row>
    <row r="78" customFormat="false" ht="15.75" hidden="false" customHeight="true" outlineLevel="0" collapsed="false">
      <c r="A78" s="13" t="n">
        <v>45788</v>
      </c>
      <c r="B78" s="3" t="s">
        <v>51</v>
      </c>
      <c r="C78" s="4" t="n">
        <v>2262267</v>
      </c>
      <c r="D78" s="4" t="n">
        <f aca="false">AVERAGE(C72:C78)</f>
        <v>2931069.57142857</v>
      </c>
      <c r="E78" s="4" t="n">
        <f aca="false">AVERAGE(C49:C78)</f>
        <v>2724549.36666667</v>
      </c>
      <c r="F78" s="3" t="s">
        <v>50</v>
      </c>
    </row>
    <row r="79" customFormat="false" ht="15.75" hidden="false" customHeight="true" outlineLevel="0" collapsed="false">
      <c r="A79" s="13" t="n">
        <v>45789</v>
      </c>
      <c r="B79" s="3" t="s">
        <v>46</v>
      </c>
      <c r="C79" s="4" t="n">
        <v>3512309</v>
      </c>
      <c r="D79" s="4" t="n">
        <f aca="false">AVERAGE(C73:C79)</f>
        <v>2941165.28571429</v>
      </c>
      <c r="E79" s="4" t="n">
        <f aca="false">AVERAGE(C50:C79)</f>
        <v>2796756.6</v>
      </c>
      <c r="F79" s="3" t="s">
        <v>41</v>
      </c>
    </row>
    <row r="80" customFormat="false" ht="15.75" hidden="false" customHeight="true" outlineLevel="0" collapsed="false">
      <c r="A80" s="13" t="n">
        <v>45790</v>
      </c>
      <c r="B80" s="3" t="s">
        <v>48</v>
      </c>
      <c r="C80" s="4" t="n">
        <v>3569054</v>
      </c>
      <c r="D80" s="4" t="n">
        <f aca="false">AVERAGE(C74:C80)</f>
        <v>2953709.28571429</v>
      </c>
      <c r="E80" s="4" t="n">
        <f aca="false">AVERAGE(C51:C80)</f>
        <v>2834056.53333333</v>
      </c>
      <c r="F80" s="3" t="s">
        <v>41</v>
      </c>
    </row>
    <row r="81" customFormat="false" ht="15.75" hidden="false" customHeight="true" outlineLevel="0" collapsed="false">
      <c r="A81" s="13" t="n">
        <v>45791</v>
      </c>
      <c r="B81" s="3" t="s">
        <v>40</v>
      </c>
      <c r="C81" s="4" t="n">
        <v>3763177</v>
      </c>
      <c r="D81" s="4" t="n">
        <f aca="false">AVERAGE(C75:C81)</f>
        <v>2983616.28571429</v>
      </c>
      <c r="E81" s="4" t="n">
        <f aca="false">AVERAGE(C52:C81)</f>
        <v>2848486.7</v>
      </c>
      <c r="F81" s="3" t="s">
        <v>41</v>
      </c>
    </row>
    <row r="82" customFormat="false" ht="15.75" hidden="false" customHeight="true" outlineLevel="0" collapsed="false">
      <c r="A82" s="13" t="n">
        <v>45792</v>
      </c>
      <c r="B82" s="3" t="s">
        <v>45</v>
      </c>
      <c r="C82" s="4" t="n">
        <v>3364753</v>
      </c>
      <c r="D82" s="4" t="n">
        <f aca="false">AVERAGE(C76:C82)</f>
        <v>2928937.42857143</v>
      </c>
      <c r="E82" s="4" t="n">
        <f aca="false">AVERAGE(C53:C82)</f>
        <v>2849672.9</v>
      </c>
      <c r="F82" s="3" t="s">
        <v>41</v>
      </c>
    </row>
    <row r="83" customFormat="false" ht="15.75" hidden="false" customHeight="true" outlineLevel="0" collapsed="false">
      <c r="A83" s="13" t="n">
        <v>45793</v>
      </c>
      <c r="B83" s="3" t="s">
        <v>47</v>
      </c>
      <c r="C83" s="4" t="n">
        <v>2047594</v>
      </c>
      <c r="D83" s="4" t="n">
        <f aca="false">AVERAGE(C77:C83)</f>
        <v>2874328.85714286</v>
      </c>
      <c r="E83" s="4" t="n">
        <f aca="false">AVERAGE(C54:C83)</f>
        <v>2808939.63333333</v>
      </c>
      <c r="F83" s="3" t="s">
        <v>41</v>
      </c>
    </row>
    <row r="84" customFormat="false" ht="15.75" hidden="false" customHeight="true" outlineLevel="0" collapsed="false">
      <c r="A84" s="13" t="n">
        <v>45794</v>
      </c>
      <c r="B84" s="3" t="s">
        <v>49</v>
      </c>
      <c r="C84" s="4" t="n">
        <v>1683293</v>
      </c>
      <c r="D84" s="4" t="n">
        <f aca="false">AVERAGE(C78:C84)</f>
        <v>2886063.85714286</v>
      </c>
      <c r="E84" s="4" t="n">
        <f aca="false">AVERAGE(C55:C84)</f>
        <v>2750188.3</v>
      </c>
      <c r="F84" s="3" t="s">
        <v>50</v>
      </c>
    </row>
    <row r="85" customFormat="false" ht="15.75" hidden="false" customHeight="true" outlineLevel="0" collapsed="false">
      <c r="A85" s="13" t="n">
        <v>45795</v>
      </c>
      <c r="B85" s="3" t="s">
        <v>51</v>
      </c>
      <c r="C85" s="4" t="n">
        <v>2338753</v>
      </c>
      <c r="D85" s="4" t="n">
        <f aca="false">AVERAGE(C79:C85)</f>
        <v>2896990.42857143</v>
      </c>
      <c r="E85" s="4" t="n">
        <f aca="false">AVERAGE(C56:C85)</f>
        <v>2763554.53333333</v>
      </c>
      <c r="F85" s="3" t="s">
        <v>50</v>
      </c>
    </row>
    <row r="86" customFormat="false" ht="15.75" hidden="false" customHeight="true" outlineLevel="0" collapsed="false">
      <c r="A86" s="13" t="n">
        <v>45796</v>
      </c>
      <c r="B86" s="3" t="s">
        <v>46</v>
      </c>
      <c r="C86" s="4" t="n">
        <v>3477703</v>
      </c>
      <c r="D86" s="4" t="n">
        <f aca="false">AVERAGE(C80:C86)</f>
        <v>2892046.71428571</v>
      </c>
      <c r="E86" s="4" t="n">
        <f aca="false">AVERAGE(C57:C86)</f>
        <v>2827326.23333333</v>
      </c>
      <c r="F86" s="3" t="s">
        <v>41</v>
      </c>
    </row>
    <row r="87" customFormat="false" ht="15.75" hidden="false" customHeight="true" outlineLevel="0" collapsed="false">
      <c r="A87" s="13" t="n">
        <v>45797</v>
      </c>
      <c r="B87" s="3" t="s">
        <v>48</v>
      </c>
      <c r="C87" s="4" t="n">
        <v>3531332</v>
      </c>
      <c r="D87" s="4" t="n">
        <f aca="false">AVERAGE(C81:C87)</f>
        <v>2886657.85714286</v>
      </c>
      <c r="E87" s="4" t="n">
        <f aca="false">AVERAGE(C58:C87)</f>
        <v>2869203</v>
      </c>
      <c r="F87" s="3" t="s">
        <v>41</v>
      </c>
    </row>
    <row r="88" customFormat="false" ht="15.75" hidden="false" customHeight="true" outlineLevel="0" collapsed="false">
      <c r="A88" s="13" t="n">
        <v>45798</v>
      </c>
      <c r="B88" s="3" t="s">
        <v>40</v>
      </c>
      <c r="C88" s="4" t="n">
        <v>3323006</v>
      </c>
      <c r="D88" s="4" t="n">
        <f aca="false">AVERAGE(C82:C88)</f>
        <v>2823776.28571429</v>
      </c>
      <c r="E88" s="4" t="n">
        <f aca="false">AVERAGE(C59:C88)</f>
        <v>2874996.7</v>
      </c>
      <c r="F88" s="3" t="s">
        <v>41</v>
      </c>
    </row>
    <row r="89" customFormat="false" ht="15.75" hidden="false" customHeight="true" outlineLevel="0" collapsed="false">
      <c r="A89" s="13" t="n">
        <v>45799</v>
      </c>
      <c r="B89" s="3" t="s">
        <v>45</v>
      </c>
      <c r="C89" s="4" t="n">
        <v>3407862</v>
      </c>
      <c r="D89" s="4" t="n">
        <f aca="false">AVERAGE(C83:C89)</f>
        <v>2829934.71428571</v>
      </c>
      <c r="E89" s="4" t="n">
        <f aca="false">AVERAGE(C60:C89)</f>
        <v>2881792.1</v>
      </c>
      <c r="F89" s="3" t="s">
        <v>41</v>
      </c>
    </row>
    <row r="90" customFormat="false" ht="15.75" hidden="false" customHeight="true" outlineLevel="0" collapsed="false">
      <c r="A90" s="13" t="n">
        <v>45800</v>
      </c>
      <c r="B90" s="3" t="s">
        <v>47</v>
      </c>
      <c r="C90" s="4" t="n">
        <v>2029227</v>
      </c>
      <c r="D90" s="4" t="n">
        <f aca="false">AVERAGE(C84:C90)</f>
        <v>2827310.85714286</v>
      </c>
      <c r="E90" s="4" t="n">
        <f aca="false">AVERAGE(C61:C90)</f>
        <v>2844691.1</v>
      </c>
      <c r="F90" s="3" t="s">
        <v>41</v>
      </c>
    </row>
    <row r="91" customFormat="false" ht="15.75" hidden="false" customHeight="true" outlineLevel="0" collapsed="false">
      <c r="A91" s="13" t="n">
        <v>45801</v>
      </c>
      <c r="B91" s="3" t="s">
        <v>49</v>
      </c>
      <c r="C91" s="4" t="n">
        <v>1645436</v>
      </c>
      <c r="D91" s="4" t="n">
        <f aca="false">AVERAGE(C85:C91)</f>
        <v>2821902.71428571</v>
      </c>
      <c r="E91" s="4" t="n">
        <f aca="false">AVERAGE(C62:C91)</f>
        <v>2796959.9</v>
      </c>
      <c r="F91" s="3" t="s">
        <v>50</v>
      </c>
    </row>
    <row r="92" customFormat="false" ht="15.75" hidden="false" customHeight="true" outlineLevel="0" collapsed="false">
      <c r="A92" s="13" t="n">
        <v>45802</v>
      </c>
      <c r="B92" s="3" t="s">
        <v>51</v>
      </c>
      <c r="C92" s="4" t="n">
        <v>2170773</v>
      </c>
      <c r="D92" s="4" t="n">
        <f aca="false">AVERAGE(C86:C92)</f>
        <v>2797905.57142857</v>
      </c>
      <c r="E92" s="4" t="n">
        <f aca="false">AVERAGE(C63:C92)</f>
        <v>2796075.23333333</v>
      </c>
      <c r="F92" s="3" t="s">
        <v>50</v>
      </c>
    </row>
    <row r="93" customFormat="false" ht="15.75" hidden="false" customHeight="true" outlineLevel="0" collapsed="false">
      <c r="A93" s="13" t="n">
        <v>45803</v>
      </c>
      <c r="B93" s="3" t="s">
        <v>46</v>
      </c>
      <c r="C93" s="4" t="n">
        <v>1024258</v>
      </c>
      <c r="D93" s="4" t="n">
        <f aca="false">AVERAGE(C87:C93)</f>
        <v>2447413.42857143</v>
      </c>
      <c r="E93" s="4" t="n">
        <f aca="false">AVERAGE(C64:C93)</f>
        <v>2779552.66666667</v>
      </c>
      <c r="F93" s="3" t="s">
        <v>41</v>
      </c>
    </row>
    <row r="94" customFormat="false" ht="15.75" hidden="false" customHeight="true" outlineLevel="0" collapsed="false">
      <c r="A94" s="13" t="n">
        <v>45804</v>
      </c>
      <c r="B94" s="3" t="s">
        <v>48</v>
      </c>
      <c r="C94" s="4" t="n">
        <v>3506081</v>
      </c>
      <c r="D94" s="4" t="n">
        <f aca="false">AVERAGE(C88:C94)</f>
        <v>2443806.14285714</v>
      </c>
      <c r="E94" s="4" t="n">
        <f aca="false">AVERAGE(C65:C94)</f>
        <v>2820894.86666667</v>
      </c>
      <c r="F94" s="3" t="s">
        <v>41</v>
      </c>
    </row>
    <row r="95" customFormat="false" ht="15.75" hidden="false" customHeight="true" outlineLevel="0" collapsed="false">
      <c r="A95" s="13" t="n">
        <v>45805</v>
      </c>
      <c r="B95" s="3" t="s">
        <v>40</v>
      </c>
      <c r="C95" s="4" t="n">
        <v>3364858</v>
      </c>
      <c r="D95" s="4" t="n">
        <f aca="false">AVERAGE(C89:C95)</f>
        <v>2449785</v>
      </c>
      <c r="E95" s="4" t="n">
        <f aca="false">AVERAGE(C66:C95)</f>
        <v>2828425.4</v>
      </c>
      <c r="F95" s="3" t="s">
        <v>41</v>
      </c>
    </row>
    <row r="96" customFormat="false" ht="15.75" hidden="false" customHeight="true" outlineLevel="0" collapsed="false">
      <c r="A96" s="13" t="n">
        <v>45806</v>
      </c>
      <c r="B96" s="3" t="s">
        <v>45</v>
      </c>
      <c r="C96" s="4" t="n">
        <v>3493969</v>
      </c>
      <c r="D96" s="4" t="n">
        <f aca="false">AVERAGE(C90:C96)</f>
        <v>2462086</v>
      </c>
      <c r="E96" s="4" t="n">
        <f aca="false">AVERAGE(C67:C96)</f>
        <v>2831879.03333333</v>
      </c>
      <c r="F96" s="3" t="s">
        <v>41</v>
      </c>
    </row>
    <row r="97" customFormat="false" ht="15.75" hidden="false" customHeight="true" outlineLevel="0" collapsed="false">
      <c r="A97" s="13" t="n">
        <v>45807</v>
      </c>
      <c r="B97" s="3" t="s">
        <v>47</v>
      </c>
      <c r="C97" s="4" t="n">
        <v>2017393</v>
      </c>
      <c r="D97" s="4" t="n">
        <f aca="false">AVERAGE(C91:C97)</f>
        <v>2460395.42857143</v>
      </c>
      <c r="E97" s="4" t="n">
        <f aca="false">AVERAGE(C68:C97)</f>
        <v>2782332.93333333</v>
      </c>
      <c r="F97" s="3" t="s">
        <v>41</v>
      </c>
    </row>
    <row r="98" customFormat="false" ht="15.75" hidden="false" customHeight="true" outlineLevel="0" collapsed="false">
      <c r="A98" s="13" t="n">
        <v>45808</v>
      </c>
      <c r="B98" s="3" t="s">
        <v>49</v>
      </c>
      <c r="C98" s="4" t="n">
        <v>1685831</v>
      </c>
      <c r="D98" s="4" t="n">
        <f aca="false">AVERAGE(C92:C98)</f>
        <v>2466166.14285714</v>
      </c>
      <c r="E98" s="4" t="n">
        <f aca="false">AVERAGE(C69:C98)</f>
        <v>2723632.6</v>
      </c>
      <c r="F98" s="3" t="s">
        <v>50</v>
      </c>
    </row>
    <row r="99" customFormat="false" ht="15.75" hidden="false" customHeight="true" outlineLevel="0" collapsed="false">
      <c r="A99" s="13" t="n">
        <v>45809</v>
      </c>
      <c r="B99" s="3" t="s">
        <v>51</v>
      </c>
      <c r="C99" s="4" t="n">
        <v>2396076</v>
      </c>
      <c r="D99" s="4" t="n">
        <f aca="false">AVERAGE(C93:C99)</f>
        <v>2498352.28571429</v>
      </c>
      <c r="E99" s="4" t="n">
        <f aca="false">AVERAGE(C70:C99)</f>
        <v>2732551.53333333</v>
      </c>
      <c r="F99" s="3" t="s">
        <v>50</v>
      </c>
    </row>
    <row r="100" customFormat="false" ht="15.75" hidden="false" customHeight="true" outlineLevel="0" collapsed="false">
      <c r="A100" s="13" t="n">
        <v>45810</v>
      </c>
      <c r="B100" s="3" t="s">
        <v>46</v>
      </c>
      <c r="C100" s="4" t="n">
        <v>3429127</v>
      </c>
      <c r="D100" s="4" t="n">
        <f aca="false">AVERAGE(C94:C100)</f>
        <v>2841905</v>
      </c>
      <c r="E100" s="4" t="n">
        <f aca="false">AVERAGE(C71:C100)</f>
        <v>2793565.8</v>
      </c>
      <c r="F100" s="3" t="s">
        <v>41</v>
      </c>
    </row>
    <row r="101" customFormat="false" ht="15.75" hidden="false" customHeight="true" outlineLevel="0" collapsed="false">
      <c r="A101" s="13" t="n">
        <v>45811</v>
      </c>
      <c r="B101" s="3" t="s">
        <v>48</v>
      </c>
      <c r="C101" s="4" t="n">
        <v>3396590</v>
      </c>
      <c r="D101" s="4" t="n">
        <f aca="false">AVERAGE(C95:C101)</f>
        <v>2826263.42857143</v>
      </c>
      <c r="E101" s="4" t="n">
        <f aca="false">AVERAGE(C72:C101)</f>
        <v>2823198.06666667</v>
      </c>
      <c r="F101" s="3" t="s">
        <v>41</v>
      </c>
    </row>
    <row r="102" customFormat="false" ht="15.75" hidden="false" customHeight="true" outlineLevel="0" collapsed="false">
      <c r="A102" s="13" t="n">
        <v>45812</v>
      </c>
      <c r="B102" s="3" t="s">
        <v>40</v>
      </c>
      <c r="C102" s="4" t="n">
        <v>3369663</v>
      </c>
      <c r="D102" s="4" t="n">
        <f aca="false">AVERAGE(C96:C102)</f>
        <v>2826949.85714286</v>
      </c>
      <c r="E102" s="4" t="n">
        <f aca="false">AVERAGE(C73:C102)</f>
        <v>2820798.86666667</v>
      </c>
      <c r="F102" s="3" t="s">
        <v>41</v>
      </c>
    </row>
    <row r="103" customFormat="false" ht="15.75" hidden="false" customHeight="true" outlineLevel="0" collapsed="false">
      <c r="A103" s="13" t="n">
        <v>45813</v>
      </c>
      <c r="B103" s="3" t="s">
        <v>45</v>
      </c>
      <c r="C103" s="4" t="n">
        <v>3426213</v>
      </c>
      <c r="D103" s="4" t="n">
        <f aca="false">AVERAGE(C97:C103)</f>
        <v>2817270.42857143</v>
      </c>
      <c r="E103" s="4" t="n">
        <f aca="false">AVERAGE(C74:C103)</f>
        <v>2818964.43333333</v>
      </c>
      <c r="F103" s="3" t="s">
        <v>41</v>
      </c>
    </row>
    <row r="104" customFormat="false" ht="15.75" hidden="false" customHeight="true" outlineLevel="0" collapsed="false">
      <c r="A104" s="13" t="n">
        <v>45814</v>
      </c>
      <c r="B104" s="3" t="s">
        <v>47</v>
      </c>
      <c r="C104" s="4" t="n">
        <v>2049880</v>
      </c>
      <c r="D104" s="4" t="n">
        <f aca="false">AVERAGE(C98:C104)</f>
        <v>2821911.42857143</v>
      </c>
      <c r="E104" s="4" t="n">
        <f aca="false">AVERAGE(C75:C104)</f>
        <v>2768832.83333333</v>
      </c>
      <c r="F104" s="3" t="s">
        <v>41</v>
      </c>
    </row>
    <row r="105" customFormat="false" ht="15.75" hidden="false" customHeight="true" outlineLevel="0" collapsed="false">
      <c r="A105" s="13" t="n">
        <v>45815</v>
      </c>
      <c r="B105" s="3" t="s">
        <v>49</v>
      </c>
      <c r="C105" s="4" t="n">
        <v>1640418</v>
      </c>
      <c r="D105" s="4" t="n">
        <f aca="false">AVERAGE(C99:C105)</f>
        <v>2815423.85714286</v>
      </c>
      <c r="E105" s="4" t="n">
        <f aca="false">AVERAGE(C76:C105)</f>
        <v>2698596.6</v>
      </c>
      <c r="F105" s="3" t="s">
        <v>50</v>
      </c>
    </row>
    <row r="106" customFormat="false" ht="15.75" hidden="false" customHeight="true" outlineLevel="0" collapsed="false">
      <c r="A106" s="13" t="n">
        <v>45816</v>
      </c>
      <c r="B106" s="3" t="s">
        <v>51</v>
      </c>
      <c r="C106" s="4" t="n">
        <v>2369031</v>
      </c>
      <c r="D106" s="4" t="n">
        <f aca="false">AVERAGE(C100:C106)</f>
        <v>2811560.28571429</v>
      </c>
      <c r="E106" s="4" t="n">
        <f aca="false">AVERAGE(C77:C106)</f>
        <v>2696569.16666667</v>
      </c>
      <c r="F106" s="3" t="s">
        <v>50</v>
      </c>
    </row>
    <row r="107" customFormat="false" ht="15.75" hidden="false" customHeight="true" outlineLevel="0" collapsed="false">
      <c r="A107" s="13" t="n">
        <v>45817</v>
      </c>
      <c r="B107" s="3" t="s">
        <v>46</v>
      </c>
      <c r="C107" s="4" t="n">
        <v>3479225</v>
      </c>
      <c r="D107" s="4" t="n">
        <f aca="false">AVERAGE(C101:C107)</f>
        <v>2818717.14285714</v>
      </c>
      <c r="E107" s="4" t="n">
        <f aca="false">AVERAGE(C78:C107)</f>
        <v>2759171.73333333</v>
      </c>
      <c r="F107" s="3" t="s">
        <v>41</v>
      </c>
    </row>
    <row r="108" customFormat="false" ht="15.75" hidden="false" customHeight="true" outlineLevel="0" collapsed="false">
      <c r="A108" s="13" t="n">
        <v>45818</v>
      </c>
      <c r="B108" s="3" t="s">
        <v>48</v>
      </c>
      <c r="C108" s="4" t="n">
        <v>3317487</v>
      </c>
      <c r="D108" s="4" t="n">
        <f aca="false">AVERAGE(C102:C108)</f>
        <v>2807416.71428571</v>
      </c>
      <c r="E108" s="4" t="n">
        <f aca="false">AVERAGE(C79:C108)</f>
        <v>2794345.73333333</v>
      </c>
      <c r="F108" s="3" t="s">
        <v>41</v>
      </c>
    </row>
    <row r="109" customFormat="false" ht="15.75" hidden="false" customHeight="true" outlineLevel="0" collapsed="false">
      <c r="A109" s="13" t="n">
        <v>45819</v>
      </c>
      <c r="B109" s="3" t="s">
        <v>40</v>
      </c>
      <c r="C109" s="4" t="n">
        <v>3401605</v>
      </c>
      <c r="D109" s="4" t="n">
        <f aca="false">AVERAGE(C103:C109)</f>
        <v>2811979.85714286</v>
      </c>
      <c r="E109" s="4" t="n">
        <f aca="false">AVERAGE(C80:C109)</f>
        <v>2790655.6</v>
      </c>
      <c r="F109" s="3" t="s">
        <v>41</v>
      </c>
    </row>
    <row r="110" customFormat="false" ht="15.75" hidden="false" customHeight="true" outlineLevel="0" collapsed="false">
      <c r="A110" s="13" t="n">
        <v>45820</v>
      </c>
      <c r="B110" s="3" t="s">
        <v>45</v>
      </c>
      <c r="C110" s="4" t="n">
        <v>3079232</v>
      </c>
      <c r="D110" s="4" t="n">
        <f aca="false">AVERAGE(C104:C110)</f>
        <v>2762411.14285714</v>
      </c>
      <c r="E110" s="4" t="n">
        <f aca="false">AVERAGE(C81:C110)</f>
        <v>2774328.2</v>
      </c>
      <c r="F110" s="3" t="s">
        <v>41</v>
      </c>
    </row>
    <row r="111" customFormat="false" ht="15.75" hidden="false" customHeight="true" outlineLevel="0" collapsed="false">
      <c r="A111" s="13" t="n">
        <v>45821</v>
      </c>
      <c r="B111" s="3" t="s">
        <v>47</v>
      </c>
      <c r="C111" s="4" t="n">
        <v>1930308</v>
      </c>
      <c r="D111" s="4" t="n">
        <f aca="false">AVERAGE(C105:C111)</f>
        <v>2745329.42857143</v>
      </c>
      <c r="E111" s="4" t="n">
        <f aca="false">AVERAGE(C82:C111)</f>
        <v>2713232.56666667</v>
      </c>
      <c r="F111" s="3" t="s">
        <v>41</v>
      </c>
    </row>
    <row r="112" customFormat="false" ht="15.75" hidden="false" customHeight="true" outlineLevel="0" collapsed="false">
      <c r="A112" s="13" t="n">
        <v>45822</v>
      </c>
      <c r="B112" s="3" t="s">
        <v>49</v>
      </c>
      <c r="C112" s="4" t="n">
        <v>1609971</v>
      </c>
      <c r="D112" s="4" t="n">
        <f aca="false">AVERAGE(C106:C112)</f>
        <v>2740979.85714286</v>
      </c>
      <c r="E112" s="4" t="n">
        <f aca="false">AVERAGE(C83:C112)</f>
        <v>2654739.83333333</v>
      </c>
      <c r="F112" s="3" t="s">
        <v>50</v>
      </c>
    </row>
    <row r="113" customFormat="false" ht="15.75" hidden="false" customHeight="true" outlineLevel="0" collapsed="false">
      <c r="A113" s="13" t="n">
        <v>45823</v>
      </c>
      <c r="B113" s="3" t="s">
        <v>51</v>
      </c>
      <c r="C113" s="4" t="n">
        <v>2246232</v>
      </c>
      <c r="D113" s="4" t="n">
        <f aca="false">AVERAGE(C107:C113)</f>
        <v>2723437.14285714</v>
      </c>
      <c r="E113" s="4" t="n">
        <f aca="false">AVERAGE(C84:C113)</f>
        <v>2661361.1</v>
      </c>
      <c r="F113" s="3" t="s">
        <v>50</v>
      </c>
    </row>
    <row r="114" customFormat="false" ht="15.75" hidden="false" customHeight="true" outlineLevel="0" collapsed="false">
      <c r="A114" s="13" t="n">
        <v>45824</v>
      </c>
      <c r="B114" s="3" t="s">
        <v>46</v>
      </c>
      <c r="C114" s="4" t="n">
        <v>3146224</v>
      </c>
      <c r="D114" s="4" t="n">
        <f aca="false">AVERAGE(C108:C114)</f>
        <v>2675865.57142857</v>
      </c>
      <c r="E114" s="4" t="n">
        <f aca="false">AVERAGE(C85:C114)</f>
        <v>2710125.46666667</v>
      </c>
      <c r="F114" s="3" t="s">
        <v>41</v>
      </c>
    </row>
    <row r="115" customFormat="false" ht="15.75" hidden="false" customHeight="true" outlineLevel="0" collapsed="false">
      <c r="A115" s="13" t="n">
        <v>45825</v>
      </c>
      <c r="B115" s="3" t="s">
        <v>48</v>
      </c>
      <c r="C115" s="4" t="n">
        <v>3367771</v>
      </c>
      <c r="D115" s="4" t="n">
        <f aca="false">AVERAGE(C109:C115)</f>
        <v>2683049</v>
      </c>
      <c r="E115" s="4" t="n">
        <f aca="false">AVERAGE(C86:C115)</f>
        <v>2744426.06666667</v>
      </c>
      <c r="F115" s="3" t="s">
        <v>41</v>
      </c>
    </row>
    <row r="116" customFormat="false" ht="15.75" hidden="false" customHeight="true" outlineLevel="0" collapsed="false">
      <c r="A116" s="13" t="n">
        <v>45826</v>
      </c>
      <c r="B116" s="3" t="s">
        <v>40</v>
      </c>
      <c r="C116" s="4" t="n">
        <v>3194270</v>
      </c>
      <c r="D116" s="4" t="n">
        <f aca="false">AVERAGE(C110:C116)</f>
        <v>2653429.71428571</v>
      </c>
      <c r="E116" s="4" t="n">
        <f aca="false">AVERAGE(C87:C116)</f>
        <v>2734978.3</v>
      </c>
      <c r="F116" s="3" t="s">
        <v>41</v>
      </c>
    </row>
    <row r="117" customFormat="false" ht="15.75" hidden="false" customHeight="true" outlineLevel="0" collapsed="false">
      <c r="A117" s="13" t="n">
        <v>45827</v>
      </c>
      <c r="B117" s="3" t="s">
        <v>45</v>
      </c>
      <c r="C117" s="4" t="n">
        <v>3103713</v>
      </c>
      <c r="D117" s="4" t="n">
        <f aca="false">AVERAGE(C111:C117)</f>
        <v>2656927</v>
      </c>
      <c r="E117" s="4" t="n">
        <f aca="false">AVERAGE(C88:C117)</f>
        <v>2720724.33333333</v>
      </c>
      <c r="F117" s="3" t="s">
        <v>41</v>
      </c>
    </row>
    <row r="118" customFormat="false" ht="15.75" hidden="false" customHeight="true" outlineLevel="0" collapsed="false">
      <c r="A118" s="13" t="n">
        <v>45828</v>
      </c>
      <c r="B118" s="3" t="s">
        <v>47</v>
      </c>
      <c r="C118" s="4" t="n">
        <v>1720192</v>
      </c>
      <c r="D118" s="4" t="n">
        <f aca="false">AVERAGE(C112:C118)</f>
        <v>2626910.42857143</v>
      </c>
      <c r="E118" s="4" t="n">
        <f aca="false">AVERAGE(C89:C118)</f>
        <v>2667297.2</v>
      </c>
      <c r="F118" s="3" t="s">
        <v>41</v>
      </c>
    </row>
    <row r="119" customFormat="false" ht="15.75" hidden="false" customHeight="true" outlineLevel="0" collapsed="false">
      <c r="A119" s="13" t="n">
        <v>45829</v>
      </c>
      <c r="B119" s="3" t="s">
        <v>49</v>
      </c>
      <c r="C119" s="4" t="n">
        <v>1559881</v>
      </c>
      <c r="D119" s="4" t="n">
        <f aca="false">AVERAGE(C113:C119)</f>
        <v>2619754.71428571</v>
      </c>
      <c r="E119" s="4" t="n">
        <f aca="false">AVERAGE(C90:C119)</f>
        <v>2605697.83333333</v>
      </c>
      <c r="F119" s="3" t="s">
        <v>50</v>
      </c>
    </row>
    <row r="120" customFormat="false" ht="15.75" hidden="false" customHeight="true" outlineLevel="0" collapsed="false">
      <c r="A120" s="13" t="n">
        <v>45830</v>
      </c>
      <c r="B120" s="3" t="s">
        <v>51</v>
      </c>
      <c r="C120" s="4" t="n">
        <v>2295462</v>
      </c>
      <c r="D120" s="4" t="n">
        <f aca="false">AVERAGE(C114:C120)</f>
        <v>2626787.57142857</v>
      </c>
      <c r="E120" s="4" t="n">
        <f aca="false">AVERAGE(C91:C120)</f>
        <v>2614572.33333333</v>
      </c>
      <c r="F120" s="3" t="s">
        <v>50</v>
      </c>
    </row>
    <row r="121" customFormat="false" ht="15.75" hidden="false" customHeight="true" outlineLevel="0" collapsed="false">
      <c r="A121" s="13" t="n">
        <v>45831</v>
      </c>
      <c r="B121" s="3" t="s">
        <v>46</v>
      </c>
      <c r="C121" s="4" t="n">
        <v>3166579</v>
      </c>
      <c r="D121" s="4" t="n">
        <f aca="false">AVERAGE(C115:C121)</f>
        <v>2629695.42857143</v>
      </c>
      <c r="E121" s="4" t="n">
        <f aca="false">AVERAGE(C92:C121)</f>
        <v>2665277.1</v>
      </c>
      <c r="F121" s="3" t="s">
        <v>41</v>
      </c>
    </row>
    <row r="122" customFormat="false" ht="15.75" hidden="false" customHeight="true" outlineLevel="0" collapsed="false">
      <c r="A122" s="13" t="n">
        <v>45832</v>
      </c>
      <c r="B122" s="3" t="s">
        <v>48</v>
      </c>
      <c r="C122" s="4" t="n">
        <v>3205898</v>
      </c>
      <c r="D122" s="4" t="n">
        <f aca="false">AVERAGE(C116:C122)</f>
        <v>2606570.71428571</v>
      </c>
      <c r="E122" s="4" t="n">
        <f aca="false">AVERAGE(C93:C122)</f>
        <v>2699781.26666667</v>
      </c>
      <c r="F122" s="3" t="s">
        <v>41</v>
      </c>
    </row>
    <row r="123" customFormat="false" ht="15.75" hidden="false" customHeight="true" outlineLevel="0" collapsed="false">
      <c r="A123" s="13" t="n">
        <v>45833</v>
      </c>
      <c r="B123" s="3" t="s">
        <v>40</v>
      </c>
      <c r="C123" s="4" t="n">
        <v>3146672</v>
      </c>
      <c r="D123" s="4" t="n">
        <f aca="false">AVERAGE(C117:C123)</f>
        <v>2599771</v>
      </c>
      <c r="E123" s="4" t="n">
        <f aca="false">AVERAGE(C94:C123)</f>
        <v>2770528.4</v>
      </c>
      <c r="F123" s="3" t="s">
        <v>41</v>
      </c>
    </row>
    <row r="124" customFormat="false" ht="15.75" hidden="false" customHeight="true" outlineLevel="0" collapsed="false">
      <c r="A124" s="13" t="n">
        <v>45834</v>
      </c>
      <c r="B124" s="3" t="s">
        <v>45</v>
      </c>
      <c r="C124" s="4" t="n">
        <v>3066184</v>
      </c>
      <c r="D124" s="4" t="n">
        <f aca="false">AVERAGE(C118:C124)</f>
        <v>2594409.71428571</v>
      </c>
      <c r="E124" s="4" t="n">
        <f aca="false">AVERAGE(C95:C124)</f>
        <v>2755865.16666667</v>
      </c>
      <c r="F124" s="3" t="s">
        <v>41</v>
      </c>
    </row>
    <row r="125" customFormat="false" ht="15.75" hidden="false" customHeight="true" outlineLevel="0" collapsed="false">
      <c r="A125" s="13" t="n">
        <v>45835</v>
      </c>
      <c r="B125" s="3" t="s">
        <v>47</v>
      </c>
      <c r="C125" s="4" t="n">
        <v>1838802</v>
      </c>
      <c r="D125" s="4" t="n">
        <f aca="false">AVERAGE(C119:C125)</f>
        <v>2611354</v>
      </c>
      <c r="E125" s="4" t="n">
        <f aca="false">AVERAGE(C96:C125)</f>
        <v>2704996.63333333</v>
      </c>
      <c r="F125" s="3" t="s">
        <v>41</v>
      </c>
    </row>
    <row r="126" customFormat="false" ht="15.75" hidden="false" customHeight="true" outlineLevel="0" collapsed="false">
      <c r="A126" s="13" t="n">
        <v>45836</v>
      </c>
      <c r="B126" s="3" t="s">
        <v>49</v>
      </c>
      <c r="C126" s="4" t="n">
        <v>1483684</v>
      </c>
      <c r="D126" s="4" t="n">
        <f aca="false">AVERAGE(C120:C126)</f>
        <v>2600468.71428571</v>
      </c>
      <c r="E126" s="4" t="n">
        <f aca="false">AVERAGE(C97:C126)</f>
        <v>2637987.13333333</v>
      </c>
      <c r="F126" s="3" t="s">
        <v>50</v>
      </c>
    </row>
    <row r="127" customFormat="false" ht="15.75" hidden="false" customHeight="true" outlineLevel="0" collapsed="false">
      <c r="A127" s="13" t="n">
        <v>45837</v>
      </c>
      <c r="B127" s="3" t="s">
        <v>51</v>
      </c>
      <c r="C127" s="4" t="n">
        <v>2422056</v>
      </c>
      <c r="D127" s="4" t="n">
        <f aca="false">AVERAGE(C121:C127)</f>
        <v>2618553.57142857</v>
      </c>
      <c r="E127" s="4" t="n">
        <f aca="false">AVERAGE(C98:C127)</f>
        <v>2651475.9</v>
      </c>
      <c r="F127" s="3" t="s">
        <v>50</v>
      </c>
    </row>
    <row r="128" customFormat="false" ht="15.75" hidden="false" customHeight="true" outlineLevel="0" collapsed="false">
      <c r="A128" s="13" t="n">
        <v>45838</v>
      </c>
      <c r="B128" s="3" t="s">
        <v>46</v>
      </c>
      <c r="C128" s="4" t="n">
        <v>3178671</v>
      </c>
      <c r="D128" s="4" t="n">
        <f aca="false">AVERAGE(C122:C128)</f>
        <v>2620281</v>
      </c>
      <c r="E128" s="4" t="n">
        <f aca="false">AVERAGE(C99:C128)</f>
        <v>2701237.23333333</v>
      </c>
      <c r="F128" s="3" t="s">
        <v>41</v>
      </c>
    </row>
    <row r="129" customFormat="false" ht="15.75" hidden="false" customHeight="true" outlineLevel="0" collapsed="false">
      <c r="A129" s="13" t="n">
        <v>45839</v>
      </c>
      <c r="B129" s="3" t="s">
        <v>48</v>
      </c>
      <c r="C129" s="4" t="n">
        <v>3151641</v>
      </c>
      <c r="D129" s="4" t="n">
        <f aca="false">AVERAGE(C123:C129)</f>
        <v>2612530</v>
      </c>
      <c r="E129" s="4" t="n">
        <f aca="false">AVERAGE(C100:C129)</f>
        <v>2726422.73333333</v>
      </c>
      <c r="F129" s="3" t="s">
        <v>41</v>
      </c>
    </row>
    <row r="130" customFormat="false" ht="15.75" hidden="false" customHeight="true" outlineLevel="0" collapsed="false">
      <c r="A130" s="13" t="n">
        <v>45840</v>
      </c>
      <c r="B130" s="3" t="s">
        <v>40</v>
      </c>
      <c r="C130" s="4" t="n">
        <v>3122476</v>
      </c>
      <c r="D130" s="4" t="n">
        <f aca="false">AVERAGE(C124:C130)</f>
        <v>2609073.42857143</v>
      </c>
      <c r="E130" s="4" t="n">
        <f aca="false">AVERAGE(C101:C130)</f>
        <v>2716201.03333333</v>
      </c>
      <c r="F130" s="3" t="s">
        <v>41</v>
      </c>
    </row>
    <row r="131" customFormat="false" ht="15.75" hidden="false" customHeight="true" outlineLevel="0" collapsed="false">
      <c r="A131" s="13" t="n">
        <v>45841</v>
      </c>
      <c r="B131" s="3" t="s">
        <v>45</v>
      </c>
      <c r="C131" s="4" t="n">
        <v>2804700</v>
      </c>
      <c r="D131" s="4" t="n">
        <f aca="false">AVERAGE(C125:C131)</f>
        <v>2571718.57142857</v>
      </c>
      <c r="E131" s="4" t="n">
        <f aca="false">AVERAGE(C102:C131)</f>
        <v>2696471.36666667</v>
      </c>
      <c r="F131" s="3" t="s">
        <v>41</v>
      </c>
    </row>
    <row r="132" customFormat="false" ht="15.75" hidden="false" customHeight="true" outlineLevel="0" collapsed="false">
      <c r="A132" s="13" t="n">
        <v>45842</v>
      </c>
      <c r="B132" s="3" t="s">
        <v>47</v>
      </c>
      <c r="C132" s="4" t="n">
        <v>1166657</v>
      </c>
      <c r="D132" s="4" t="n">
        <f aca="false">AVERAGE(C126:C132)</f>
        <v>2475697.85714286</v>
      </c>
      <c r="E132" s="4" t="n">
        <f aca="false">AVERAGE(C103:C132)</f>
        <v>2623037.83333333</v>
      </c>
      <c r="F132" s="3" t="s">
        <v>41</v>
      </c>
    </row>
    <row r="133" customFormat="false" ht="15.75" hidden="false" customHeight="true" outlineLevel="0" collapsed="false">
      <c r="A133" s="13" t="n">
        <v>45843</v>
      </c>
      <c r="B133" s="3" t="s">
        <v>49</v>
      </c>
      <c r="C133" s="4" t="n">
        <v>1627139</v>
      </c>
      <c r="D133" s="4" t="n">
        <f aca="false">AVERAGE(C127:C133)</f>
        <v>2496191.42857143</v>
      </c>
      <c r="E133" s="4" t="n">
        <f aca="false">AVERAGE(C104:C133)</f>
        <v>2563068.7</v>
      </c>
      <c r="F133" s="3" t="s">
        <v>50</v>
      </c>
    </row>
    <row r="134" customFormat="false" ht="15.75" hidden="false" customHeight="true" outlineLevel="0" collapsed="false">
      <c r="A134" s="13" t="n">
        <v>45844</v>
      </c>
      <c r="B134" s="3" t="s">
        <v>51</v>
      </c>
      <c r="C134" s="4" t="n">
        <v>2018642</v>
      </c>
      <c r="D134" s="4" t="n">
        <f aca="false">AVERAGE(C128:C134)</f>
        <v>2438560.85714286</v>
      </c>
      <c r="E134" s="4" t="n">
        <f aca="false">AVERAGE(C105:C134)</f>
        <v>2562027.43333333</v>
      </c>
      <c r="F134" s="3" t="s">
        <v>50</v>
      </c>
    </row>
    <row r="135" customFormat="false" ht="15.75" hidden="false" customHeight="true" outlineLevel="0" collapsed="false">
      <c r="A135" s="13" t="n">
        <v>45845</v>
      </c>
      <c r="B135" s="3" t="s">
        <v>46</v>
      </c>
      <c r="C135" s="4" t="n">
        <v>3169610</v>
      </c>
      <c r="D135" s="4" t="n">
        <f aca="false">AVERAGE(C129:C135)</f>
        <v>2437266.42857143</v>
      </c>
      <c r="E135" s="4" t="n">
        <f aca="false">AVERAGE(C106:C135)</f>
        <v>2613000.5</v>
      </c>
      <c r="F135" s="3" t="s">
        <v>41</v>
      </c>
    </row>
    <row r="136" customFormat="false" ht="15.75" hidden="false" customHeight="true" outlineLevel="0" collapsed="false">
      <c r="A136" s="13" t="n">
        <v>45846</v>
      </c>
      <c r="B136" s="3" t="s">
        <v>48</v>
      </c>
      <c r="C136" s="4" t="n">
        <v>3573411</v>
      </c>
      <c r="D136" s="4" t="n">
        <f aca="false">AVERAGE(C130:C136)</f>
        <v>2497519.28571429</v>
      </c>
      <c r="E136" s="4" t="n">
        <f aca="false">AVERAGE(C107:C136)</f>
        <v>2653146.5</v>
      </c>
      <c r="F136" s="3" t="s">
        <v>41</v>
      </c>
    </row>
    <row r="137" customFormat="false" ht="15.75" hidden="false" customHeight="true" outlineLevel="0" collapsed="false">
      <c r="A137" s="13" t="n">
        <v>45847</v>
      </c>
      <c r="B137" s="3" t="s">
        <v>40</v>
      </c>
      <c r="C137" s="4" t="n">
        <v>3088038</v>
      </c>
      <c r="D137" s="4" t="n">
        <f aca="false">AVERAGE(C131:C137)</f>
        <v>2492599.57142857</v>
      </c>
      <c r="E137" s="4" t="n">
        <f aca="false">AVERAGE(C108:C137)</f>
        <v>2640106.93333333</v>
      </c>
      <c r="F137" s="3" t="s">
        <v>41</v>
      </c>
    </row>
    <row r="138" customFormat="false" ht="15.75" hidden="false" customHeight="true" outlineLevel="0" collapsed="false">
      <c r="A138" s="13" t="n">
        <v>45848</v>
      </c>
      <c r="B138" s="3" t="s">
        <v>45</v>
      </c>
      <c r="C138" s="4" t="n">
        <v>2977961</v>
      </c>
      <c r="D138" s="4" t="n">
        <f aca="false">AVERAGE(C132:C138)</f>
        <v>2517351.14285714</v>
      </c>
      <c r="E138" s="4" t="n">
        <f aca="false">AVERAGE(C109:C138)</f>
        <v>2628789.4</v>
      </c>
      <c r="F138" s="3" t="s">
        <v>41</v>
      </c>
    </row>
    <row r="139" customFormat="false" ht="15.75" hidden="false" customHeight="true" outlineLevel="0" collapsed="false">
      <c r="A139" s="13" t="n">
        <v>45849</v>
      </c>
      <c r="B139" s="3" t="s">
        <v>47</v>
      </c>
      <c r="C139" s="4" t="n">
        <v>1698839</v>
      </c>
      <c r="D139" s="4" t="n">
        <f aca="false">AVERAGE(C133:C139)</f>
        <v>2593377.14285714</v>
      </c>
      <c r="E139" s="4" t="n">
        <f aca="false">AVERAGE(C110:C139)</f>
        <v>2572030.53333333</v>
      </c>
      <c r="F139" s="3" t="s">
        <v>41</v>
      </c>
    </row>
    <row r="140" customFormat="false" ht="15.75" hidden="false" customHeight="true" outlineLevel="0" collapsed="false">
      <c r="A140" s="13" t="n">
        <v>45850</v>
      </c>
      <c r="B140" s="3" t="s">
        <v>49</v>
      </c>
      <c r="C140" s="4" t="n">
        <v>1580710</v>
      </c>
      <c r="D140" s="4" t="n">
        <f aca="false">AVERAGE(C134:C140)</f>
        <v>2586744.42857143</v>
      </c>
      <c r="E140" s="4" t="n">
        <f aca="false">AVERAGE(C111:C140)</f>
        <v>2522079.8</v>
      </c>
      <c r="F140" s="3" t="s">
        <v>50</v>
      </c>
    </row>
    <row r="141" customFormat="false" ht="15.75" hidden="false" customHeight="true" outlineLevel="0" collapsed="false">
      <c r="A141" s="13" t="n">
        <v>45851</v>
      </c>
      <c r="B141" s="3" t="s">
        <v>51</v>
      </c>
      <c r="C141" s="4" t="n">
        <v>2356403</v>
      </c>
      <c r="D141" s="4" t="n">
        <f aca="false">AVERAGE(C135:C141)</f>
        <v>2634996</v>
      </c>
      <c r="E141" s="4" t="n">
        <f aca="false">AVERAGE(C112:C141)</f>
        <v>2536282.96666667</v>
      </c>
      <c r="F141" s="3" t="s">
        <v>50</v>
      </c>
    </row>
    <row r="142" customFormat="false" ht="15.75" hidden="false" customHeight="true" outlineLevel="0" collapsed="false">
      <c r="A142" s="13" t="n">
        <v>45852</v>
      </c>
      <c r="B142" s="3" t="s">
        <v>46</v>
      </c>
      <c r="C142" s="4" t="n">
        <v>3272340</v>
      </c>
      <c r="D142" s="4" t="n">
        <f aca="false">AVERAGE(C136:C142)</f>
        <v>2649671.71428571</v>
      </c>
      <c r="E142" s="4" t="n">
        <f aca="false">AVERAGE(C113:C142)</f>
        <v>2591695.26666667</v>
      </c>
      <c r="F142" s="3" t="s">
        <v>41</v>
      </c>
    </row>
    <row r="143" customFormat="false" ht="15.75" hidden="false" customHeight="true" outlineLevel="0" collapsed="false">
      <c r="A143" s="13" t="n">
        <v>45853</v>
      </c>
      <c r="B143" s="3" t="s">
        <v>48</v>
      </c>
      <c r="C143" s="4" t="n">
        <v>3309799</v>
      </c>
      <c r="D143" s="4" t="n">
        <f aca="false">AVERAGE(C137:C143)</f>
        <v>2612012.85714286</v>
      </c>
      <c r="E143" s="4" t="n">
        <f aca="false">AVERAGE(C114:C143)</f>
        <v>2627147.5</v>
      </c>
      <c r="F143" s="3" t="s">
        <v>41</v>
      </c>
    </row>
    <row r="144" customFormat="false" ht="15.75" hidden="false" customHeight="true" outlineLevel="0" collapsed="false">
      <c r="A144" s="13" t="n">
        <v>45854</v>
      </c>
      <c r="B144" s="3" t="s">
        <v>40</v>
      </c>
      <c r="C144" s="4" t="n">
        <v>3113333</v>
      </c>
      <c r="D144" s="4" t="n">
        <f aca="false">AVERAGE(C138:C144)</f>
        <v>2615626.42857143</v>
      </c>
      <c r="E144" s="4" t="n">
        <f aca="false">AVERAGE(C115:C144)</f>
        <v>2626051.13333333</v>
      </c>
      <c r="F144" s="3" t="s">
        <v>41</v>
      </c>
    </row>
    <row r="145" customFormat="false" ht="15.75" hidden="false" customHeight="true" outlineLevel="0" collapsed="false">
      <c r="A145" s="13" t="n">
        <v>45855</v>
      </c>
      <c r="B145" s="3" t="s">
        <v>45</v>
      </c>
      <c r="C145" s="4" t="n">
        <v>3053138</v>
      </c>
      <c r="D145" s="4" t="n">
        <f aca="false">AVERAGE(C139:C145)</f>
        <v>2626366</v>
      </c>
      <c r="E145" s="4" t="n">
        <f aca="false">AVERAGE(C116:C145)</f>
        <v>2615563.36666667</v>
      </c>
      <c r="F145" s="3" t="s">
        <v>41</v>
      </c>
    </row>
    <row r="146" customFormat="false" ht="15.75" hidden="false" customHeight="true" outlineLevel="0" collapsed="false">
      <c r="A146" s="13" t="n">
        <v>45856</v>
      </c>
      <c r="B146" s="3" t="s">
        <v>47</v>
      </c>
      <c r="C146" s="4" t="n">
        <v>1791622</v>
      </c>
      <c r="D146" s="4" t="n">
        <f aca="false">AVERAGE(C140:C146)</f>
        <v>2639620.71428571</v>
      </c>
      <c r="E146" s="4" t="n">
        <f aca="false">AVERAGE(C117:C146)</f>
        <v>2568808.43333333</v>
      </c>
      <c r="F146" s="3" t="s">
        <v>41</v>
      </c>
    </row>
    <row r="147" customFormat="false" ht="15.75" hidden="false" customHeight="true" outlineLevel="0" collapsed="false">
      <c r="A147" s="13" t="n">
        <v>45857</v>
      </c>
      <c r="B147" s="3" t="s">
        <v>49</v>
      </c>
      <c r="C147" s="4" t="n">
        <v>1433656</v>
      </c>
      <c r="D147" s="4" t="n">
        <f aca="false">AVERAGE(C141:C147)</f>
        <v>2618613</v>
      </c>
      <c r="E147" s="4" t="n">
        <f aca="false">AVERAGE(C118:C147)</f>
        <v>2513139.86666667</v>
      </c>
      <c r="F147" s="3" t="s">
        <v>50</v>
      </c>
    </row>
    <row r="148" customFormat="false" ht="15.75" hidden="false" customHeight="true" outlineLevel="0" collapsed="false">
      <c r="A148" s="13" t="n">
        <v>45858</v>
      </c>
      <c r="B148" s="3" t="s">
        <v>51</v>
      </c>
      <c r="C148" s="4" t="n">
        <v>2292707</v>
      </c>
      <c r="D148" s="4" t="n">
        <f aca="false">AVERAGE(C142:C148)</f>
        <v>2609513.57142857</v>
      </c>
      <c r="E148" s="4" t="n">
        <f aca="false">AVERAGE(C119:C148)</f>
        <v>2532223.7</v>
      </c>
      <c r="F148" s="3" t="s">
        <v>50</v>
      </c>
    </row>
    <row r="149" customFormat="false" ht="15.75" hidden="false" customHeight="true" outlineLevel="0" collapsed="false">
      <c r="A149" s="13" t="n">
        <v>45859</v>
      </c>
      <c r="B149" s="3" t="s">
        <v>46</v>
      </c>
      <c r="C149" s="4" t="n">
        <v>3178201</v>
      </c>
      <c r="D149" s="4" t="n">
        <f aca="false">AVERAGE(C143:C149)</f>
        <v>2596065.14285714</v>
      </c>
      <c r="E149" s="4" t="n">
        <f aca="false">AVERAGE(C120:C149)</f>
        <v>2586167.7</v>
      </c>
      <c r="F149" s="3" t="s">
        <v>41</v>
      </c>
    </row>
    <row r="150" customFormat="false" ht="15.75" hidden="false" customHeight="true" outlineLevel="0" collapsed="false">
      <c r="A150" s="13" t="n">
        <v>45860</v>
      </c>
      <c r="B150" s="3" t="s">
        <v>48</v>
      </c>
      <c r="C150" s="4" t="n">
        <v>3117630</v>
      </c>
      <c r="D150" s="4" t="n">
        <f aca="false">AVERAGE(C144:C150)</f>
        <v>2568612.42857143</v>
      </c>
      <c r="E150" s="4" t="n">
        <f aca="false">AVERAGE(C121:C150)</f>
        <v>2613573.3</v>
      </c>
      <c r="F150" s="3" t="s">
        <v>41</v>
      </c>
    </row>
    <row r="151" customFormat="false" ht="15.75" hidden="false" customHeight="true" outlineLevel="0" collapsed="false">
      <c r="A151" s="13" t="n">
        <v>45861</v>
      </c>
      <c r="B151" s="3" t="s">
        <v>40</v>
      </c>
      <c r="C151" s="4" t="n">
        <v>3120125</v>
      </c>
      <c r="D151" s="4" t="n">
        <f aca="false">AVERAGE(C145:C151)</f>
        <v>2569582.71428571</v>
      </c>
      <c r="E151" s="4" t="n">
        <f aca="false">AVERAGE(C122:C151)</f>
        <v>2612024.83333333</v>
      </c>
      <c r="F151" s="3" t="s">
        <v>41</v>
      </c>
    </row>
    <row r="152" customFormat="false" ht="15.75" hidden="false" customHeight="true" outlineLevel="0" collapsed="false">
      <c r="A152" s="13" t="n">
        <v>45862</v>
      </c>
      <c r="B152" s="3" t="s">
        <v>45</v>
      </c>
      <c r="C152" s="4" t="n">
        <v>3105297</v>
      </c>
      <c r="D152" s="4" t="n">
        <f aca="false">AVERAGE(C146:C152)</f>
        <v>2577034</v>
      </c>
      <c r="E152" s="4" t="n">
        <f aca="false">AVERAGE(C123:C152)</f>
        <v>2608671.46666667</v>
      </c>
      <c r="F152" s="3" t="s">
        <v>41</v>
      </c>
    </row>
    <row r="153" customFormat="false" ht="15.75" hidden="false" customHeight="true" outlineLevel="0" collapsed="false">
      <c r="A153" s="13" t="n">
        <v>45863</v>
      </c>
      <c r="B153" s="3" t="s">
        <v>47</v>
      </c>
      <c r="C153" s="4" t="n">
        <v>1872562</v>
      </c>
      <c r="D153" s="4" t="n">
        <f aca="false">AVERAGE(C147:C153)</f>
        <v>2588596.85714286</v>
      </c>
      <c r="E153" s="4" t="n">
        <f aca="false">AVERAGE(C124:C153)</f>
        <v>2566201.13333333</v>
      </c>
      <c r="F153" s="3" t="s">
        <v>41</v>
      </c>
    </row>
    <row r="154" customFormat="false" ht="15.75" hidden="false" customHeight="true" outlineLevel="0" collapsed="false">
      <c r="A154" s="13" t="n">
        <v>45864</v>
      </c>
      <c r="B154" s="3" t="s">
        <v>49</v>
      </c>
      <c r="C154" s="4" t="n">
        <v>1455875</v>
      </c>
      <c r="D154" s="4" t="n">
        <f aca="false">AVERAGE(C148:C154)</f>
        <v>2591771</v>
      </c>
      <c r="E154" s="4" t="n">
        <f aca="false">AVERAGE(C125:C154)</f>
        <v>2512524.16666667</v>
      </c>
      <c r="F154" s="3" t="s">
        <v>50</v>
      </c>
    </row>
    <row r="155" customFormat="false" ht="15.75" hidden="false" customHeight="true" outlineLevel="0" collapsed="false">
      <c r="A155" s="13" t="n">
        <v>45865</v>
      </c>
      <c r="B155" s="3" t="s">
        <v>51</v>
      </c>
      <c r="C155" s="4" t="n">
        <v>2509568</v>
      </c>
      <c r="D155" s="4" t="n">
        <f aca="false">AVERAGE(C149:C155)</f>
        <v>2622751.14285714</v>
      </c>
      <c r="E155" s="4" t="n">
        <f aca="false">AVERAGE(C126:C155)</f>
        <v>2534883.03333333</v>
      </c>
      <c r="F155" s="3" t="s">
        <v>50</v>
      </c>
    </row>
    <row r="156" customFormat="false" ht="15.75" hidden="false" customHeight="true" outlineLevel="0" collapsed="false">
      <c r="A156" s="13" t="n">
        <v>45866</v>
      </c>
      <c r="B156" s="3" t="s">
        <v>46</v>
      </c>
      <c r="C156" s="4" t="n">
        <v>3321526</v>
      </c>
      <c r="D156" s="4" t="n">
        <f aca="false">AVERAGE(C150:C156)</f>
        <v>2643226.14285714</v>
      </c>
      <c r="E156" s="4" t="n">
        <f aca="false">AVERAGE(C127:C156)</f>
        <v>2596144.43333333</v>
      </c>
      <c r="F156" s="3" t="s">
        <v>41</v>
      </c>
    </row>
    <row r="157" customFormat="false" ht="15.75" hidden="false" customHeight="true" outlineLevel="0" collapsed="false">
      <c r="A157" s="13" t="n">
        <v>45867</v>
      </c>
      <c r="B157" s="3" t="s">
        <v>48</v>
      </c>
      <c r="C157" s="4" t="n">
        <v>3345736</v>
      </c>
      <c r="D157" s="4" t="n">
        <f aca="false">AVERAGE(C151:C157)</f>
        <v>2675812.71428571</v>
      </c>
      <c r="E157" s="4" t="n">
        <f aca="false">AVERAGE(C128:C157)</f>
        <v>2626933.76666667</v>
      </c>
      <c r="F157" s="3" t="s">
        <v>41</v>
      </c>
    </row>
    <row r="158" customFormat="false" ht="15.75" hidden="false" customHeight="true" outlineLevel="0" collapsed="false">
      <c r="A158" s="13" t="n">
        <v>45868</v>
      </c>
      <c r="B158" s="3" t="s">
        <v>40</v>
      </c>
      <c r="C158" s="4" t="n">
        <v>3136249</v>
      </c>
      <c r="D158" s="4" t="n">
        <f aca="false">AVERAGE(C152:C158)</f>
        <v>2678116.14285714</v>
      </c>
      <c r="E158" s="4" t="n">
        <f aca="false">AVERAGE(C129:C158)</f>
        <v>2625519.7</v>
      </c>
      <c r="F158" s="3" t="s">
        <v>41</v>
      </c>
    </row>
    <row r="159" customFormat="false" ht="15.75" hidden="false" customHeight="true" outlineLevel="0" collapsed="false">
      <c r="A159" s="13" t="n">
        <v>45869</v>
      </c>
      <c r="B159" s="3" t="s">
        <v>45</v>
      </c>
      <c r="C159" s="4" t="n">
        <v>3148911</v>
      </c>
      <c r="D159" s="4" t="n">
        <f aca="false">AVERAGE(C153:C159)</f>
        <v>2684346.71428571</v>
      </c>
      <c r="E159" s="4" t="n">
        <f aca="false">AVERAGE(C130:C159)</f>
        <v>2625428.7</v>
      </c>
      <c r="F159" s="3" t="s">
        <v>41</v>
      </c>
    </row>
    <row r="160" customFormat="false" ht="15.75" hidden="false" customHeight="true" outlineLevel="0" collapsed="false">
      <c r="A160" s="13" t="n">
        <v>45870</v>
      </c>
      <c r="B160" s="3" t="s">
        <v>47</v>
      </c>
      <c r="C160" s="4" t="n">
        <v>2023987</v>
      </c>
      <c r="D160" s="4" t="n">
        <f aca="false">AVERAGE(C154:C160)</f>
        <v>2705978.85714286</v>
      </c>
      <c r="E160" s="4" t="n">
        <f aca="false">AVERAGE(C131:C160)</f>
        <v>2588812.4</v>
      </c>
      <c r="F160" s="3" t="s">
        <v>41</v>
      </c>
    </row>
    <row r="161" customFormat="false" ht="15.75" hidden="false" customHeight="true" outlineLevel="0" collapsed="false">
      <c r="A161" s="13" t="n">
        <v>45871</v>
      </c>
      <c r="B161" s="3" t="s">
        <v>49</v>
      </c>
      <c r="C161" s="4" t="n">
        <v>1484815</v>
      </c>
      <c r="D161" s="4" t="n">
        <f aca="false">AVERAGE(C155:C161)</f>
        <v>2710113.14285714</v>
      </c>
      <c r="E161" s="4" t="n">
        <f aca="false">AVERAGE(C132:C161)</f>
        <v>2544816.23333333</v>
      </c>
      <c r="F161" s="3" t="s">
        <v>50</v>
      </c>
    </row>
    <row r="162" customFormat="false" ht="15.75" hidden="false" customHeight="true" outlineLevel="0" collapsed="false">
      <c r="A162" s="13" t="n">
        <v>45872</v>
      </c>
      <c r="B162" s="3" t="s">
        <v>51</v>
      </c>
      <c r="C162" s="4" t="n">
        <v>2466427</v>
      </c>
      <c r="D162" s="4" t="n">
        <f aca="false">AVERAGE(C156:C162)</f>
        <v>2703950.14285714</v>
      </c>
      <c r="E162" s="4" t="n">
        <f aca="false">AVERAGE(C133:C162)</f>
        <v>2588141.9</v>
      </c>
      <c r="F162" s="3" t="s">
        <v>50</v>
      </c>
    </row>
    <row r="163" customFormat="false" ht="15.75" hidden="false" customHeight="true" outlineLevel="0" collapsed="false">
      <c r="A163" s="13" t="n">
        <v>45873</v>
      </c>
      <c r="B163" s="3" t="s">
        <v>46</v>
      </c>
      <c r="C163" s="4" t="n">
        <v>3334400</v>
      </c>
      <c r="D163" s="4" t="n">
        <f aca="false">AVERAGE(C157:C163)</f>
        <v>2705789.28571429</v>
      </c>
      <c r="E163" s="4" t="n">
        <f aca="false">AVERAGE(C134:C163)</f>
        <v>2645050.6</v>
      </c>
      <c r="F163" s="3" t="s">
        <v>41</v>
      </c>
    </row>
    <row r="164" customFormat="false" ht="15.75" hidden="false" customHeight="true" outlineLevel="0" collapsed="false">
      <c r="A164" s="13" t="n">
        <v>45874</v>
      </c>
      <c r="B164" s="3" t="s">
        <v>48</v>
      </c>
      <c r="C164" s="4" t="n">
        <v>3246672</v>
      </c>
      <c r="D164" s="4" t="n">
        <f aca="false">AVERAGE(C158:C164)</f>
        <v>2691637.28571429</v>
      </c>
      <c r="E164" s="4" t="n">
        <f aca="false">AVERAGE(C135:C164)</f>
        <v>2685984.93333333</v>
      </c>
      <c r="F164" s="3" t="s">
        <v>41</v>
      </c>
    </row>
    <row r="165" customFormat="false" ht="15.75" hidden="false" customHeight="true" outlineLevel="0" collapsed="false">
      <c r="A165" s="13" t="n">
        <v>45875</v>
      </c>
      <c r="B165" s="3" t="s">
        <v>40</v>
      </c>
      <c r="C165" s="4" t="n">
        <v>3255849</v>
      </c>
      <c r="D165" s="4" t="n">
        <f aca="false">AVERAGE(C159:C165)</f>
        <v>2708723</v>
      </c>
      <c r="E165" s="4" t="n">
        <f aca="false">AVERAGE(C136:C165)</f>
        <v>2688859.56666667</v>
      </c>
      <c r="F165" s="3" t="s">
        <v>41</v>
      </c>
    </row>
    <row r="166" customFormat="false" ht="15.75" hidden="false" customHeight="true" outlineLevel="0" collapsed="false">
      <c r="A166" s="13" t="n">
        <v>45876</v>
      </c>
      <c r="B166" s="3" t="s">
        <v>45</v>
      </c>
      <c r="C166" s="4" t="n">
        <v>3262632</v>
      </c>
      <c r="D166" s="4" t="n">
        <f aca="false">AVERAGE(C160:C166)</f>
        <v>2724968.85714286</v>
      </c>
      <c r="E166" s="4" t="n">
        <f aca="false">AVERAGE(C137:C166)</f>
        <v>2678500.26666667</v>
      </c>
      <c r="F166" s="3" t="s">
        <v>41</v>
      </c>
    </row>
    <row r="167" customFormat="false" ht="15.75" hidden="false" customHeight="true" outlineLevel="0" collapsed="false">
      <c r="A167" s="13" t="n">
        <v>45877</v>
      </c>
      <c r="B167" s="3" t="s">
        <v>47</v>
      </c>
      <c r="C167" s="4" t="n">
        <v>2000501</v>
      </c>
      <c r="D167" s="4" t="n">
        <f aca="false">AVERAGE(C161:C167)</f>
        <v>2721613.71428571</v>
      </c>
      <c r="E167" s="4" t="n">
        <f aca="false">AVERAGE(C138:C167)</f>
        <v>2642249.03333333</v>
      </c>
      <c r="F167" s="3" t="s">
        <v>41</v>
      </c>
    </row>
    <row r="168" customFormat="false" ht="15.75" hidden="false" customHeight="true" outlineLevel="0" collapsed="false">
      <c r="A168" s="13" t="n">
        <v>45878</v>
      </c>
      <c r="B168" s="3" t="s">
        <v>49</v>
      </c>
      <c r="C168" s="4" t="n">
        <v>1521872</v>
      </c>
      <c r="D168" s="4" t="n">
        <f aca="false">AVERAGE(C162:C168)</f>
        <v>2726907.57142857</v>
      </c>
      <c r="E168" s="4" t="n">
        <f aca="false">AVERAGE(C139:C168)</f>
        <v>2593712.73333333</v>
      </c>
      <c r="F168" s="3" t="s">
        <v>50</v>
      </c>
    </row>
    <row r="169" customFormat="false" ht="15.75" hidden="false" customHeight="true" outlineLevel="0" collapsed="false">
      <c r="A169" s="13" t="n">
        <v>45879</v>
      </c>
      <c r="B169" s="3" t="s">
        <v>51</v>
      </c>
      <c r="C169" s="4" t="n">
        <v>2456769</v>
      </c>
      <c r="D169" s="4" t="n">
        <f aca="false">AVERAGE(C163:C169)</f>
        <v>2725527.85714286</v>
      </c>
      <c r="E169" s="4" t="n">
        <f aca="false">AVERAGE(C140:C169)</f>
        <v>2618977.06666667</v>
      </c>
      <c r="F169" s="3" t="s">
        <v>50</v>
      </c>
    </row>
    <row r="170" customFormat="false" ht="15.75" hidden="false" customHeight="true" outlineLevel="0" collapsed="false">
      <c r="A170" s="13" t="n">
        <v>45880</v>
      </c>
      <c r="B170" s="3" t="s">
        <v>46</v>
      </c>
      <c r="C170" s="4" t="n">
        <v>3361886</v>
      </c>
      <c r="D170" s="4" t="n">
        <f aca="false">AVERAGE(C164:C170)</f>
        <v>2729454.42857143</v>
      </c>
      <c r="E170" s="4" t="n">
        <f aca="false">AVERAGE(C141:C170)</f>
        <v>2678349.6</v>
      </c>
      <c r="F170" s="3" t="s">
        <v>41</v>
      </c>
    </row>
    <row r="171" customFormat="false" ht="15.75" hidden="false" customHeight="true" outlineLevel="0" collapsed="false">
      <c r="A171" s="13" t="n">
        <v>45881</v>
      </c>
      <c r="B171" s="3" t="s">
        <v>48</v>
      </c>
      <c r="C171" s="4" t="n">
        <v>3389225</v>
      </c>
      <c r="D171" s="4" t="n">
        <f aca="false">AVERAGE(C165:C171)</f>
        <v>2749819.14285714</v>
      </c>
      <c r="E171" s="4" t="n">
        <f aca="false">AVERAGE(C142:C171)</f>
        <v>2712777</v>
      </c>
      <c r="F171" s="3" t="s">
        <v>41</v>
      </c>
    </row>
    <row r="172" customFormat="false" ht="15.75" hidden="false" customHeight="true" outlineLevel="0" collapsed="false">
      <c r="A172" s="13" t="n">
        <v>45882</v>
      </c>
      <c r="B172" s="3" t="s">
        <v>40</v>
      </c>
      <c r="C172" s="4" t="n">
        <v>3209317</v>
      </c>
      <c r="D172" s="4" t="n">
        <f aca="false">AVERAGE(C166:C172)</f>
        <v>2743171.71428571</v>
      </c>
      <c r="E172" s="4" t="n">
        <f aca="false">AVERAGE(C143:C172)</f>
        <v>2710676.23333333</v>
      </c>
      <c r="F172" s="3" t="s">
        <v>41</v>
      </c>
    </row>
    <row r="173" customFormat="false" ht="15.75" hidden="false" customHeight="true" outlineLevel="0" collapsed="false">
      <c r="A173" s="13" t="n">
        <v>45883</v>
      </c>
      <c r="B173" s="3" t="s">
        <v>45</v>
      </c>
      <c r="C173" s="4" t="n">
        <v>3346066</v>
      </c>
      <c r="D173" s="4" t="n">
        <f aca="false">AVERAGE(C167:C173)</f>
        <v>2755090.85714286</v>
      </c>
      <c r="E173" s="4" t="n">
        <f aca="false">AVERAGE(C144:C173)</f>
        <v>2711885.13333333</v>
      </c>
      <c r="F173" s="3" t="s">
        <v>41</v>
      </c>
    </row>
    <row r="174" customFormat="false" ht="15.75" hidden="false" customHeight="true" outlineLevel="0" collapsed="false">
      <c r="A174" s="13" t="n">
        <v>45884</v>
      </c>
      <c r="B174" s="3" t="s">
        <v>47</v>
      </c>
      <c r="C174" s="4" t="n">
        <v>1918519</v>
      </c>
      <c r="D174" s="4" t="n">
        <f aca="false">AVERAGE(C168:C174)</f>
        <v>2743379.14285714</v>
      </c>
      <c r="E174" s="4" t="n">
        <f aca="false">AVERAGE(C145:C174)</f>
        <v>2672058</v>
      </c>
      <c r="F174" s="3" t="s">
        <v>41</v>
      </c>
    </row>
    <row r="175" customFormat="false" ht="15.75" hidden="false" customHeight="true" outlineLevel="0" collapsed="false">
      <c r="A175" s="13" t="n">
        <v>45885</v>
      </c>
      <c r="B175" s="3" t="s">
        <v>49</v>
      </c>
      <c r="C175" s="4" t="n">
        <v>1586434</v>
      </c>
      <c r="D175" s="4" t="n">
        <f aca="false">AVERAGE(C169:C175)</f>
        <v>2752602.28571429</v>
      </c>
      <c r="E175" s="4" t="n">
        <f aca="false">AVERAGE(C146:C175)</f>
        <v>2623167.86666667</v>
      </c>
      <c r="F175" s="3" t="s">
        <v>50</v>
      </c>
    </row>
    <row r="176" customFormat="false" ht="15.75" hidden="false" customHeight="true" outlineLevel="0" collapsed="false">
      <c r="A176" s="13" t="n">
        <v>45886</v>
      </c>
      <c r="B176" s="3" t="s">
        <v>51</v>
      </c>
      <c r="C176" s="4" t="n">
        <v>2419507</v>
      </c>
      <c r="D176" s="4" t="n">
        <f aca="false">AVERAGE(C170:C176)</f>
        <v>2747279.14285714</v>
      </c>
      <c r="E176" s="4" t="n">
        <f aca="false">AVERAGE(C147:C176)</f>
        <v>2644097.36666667</v>
      </c>
      <c r="F176" s="3" t="s">
        <v>50</v>
      </c>
    </row>
    <row r="177" customFormat="false" ht="15.75" hidden="false" customHeight="true" outlineLevel="0" collapsed="false">
      <c r="A177" s="13" t="n">
        <v>45887</v>
      </c>
      <c r="B177" s="3" t="s">
        <v>46</v>
      </c>
      <c r="C177" s="4" t="n">
        <v>3389499</v>
      </c>
      <c r="D177" s="4" t="n">
        <f aca="false">AVERAGE(C171:C177)</f>
        <v>2751223.85714286</v>
      </c>
      <c r="E177" s="4" t="n">
        <f aca="false">AVERAGE(C148:C177)</f>
        <v>2709292.13333333</v>
      </c>
      <c r="F177" s="3" t="s">
        <v>41</v>
      </c>
    </row>
    <row r="178" customFormat="false" ht="15.75" hidden="false" customHeight="true" outlineLevel="0" collapsed="false">
      <c r="A178" s="13" t="n">
        <v>45888</v>
      </c>
      <c r="B178" s="3" t="s">
        <v>48</v>
      </c>
      <c r="C178" s="4" t="n">
        <v>3215276</v>
      </c>
      <c r="D178" s="4" t="n">
        <f aca="false">AVERAGE(C172:C178)</f>
        <v>2726374</v>
      </c>
      <c r="E178" s="4" t="n">
        <f aca="false">AVERAGE(C149:C178)</f>
        <v>2740044.43333333</v>
      </c>
      <c r="F178" s="3" t="s">
        <v>41</v>
      </c>
    </row>
    <row r="179" customFormat="false" ht="15.75" hidden="false" customHeight="true" outlineLevel="0" collapsed="false">
      <c r="A179" s="13" t="n">
        <v>45889</v>
      </c>
      <c r="B179" s="3" t="s">
        <v>40</v>
      </c>
      <c r="C179" s="4" t="n">
        <v>3111127</v>
      </c>
      <c r="D179" s="4" t="n">
        <f aca="false">AVERAGE(C173:C179)</f>
        <v>2712346.85714286</v>
      </c>
      <c r="E179" s="4" t="n">
        <f aca="false">AVERAGE(C150:C179)</f>
        <v>2737808.63333333</v>
      </c>
      <c r="F179" s="3" t="s">
        <v>41</v>
      </c>
    </row>
    <row r="180" customFormat="false" ht="15.75" hidden="false" customHeight="true" outlineLevel="0" collapsed="false">
      <c r="A180" s="13" t="n">
        <v>45890</v>
      </c>
      <c r="B180" s="3" t="s">
        <v>45</v>
      </c>
      <c r="C180" s="4" t="n">
        <v>3074762</v>
      </c>
      <c r="D180" s="4" t="n">
        <f aca="false">AVERAGE(C174:C180)</f>
        <v>2673589.14285714</v>
      </c>
      <c r="E180" s="4" t="n">
        <f aca="false">AVERAGE(C151:C180)</f>
        <v>2736379.7</v>
      </c>
      <c r="F180" s="3" t="s">
        <v>41</v>
      </c>
    </row>
    <row r="181" customFormat="false" ht="15.75" hidden="false" customHeight="true" outlineLevel="0" collapsed="false">
      <c r="A181" s="13" t="n">
        <v>45891</v>
      </c>
      <c r="B181" s="3" t="s">
        <v>47</v>
      </c>
      <c r="C181" s="4" t="n">
        <v>1768893</v>
      </c>
      <c r="D181" s="4" t="n">
        <f aca="false">AVERAGE(C175:C181)</f>
        <v>2652214</v>
      </c>
      <c r="E181" s="4" t="n">
        <f aca="false">AVERAGE(C152:C181)</f>
        <v>2691338.63333333</v>
      </c>
      <c r="F181" s="3" t="s">
        <v>41</v>
      </c>
    </row>
    <row r="182" customFormat="false" ht="15.75" hidden="false" customHeight="true" outlineLevel="0" collapsed="false">
      <c r="A182" s="13" t="n">
        <v>45892</v>
      </c>
      <c r="B182" s="3" t="s">
        <v>49</v>
      </c>
      <c r="C182" s="4" t="n">
        <v>1536066</v>
      </c>
      <c r="D182" s="4" t="n">
        <f aca="false">AVERAGE(C176:C182)</f>
        <v>2645018.57142857</v>
      </c>
      <c r="E182" s="4" t="n">
        <f aca="false">AVERAGE(C153:C182)</f>
        <v>2639030.93333333</v>
      </c>
      <c r="F182" s="3" t="s">
        <v>50</v>
      </c>
    </row>
    <row r="183" customFormat="false" ht="15.75" hidden="false" customHeight="true" outlineLevel="0" collapsed="false">
      <c r="A183" s="13" t="n">
        <v>45893</v>
      </c>
      <c r="B183" s="3" t="s">
        <v>51</v>
      </c>
      <c r="C183" s="4" t="n">
        <v>2576694</v>
      </c>
      <c r="D183" s="4" t="n">
        <f aca="false">AVERAGE(C177:C183)</f>
        <v>2667473.85714286</v>
      </c>
      <c r="E183" s="4" t="n">
        <f aca="false">AVERAGE(C154:C183)</f>
        <v>2662502</v>
      </c>
      <c r="F183" s="3" t="s">
        <v>50</v>
      </c>
    </row>
    <row r="184" customFormat="false" ht="15.75" hidden="false" customHeight="true" outlineLevel="0" collapsed="false">
      <c r="A184" s="13" t="n">
        <v>45894</v>
      </c>
      <c r="B184" s="3" t="s">
        <v>46</v>
      </c>
      <c r="C184" s="4" t="n">
        <v>3319040</v>
      </c>
      <c r="D184" s="4" t="n">
        <f aca="false">AVERAGE(C178:C184)</f>
        <v>2657408.28571429</v>
      </c>
      <c r="E184" s="4" t="n">
        <f aca="false">AVERAGE(C155:C184)</f>
        <v>2724607.5</v>
      </c>
      <c r="F184" s="3" t="s">
        <v>41</v>
      </c>
    </row>
    <row r="185" customFormat="false" ht="15.75" hidden="false" customHeight="true" outlineLevel="0" collapsed="false">
      <c r="A185" s="13" t="n">
        <v>45895</v>
      </c>
      <c r="B185" s="3" t="s">
        <v>48</v>
      </c>
      <c r="C185" s="4" t="n">
        <v>3435280</v>
      </c>
      <c r="D185" s="4" t="n">
        <f aca="false">AVERAGE(C179:C185)</f>
        <v>2688837.42857143</v>
      </c>
      <c r="E185" s="4" t="n">
        <f aca="false">AVERAGE(C156:C185)</f>
        <v>2755464.56666667</v>
      </c>
      <c r="F185" s="3" t="s">
        <v>41</v>
      </c>
    </row>
    <row r="186" customFormat="false" ht="15.75" hidden="false" customHeight="true" outlineLevel="0" collapsed="false">
      <c r="A186" s="13" t="n">
        <v>45896</v>
      </c>
      <c r="B186" s="3" t="s">
        <v>40</v>
      </c>
      <c r="C186" s="4" t="n">
        <v>3218109</v>
      </c>
      <c r="D186" s="4" t="n">
        <f aca="false">AVERAGE(C180:C186)</f>
        <v>2704120.57142857</v>
      </c>
      <c r="E186" s="4" t="n">
        <f aca="false">AVERAGE(C157:C186)</f>
        <v>2752017.33333333</v>
      </c>
      <c r="F186" s="3" t="s">
        <v>41</v>
      </c>
    </row>
    <row r="187" customFormat="false" ht="15.75" hidden="false" customHeight="true" outlineLevel="0" collapsed="false">
      <c r="A187" s="13" t="n">
        <v>45897</v>
      </c>
      <c r="B187" s="3" t="s">
        <v>45</v>
      </c>
      <c r="C187" s="4" t="n">
        <v>3194342</v>
      </c>
      <c r="D187" s="4" t="n">
        <f aca="false">AVERAGE(C181:C187)</f>
        <v>2721203.42857143</v>
      </c>
      <c r="E187" s="4" t="n">
        <f aca="false">AVERAGE(C158:C187)</f>
        <v>2746970.86666667</v>
      </c>
      <c r="F187" s="3" t="s">
        <v>41</v>
      </c>
    </row>
    <row r="188" customFormat="false" ht="15.75" hidden="false" customHeight="true" outlineLevel="0" collapsed="false">
      <c r="A188" s="13" t="n">
        <v>45898</v>
      </c>
      <c r="B188" s="3" t="s">
        <v>47</v>
      </c>
      <c r="C188" s="4" t="n">
        <v>1885045</v>
      </c>
      <c r="D188" s="4" t="n">
        <f aca="false">AVERAGE(C182:C188)</f>
        <v>2737796.57142857</v>
      </c>
      <c r="E188" s="4" t="n">
        <f aca="false">AVERAGE(C159:C188)</f>
        <v>2705264.06666667</v>
      </c>
      <c r="F188" s="3" t="s">
        <v>41</v>
      </c>
    </row>
    <row r="189" customFormat="false" ht="15.75" hidden="false" customHeight="true" outlineLevel="0" collapsed="false">
      <c r="A189" s="13" t="n">
        <v>45899</v>
      </c>
      <c r="B189" s="3" t="s">
        <v>49</v>
      </c>
      <c r="C189" s="4" t="n">
        <v>1534214</v>
      </c>
      <c r="D189" s="4" t="n">
        <f aca="false">AVERAGE(C183:C189)</f>
        <v>2737532</v>
      </c>
      <c r="E189" s="4" t="n">
        <f aca="false">AVERAGE(C160:C189)</f>
        <v>2651440.83333333</v>
      </c>
      <c r="F189" s="3" t="s">
        <v>50</v>
      </c>
    </row>
    <row r="190" customFormat="false" ht="15.75" hidden="false" customHeight="true" outlineLevel="0" collapsed="false">
      <c r="A190" s="13" t="n">
        <v>45900</v>
      </c>
      <c r="B190" s="3" t="s">
        <v>51</v>
      </c>
      <c r="C190" s="4" t="n">
        <v>2281552</v>
      </c>
      <c r="D190" s="4" t="n">
        <f aca="false">AVERAGE(C184:C190)</f>
        <v>2695368.85714286</v>
      </c>
      <c r="E190" s="4" t="n">
        <f aca="false">AVERAGE(C161:C190)</f>
        <v>2660026.33333333</v>
      </c>
      <c r="F190" s="3" t="s">
        <v>50</v>
      </c>
    </row>
    <row r="191" customFormat="false" ht="15.75" hidden="false" customHeight="true" outlineLevel="0" collapsed="false">
      <c r="A191" s="13" t="n">
        <v>45901</v>
      </c>
      <c r="B191" s="3" t="s">
        <v>46</v>
      </c>
      <c r="C191" s="4" t="n">
        <v>1192959</v>
      </c>
      <c r="D191" s="4" t="n">
        <f aca="false">AVERAGE(C185:C191)</f>
        <v>2391643</v>
      </c>
      <c r="E191" s="4" t="n">
        <f aca="false">AVERAGE(C162:C191)</f>
        <v>2650297.8</v>
      </c>
      <c r="F191" s="3" t="s">
        <v>41</v>
      </c>
    </row>
    <row r="192" customFormat="false" ht="15.75" hidden="false" customHeight="true" outlineLevel="0" collapsed="false">
      <c r="A192" s="13" t="n">
        <v>45902</v>
      </c>
      <c r="B192" s="3" t="s">
        <v>48</v>
      </c>
      <c r="C192" s="4" t="n">
        <v>3403494</v>
      </c>
      <c r="D192" s="4" t="n">
        <f aca="false">AVERAGE(C186:C192)</f>
        <v>2387102.14285714</v>
      </c>
      <c r="E192" s="4" t="n">
        <f aca="false">AVERAGE(C163:C192)</f>
        <v>2681533.36666667</v>
      </c>
      <c r="F192" s="3" t="s">
        <v>41</v>
      </c>
    </row>
    <row r="193" customFormat="false" ht="15.75" hidden="false" customHeight="true" outlineLevel="0" collapsed="false">
      <c r="A193" s="13" t="n">
        <v>45903</v>
      </c>
      <c r="B193" s="3" t="s">
        <v>40</v>
      </c>
      <c r="C193" s="4" t="n">
        <v>3356439</v>
      </c>
      <c r="D193" s="4" t="n">
        <f aca="false">AVERAGE(C187:C193)</f>
        <v>2406863.57142857</v>
      </c>
      <c r="E193" s="4" t="n">
        <f aca="false">AVERAGE(C164:C193)</f>
        <v>2682268</v>
      </c>
      <c r="F193" s="3" t="s">
        <v>41</v>
      </c>
    </row>
    <row r="194" customFormat="false" ht="15.75" hidden="false" customHeight="true" outlineLevel="0" collapsed="false">
      <c r="A194" s="13" t="n">
        <v>45904</v>
      </c>
      <c r="B194" s="3" t="s">
        <v>45</v>
      </c>
      <c r="C194" s="4" t="n">
        <v>3318489</v>
      </c>
      <c r="D194" s="4" t="n">
        <f aca="false">AVERAGE(C188:C194)</f>
        <v>2424598.85714286</v>
      </c>
      <c r="E194" s="4" t="n">
        <f aca="false">AVERAGE(C165:C194)</f>
        <v>2684661.9</v>
      </c>
      <c r="F194" s="3" t="s">
        <v>41</v>
      </c>
    </row>
    <row r="195" customFormat="false" ht="15.75" hidden="false" customHeight="true" outlineLevel="0" collapsed="false">
      <c r="A195" s="13" t="n">
        <v>45905</v>
      </c>
      <c r="B195" s="3" t="s">
        <v>47</v>
      </c>
      <c r="C195" s="4" t="n">
        <v>1964848</v>
      </c>
      <c r="D195" s="4" t="n">
        <f aca="false">AVERAGE(C189:C195)</f>
        <v>2435999.28571429</v>
      </c>
      <c r="E195" s="4" t="n">
        <f aca="false">AVERAGE(C166:C195)</f>
        <v>2641628.53333333</v>
      </c>
      <c r="F195" s="3" t="s">
        <v>41</v>
      </c>
    </row>
    <row r="196" customFormat="false" ht="15.75" hidden="false" customHeight="true" outlineLevel="0" collapsed="false">
      <c r="A196" s="13" t="n">
        <v>45906</v>
      </c>
      <c r="B196" s="3" t="s">
        <v>49</v>
      </c>
      <c r="C196" s="4" t="n">
        <v>1565541</v>
      </c>
      <c r="D196" s="4" t="n">
        <f aca="false">AVERAGE(C190:C196)</f>
        <v>2440474.57142857</v>
      </c>
      <c r="E196" s="4" t="n">
        <f aca="false">AVERAGE(C167:C196)</f>
        <v>2585058.83333333</v>
      </c>
      <c r="F196" s="3" t="s">
        <v>50</v>
      </c>
    </row>
    <row r="197" customFormat="false" ht="15.75" hidden="false" customHeight="true" outlineLevel="0" collapsed="false">
      <c r="A197" s="13" t="n">
        <v>45907</v>
      </c>
      <c r="B197" s="3" t="s">
        <v>51</v>
      </c>
      <c r="C197" s="4" t="n">
        <v>2638187</v>
      </c>
      <c r="D197" s="4" t="n">
        <f aca="false">AVERAGE(C191:C197)</f>
        <v>2491422.42857143</v>
      </c>
      <c r="E197" s="4" t="n">
        <f aca="false">AVERAGE(C168:C197)</f>
        <v>2606315.03333333</v>
      </c>
      <c r="F197" s="3" t="s">
        <v>50</v>
      </c>
    </row>
    <row r="198" customFormat="false" ht="15.75" hidden="false" customHeight="true" outlineLevel="0" collapsed="false">
      <c r="A198" s="13" t="n">
        <v>45908</v>
      </c>
      <c r="B198" s="3" t="s">
        <v>46</v>
      </c>
      <c r="C198" s="4" t="n">
        <v>3440425</v>
      </c>
      <c r="D198" s="4" t="n">
        <f aca="false">AVERAGE(C192:C198)</f>
        <v>2812489</v>
      </c>
      <c r="E198" s="4" t="n">
        <f aca="false">AVERAGE(C169:C198)</f>
        <v>2670266.8</v>
      </c>
      <c r="F198" s="3" t="s">
        <v>41</v>
      </c>
    </row>
    <row r="199" customFormat="false" ht="15.75" hidden="false" customHeight="true" outlineLevel="0" collapsed="false">
      <c r="A199" s="13" t="n">
        <v>45909</v>
      </c>
      <c r="B199" s="3" t="s">
        <v>48</v>
      </c>
      <c r="C199" s="4" t="n">
        <v>3641440</v>
      </c>
      <c r="D199" s="4" t="n">
        <f aca="false">AVERAGE(C193:C199)</f>
        <v>2846481.28571429</v>
      </c>
      <c r="E199" s="4" t="n">
        <f aca="false">AVERAGE(C170:C199)</f>
        <v>2709755.83333333</v>
      </c>
      <c r="F199" s="3" t="s">
        <v>41</v>
      </c>
    </row>
    <row r="200" customFormat="false" ht="15.75" hidden="false" customHeight="true" outlineLevel="0" collapsed="false">
      <c r="A200" s="13" t="n">
        <v>45910</v>
      </c>
      <c r="B200" s="3" t="s">
        <v>40</v>
      </c>
      <c r="C200" s="4" t="n">
        <v>3671630</v>
      </c>
      <c r="D200" s="4" t="n">
        <f aca="false">AVERAGE(C194:C200)</f>
        <v>2891508.57142857</v>
      </c>
      <c r="E200" s="4" t="n">
        <f aca="false">AVERAGE(C171:C200)</f>
        <v>2720080.63333333</v>
      </c>
      <c r="F200" s="3" t="s">
        <v>41</v>
      </c>
    </row>
    <row r="201" customFormat="false" ht="15.75" hidden="false" customHeight="true" outlineLevel="0" collapsed="false">
      <c r="A201" s="13" t="n">
        <v>45911</v>
      </c>
      <c r="B201" s="3" t="s">
        <v>45</v>
      </c>
      <c r="C201" s="4" t="n">
        <v>3663534</v>
      </c>
      <c r="D201" s="4" t="n">
        <f aca="false">AVERAGE(C195:C201)</f>
        <v>2940800.71428571</v>
      </c>
      <c r="E201" s="4" t="n">
        <f aca="false">AVERAGE(C172:C201)</f>
        <v>2729224.26666667</v>
      </c>
      <c r="F201" s="3" t="s">
        <v>41</v>
      </c>
    </row>
    <row r="202" customFormat="false" ht="15.75" hidden="false" customHeight="true" outlineLevel="0" collapsed="false">
      <c r="A202" s="13" t="n">
        <v>45912</v>
      </c>
      <c r="B202" s="3" t="s">
        <v>47</v>
      </c>
      <c r="C202" s="4" t="n">
        <v>1820236</v>
      </c>
      <c r="D202" s="4" t="n">
        <f aca="false">AVERAGE(C196:C202)</f>
        <v>2920141.85714286</v>
      </c>
      <c r="E202" s="4" t="n">
        <f aca="false">AVERAGE(C173:C202)</f>
        <v>2682921.56666667</v>
      </c>
      <c r="F202" s="3" t="s">
        <v>41</v>
      </c>
    </row>
    <row r="203" customFormat="false" ht="15.75" hidden="false" customHeight="true" outlineLevel="0" collapsed="false">
      <c r="A203" s="13" t="n">
        <v>45913</v>
      </c>
      <c r="B203" s="3" t="s">
        <v>49</v>
      </c>
      <c r="C203" s="4" t="n">
        <v>1511269</v>
      </c>
      <c r="D203" s="4" t="n">
        <f aca="false">AVERAGE(C197:C203)</f>
        <v>2912388.71428571</v>
      </c>
      <c r="E203" s="4" t="n">
        <f aca="false">AVERAGE(C174:C203)</f>
        <v>2621761.66666667</v>
      </c>
      <c r="F203" s="3" t="s">
        <v>50</v>
      </c>
    </row>
    <row r="204" customFormat="false" ht="15.75" hidden="false" customHeight="true" outlineLevel="0" collapsed="false">
      <c r="A204" s="13" t="n">
        <v>45914</v>
      </c>
      <c r="B204" s="3" t="s">
        <v>51</v>
      </c>
      <c r="C204" s="4" t="n">
        <v>2621485</v>
      </c>
      <c r="D204" s="4" t="n">
        <f aca="false">AVERAGE(C198:C204)</f>
        <v>2910002.71428571</v>
      </c>
      <c r="E204" s="4" t="n">
        <f aca="false">AVERAGE(C175:C204)</f>
        <v>2645193.86666667</v>
      </c>
      <c r="F204" s="3" t="s">
        <v>50</v>
      </c>
    </row>
    <row r="205" customFormat="false" ht="15.75" hidden="false" customHeight="true" outlineLevel="0" collapsed="false">
      <c r="A205" s="13" t="n">
        <v>45915</v>
      </c>
      <c r="B205" s="3" t="s">
        <v>46</v>
      </c>
      <c r="C205" s="4" t="n">
        <v>3439972</v>
      </c>
      <c r="D205" s="4" t="n">
        <f aca="false">AVERAGE(C199:C205)</f>
        <v>2909938</v>
      </c>
      <c r="E205" s="4" t="n">
        <f aca="false">AVERAGE(C176:C205)</f>
        <v>2706978.46666667</v>
      </c>
      <c r="F205" s="3" t="s">
        <v>41</v>
      </c>
    </row>
    <row r="206" customFormat="false" ht="15.75" hidden="false" customHeight="true" outlineLevel="0" collapsed="false">
      <c r="A206" s="13" t="n">
        <v>45916</v>
      </c>
      <c r="B206" s="3" t="s">
        <v>48</v>
      </c>
      <c r="C206" s="4" t="n">
        <v>3385654</v>
      </c>
      <c r="D206" s="4" t="n">
        <f aca="false">AVERAGE(C200:C206)</f>
        <v>2873397.14285714</v>
      </c>
      <c r="E206" s="4" t="n">
        <f aca="false">AVERAGE(C177:C206)</f>
        <v>2739183.36666667</v>
      </c>
      <c r="F206" s="3" t="s">
        <v>41</v>
      </c>
    </row>
    <row r="207" customFormat="false" ht="15.75" hidden="false" customHeight="true" outlineLevel="0" collapsed="false">
      <c r="A207" s="13" t="n">
        <v>45917</v>
      </c>
      <c r="B207" s="3" t="s">
        <v>40</v>
      </c>
      <c r="C207" s="4" t="n">
        <v>3576693</v>
      </c>
      <c r="D207" s="4" t="n">
        <f aca="false">AVERAGE(C201:C207)</f>
        <v>2859834.71428571</v>
      </c>
      <c r="E207" s="4" t="n">
        <f aca="false">AVERAGE(C178:C207)</f>
        <v>2745423.16666667</v>
      </c>
      <c r="F207" s="3" t="s">
        <v>41</v>
      </c>
    </row>
    <row r="208" customFormat="false" ht="15.75" hidden="false" customHeight="true" outlineLevel="0" collapsed="false">
      <c r="A208" s="13" t="n">
        <v>45918</v>
      </c>
      <c r="B208" s="3" t="s">
        <v>45</v>
      </c>
      <c r="C208" s="4" t="n">
        <v>3181391</v>
      </c>
      <c r="D208" s="4" t="n">
        <f aca="false">AVERAGE(C202:C208)</f>
        <v>2790957.14285714</v>
      </c>
      <c r="E208" s="4" t="n">
        <f aca="false">AVERAGE(C179:C208)</f>
        <v>2744293.66666667</v>
      </c>
      <c r="F208" s="3" t="s">
        <v>41</v>
      </c>
    </row>
    <row r="209" customFormat="false" ht="15.75" hidden="false" customHeight="true" outlineLevel="0" collapsed="false">
      <c r="A209" s="13" t="n">
        <v>45919</v>
      </c>
      <c r="B209" s="3" t="s">
        <v>47</v>
      </c>
      <c r="C209" s="4" t="n">
        <v>1882101</v>
      </c>
      <c r="D209" s="4" t="n">
        <f aca="false">AVERAGE(C203:C209)</f>
        <v>2799795</v>
      </c>
      <c r="E209" s="4" t="n">
        <f aca="false">AVERAGE(C180:C209)</f>
        <v>2703326.13333333</v>
      </c>
      <c r="F209" s="3" t="s">
        <v>41</v>
      </c>
    </row>
    <row r="210" customFormat="false" ht="15.75" hidden="false" customHeight="true" outlineLevel="0" collapsed="false">
      <c r="A210" s="13" t="n">
        <v>45920</v>
      </c>
      <c r="B210" s="3" t="s">
        <v>49</v>
      </c>
      <c r="C210" s="4" t="n">
        <v>1517299</v>
      </c>
      <c r="D210" s="4" t="n">
        <f aca="false">AVERAGE(C204:C210)</f>
        <v>2800656.42857143</v>
      </c>
      <c r="E210" s="4" t="n">
        <f aca="false">AVERAGE(C181:C210)</f>
        <v>2651410.7</v>
      </c>
      <c r="F210" s="3" t="s">
        <v>50</v>
      </c>
    </row>
    <row r="211" customFormat="false" ht="15.75" hidden="false" customHeight="true" outlineLevel="0" collapsed="false">
      <c r="A211" s="13" t="n">
        <v>45921</v>
      </c>
      <c r="B211" s="3" t="s">
        <v>51</v>
      </c>
      <c r="C211" s="4" t="n">
        <v>2452672</v>
      </c>
      <c r="D211" s="4" t="n">
        <f aca="false">AVERAGE(C205:C211)</f>
        <v>2776540.28571429</v>
      </c>
      <c r="E211" s="4" t="n">
        <f aca="false">AVERAGE(C182:C211)</f>
        <v>2674203.33333333</v>
      </c>
      <c r="F211" s="3" t="s">
        <v>50</v>
      </c>
    </row>
    <row r="212" customFormat="false" ht="15.75" hidden="false" customHeight="true" outlineLevel="0" collapsed="false">
      <c r="A212" s="13" t="n">
        <v>45922</v>
      </c>
      <c r="B212" s="3" t="s">
        <v>46</v>
      </c>
      <c r="C212" s="4" t="n">
        <v>3229391</v>
      </c>
      <c r="D212" s="4" t="n">
        <f aca="false">AVERAGE(C206:C212)</f>
        <v>2746457.28571429</v>
      </c>
      <c r="E212" s="4" t="n">
        <f aca="false">AVERAGE(C183:C212)</f>
        <v>2730647.5</v>
      </c>
      <c r="F212" s="3" t="s">
        <v>41</v>
      </c>
    </row>
    <row r="213" customFormat="false" ht="15.75" hidden="false" customHeight="true" outlineLevel="0" collapsed="false">
      <c r="A213" s="13" t="n">
        <v>45923</v>
      </c>
      <c r="B213" s="3" t="s">
        <v>48</v>
      </c>
      <c r="C213" s="4" t="n">
        <v>3266934</v>
      </c>
      <c r="D213" s="4" t="n">
        <f aca="false">AVERAGE(C207:C213)</f>
        <v>2729497.28571429</v>
      </c>
      <c r="E213" s="4" t="n">
        <f aca="false">AVERAGE(C184:C213)</f>
        <v>2753655.5</v>
      </c>
      <c r="F213" s="3" t="s">
        <v>41</v>
      </c>
    </row>
    <row r="214" customFormat="false" ht="15.75" hidden="false" customHeight="true" outlineLevel="0" collapsed="false">
      <c r="A214" s="13" t="n">
        <v>45924</v>
      </c>
      <c r="B214" s="3" t="s">
        <v>40</v>
      </c>
      <c r="C214" s="4" t="n">
        <v>3360624</v>
      </c>
      <c r="D214" s="4" t="n">
        <f aca="false">AVERAGE(C208:C214)</f>
        <v>2698630.28571429</v>
      </c>
      <c r="E214" s="4" t="n">
        <f aca="false">AVERAGE(C185:C214)</f>
        <v>2755041.63333333</v>
      </c>
      <c r="F214" s="3" t="s">
        <v>41</v>
      </c>
    </row>
    <row r="215" customFormat="false" ht="15.75" hidden="false" customHeight="true" outlineLevel="0" collapsed="false">
      <c r="A215" s="13" t="n">
        <v>45925</v>
      </c>
      <c r="B215" s="3" t="s">
        <v>45</v>
      </c>
      <c r="C215" s="4" t="n">
        <v>3323209</v>
      </c>
      <c r="D215" s="4" t="n">
        <f aca="false">AVERAGE(C209:C215)</f>
        <v>2718890</v>
      </c>
      <c r="E215" s="4" t="n">
        <f aca="false">AVERAGE(C186:C215)</f>
        <v>2751305.93333333</v>
      </c>
      <c r="F215" s="3" t="s">
        <v>41</v>
      </c>
    </row>
    <row r="216" customFormat="false" ht="15.75" hidden="false" customHeight="true" outlineLevel="0" collapsed="false">
      <c r="A216" s="13" t="n">
        <v>45926</v>
      </c>
      <c r="B216" s="3" t="s">
        <v>47</v>
      </c>
      <c r="C216" s="4" t="n">
        <v>1981622</v>
      </c>
      <c r="D216" s="4" t="n">
        <f aca="false">AVERAGE(C210:C216)</f>
        <v>2733107.28571429</v>
      </c>
      <c r="E216" s="4" t="n">
        <f aca="false">AVERAGE(C187:C216)</f>
        <v>2710089.7</v>
      </c>
      <c r="F216" s="3" t="s">
        <v>41</v>
      </c>
    </row>
    <row r="217" customFormat="false" ht="15.75" hidden="false" customHeight="true" outlineLevel="0" collapsed="false">
      <c r="A217" s="13" t="n">
        <v>45927</v>
      </c>
      <c r="B217" s="3" t="s">
        <v>49</v>
      </c>
      <c r="C217" s="4" t="n">
        <v>1521398</v>
      </c>
      <c r="D217" s="4" t="n">
        <f aca="false">AVERAGE(C211:C217)</f>
        <v>2733692.85714286</v>
      </c>
      <c r="E217" s="4" t="n">
        <f aca="false">AVERAGE(C188:C217)</f>
        <v>2654324.9</v>
      </c>
      <c r="F217" s="3" t="s">
        <v>50</v>
      </c>
    </row>
    <row r="218" customFormat="false" ht="15.75" hidden="false" customHeight="true" outlineLevel="0" collapsed="false">
      <c r="A218" s="13" t="n">
        <v>45928</v>
      </c>
      <c r="B218" s="3" t="s">
        <v>51</v>
      </c>
      <c r="C218" s="4" t="n">
        <v>2345313</v>
      </c>
      <c r="D218" s="4" t="n">
        <f aca="false">AVERAGE(C212:C218)</f>
        <v>2718355.85714286</v>
      </c>
      <c r="E218" s="4" t="n">
        <f aca="false">AVERAGE(C189:C218)</f>
        <v>2669667.16666667</v>
      </c>
      <c r="F218" s="3" t="s">
        <v>50</v>
      </c>
    </row>
    <row r="219" customFormat="false" ht="15.75" hidden="false" customHeight="true" outlineLevel="0" collapsed="false">
      <c r="A219" s="13" t="n">
        <v>45929</v>
      </c>
      <c r="B219" s="3" t="s">
        <v>46</v>
      </c>
      <c r="C219" s="4" t="n">
        <v>3055439</v>
      </c>
      <c r="D219" s="4" t="n">
        <f aca="false">AVERAGE(C213:C219)</f>
        <v>2693505.57142857</v>
      </c>
      <c r="E219" s="4" t="n">
        <f aca="false">AVERAGE(C190:C219)</f>
        <v>2720374.66666667</v>
      </c>
      <c r="F219" s="3" t="s">
        <v>41</v>
      </c>
    </row>
    <row r="220" customFormat="false" ht="15.75" hidden="false" customHeight="true" outlineLevel="0" collapsed="false">
      <c r="A220" s="13" t="n">
        <v>45930</v>
      </c>
      <c r="B220" s="3" t="s">
        <v>48</v>
      </c>
      <c r="C220" s="4" t="n">
        <v>3359211</v>
      </c>
      <c r="D220" s="4" t="n">
        <f aca="false">AVERAGE(C214:C220)</f>
        <v>2706688</v>
      </c>
      <c r="E220" s="4" t="n">
        <f aca="false">AVERAGE(C191:C220)</f>
        <v>2756296.63333333</v>
      </c>
      <c r="F220" s="3" t="s">
        <v>41</v>
      </c>
    </row>
    <row r="221" customFormat="false" ht="15.75" hidden="false" customHeight="true" outlineLevel="0" collapsed="false">
      <c r="A221" s="13" t="n">
        <v>45931</v>
      </c>
      <c r="B221" s="3" t="s">
        <v>40</v>
      </c>
      <c r="C221" s="4" t="n">
        <v>3397397</v>
      </c>
      <c r="D221" s="4" t="n">
        <f aca="false">AVERAGE(C215:C221)</f>
        <v>2711941.28571429</v>
      </c>
      <c r="E221" s="4" t="n">
        <f aca="false">AVERAGE(C192:C221)</f>
        <v>2829777.9</v>
      </c>
      <c r="F221" s="3" t="s">
        <v>41</v>
      </c>
    </row>
    <row r="222" customFormat="false" ht="15.75" hidden="false" customHeight="true" outlineLevel="0" collapsed="false">
      <c r="A222" s="13" t="n">
        <v>45932</v>
      </c>
      <c r="B222" s="3" t="s">
        <v>45</v>
      </c>
      <c r="C222" s="4" t="n">
        <v>3097838</v>
      </c>
      <c r="D222" s="4" t="n">
        <f aca="false">AVERAGE(C216:C222)</f>
        <v>2679745.42857143</v>
      </c>
      <c r="E222" s="4" t="n">
        <f aca="false">AVERAGE(C193:C222)</f>
        <v>2819589.36666667</v>
      </c>
      <c r="F222" s="3" t="s">
        <v>41</v>
      </c>
    </row>
    <row r="223" customFormat="false" ht="15.75" hidden="false" customHeight="true" outlineLevel="0" collapsed="false">
      <c r="A223" s="13" t="n">
        <v>45933</v>
      </c>
      <c r="B223" s="3" t="s">
        <v>47</v>
      </c>
      <c r="C223" s="4" t="n">
        <v>1830067</v>
      </c>
      <c r="D223" s="4" t="n">
        <f aca="false">AVERAGE(C217:C223)</f>
        <v>2658094.71428571</v>
      </c>
      <c r="E223" s="4" t="n">
        <f aca="false">AVERAGE(C194:C223)</f>
        <v>2768710.3</v>
      </c>
      <c r="F223" s="3" t="s">
        <v>41</v>
      </c>
    </row>
    <row r="224" customFormat="false" ht="15.75" hidden="false" customHeight="true" outlineLevel="0" collapsed="false">
      <c r="A224" s="13" t="n">
        <v>45934</v>
      </c>
      <c r="B224" s="3" t="s">
        <v>49</v>
      </c>
      <c r="C224" s="4" t="n">
        <v>1508585</v>
      </c>
      <c r="D224" s="4" t="n">
        <f aca="false">AVERAGE(C218:C224)</f>
        <v>2656264.28571429</v>
      </c>
      <c r="E224" s="4" t="n">
        <f aca="false">AVERAGE(C195:C224)</f>
        <v>2708380.16666667</v>
      </c>
      <c r="F224" s="3" t="s">
        <v>50</v>
      </c>
    </row>
    <row r="225" customFormat="false" ht="15.75" hidden="false" customHeight="true" outlineLevel="0" collapsed="false">
      <c r="A225" s="13" t="n">
        <v>45935</v>
      </c>
      <c r="B225" s="3" t="s">
        <v>51</v>
      </c>
      <c r="C225" s="4" t="n">
        <v>2492968</v>
      </c>
      <c r="D225" s="4" t="n">
        <f aca="false">AVERAGE(C219:C225)</f>
        <v>2677357.85714286</v>
      </c>
      <c r="E225" s="4" t="n">
        <f aca="false">AVERAGE(C196:C225)</f>
        <v>2725984.16666667</v>
      </c>
      <c r="F225" s="3" t="s">
        <v>50</v>
      </c>
    </row>
    <row r="226" customFormat="false" ht="15.75" hidden="false" customHeight="true" outlineLevel="0" collapsed="false">
      <c r="A226" s="13" t="n">
        <v>45936</v>
      </c>
      <c r="B226" s="3" t="s">
        <v>46</v>
      </c>
      <c r="C226" s="4" t="n">
        <v>3257105</v>
      </c>
      <c r="D226" s="4" t="n">
        <f aca="false">AVERAGE(C220:C226)</f>
        <v>2706167.28571429</v>
      </c>
      <c r="E226" s="4" t="n">
        <f aca="false">AVERAGE(C197:C226)</f>
        <v>2782369.63333333</v>
      </c>
      <c r="F226" s="3" t="s">
        <v>41</v>
      </c>
    </row>
    <row r="227" customFormat="false" ht="15.75" hidden="false" customHeight="true" outlineLevel="0" collapsed="false">
      <c r="A227" s="13" t="n">
        <v>45937</v>
      </c>
      <c r="B227" s="3" t="s">
        <v>48</v>
      </c>
      <c r="C227" s="4" t="n">
        <v>3463835</v>
      </c>
      <c r="D227" s="4" t="n">
        <f aca="false">AVERAGE(C221:C227)</f>
        <v>2721113.57142857</v>
      </c>
      <c r="E227" s="4" t="n">
        <f aca="false">AVERAGE(C198:C227)</f>
        <v>2809891.23333333</v>
      </c>
      <c r="F227" s="3" t="s">
        <v>41</v>
      </c>
    </row>
    <row r="228" customFormat="false" ht="15.75" hidden="false" customHeight="true" outlineLevel="0" collapsed="false">
      <c r="A228" s="13" t="n">
        <v>45938</v>
      </c>
      <c r="B228" s="3" t="s">
        <v>40</v>
      </c>
      <c r="C228" s="4" t="n">
        <v>3481639</v>
      </c>
      <c r="D228" s="4" t="n">
        <f aca="false">AVERAGE(C222:C228)</f>
        <v>2733148.14285714</v>
      </c>
      <c r="E228" s="4" t="n">
        <f aca="false">AVERAGE(C199:C228)</f>
        <v>2811265.03333333</v>
      </c>
      <c r="F228" s="3" t="s">
        <v>41</v>
      </c>
    </row>
    <row r="229" customFormat="false" ht="15.75" hidden="false" customHeight="true" outlineLevel="0" collapsed="false">
      <c r="A229" s="13" t="n">
        <v>45939</v>
      </c>
      <c r="B229" s="3" t="s">
        <v>45</v>
      </c>
      <c r="C229" s="4" t="n">
        <v>3350701</v>
      </c>
      <c r="D229" s="4" t="n">
        <f aca="false">AVERAGE(C223:C229)</f>
        <v>2769271.42857143</v>
      </c>
      <c r="E229" s="4" t="n">
        <f aca="false">AVERAGE(C200:C229)</f>
        <v>2801573.73333333</v>
      </c>
      <c r="F229" s="3" t="s">
        <v>41</v>
      </c>
    </row>
    <row r="230" customFormat="false" ht="15.75" hidden="false" customHeight="true" outlineLevel="0" collapsed="false">
      <c r="A230" s="13" t="n">
        <v>45940</v>
      </c>
      <c r="B230" s="3" t="s">
        <v>47</v>
      </c>
      <c r="C230" s="4" t="n">
        <v>1935208</v>
      </c>
      <c r="D230" s="4" t="n">
        <f aca="false">AVERAGE(C224:C230)</f>
        <v>2784291.57142857</v>
      </c>
      <c r="E230" s="4" t="n">
        <f aca="false">AVERAGE(C201:C230)</f>
        <v>2743693</v>
      </c>
      <c r="F230" s="3" t="s">
        <v>41</v>
      </c>
    </row>
    <row r="231" customFormat="false" ht="15.75" hidden="false" customHeight="true" outlineLevel="0" collapsed="false">
      <c r="A231" s="13" t="n">
        <v>45941</v>
      </c>
      <c r="B231" s="3" t="s">
        <v>49</v>
      </c>
      <c r="C231" s="4" t="n">
        <v>1580311</v>
      </c>
      <c r="D231" s="4" t="n">
        <f aca="false">AVERAGE(C225:C231)</f>
        <v>2794538.14285714</v>
      </c>
      <c r="E231" s="4" t="n">
        <f aca="false">AVERAGE(C202:C231)</f>
        <v>2674252.23333333</v>
      </c>
      <c r="F231" s="3" t="s">
        <v>50</v>
      </c>
    </row>
    <row r="232" customFormat="false" ht="15.75" hidden="false" customHeight="true" outlineLevel="0" collapsed="false">
      <c r="A232" s="13" t="n">
        <v>45942</v>
      </c>
      <c r="B232" s="3" t="s">
        <v>51</v>
      </c>
      <c r="C232" s="4" t="n">
        <v>2516309</v>
      </c>
      <c r="D232" s="4" t="n">
        <f aca="false">AVERAGE(C226:C232)</f>
        <v>2797872.57142857</v>
      </c>
      <c r="E232" s="4" t="n">
        <f aca="false">AVERAGE(C203:C232)</f>
        <v>2697454.66666667</v>
      </c>
      <c r="F232" s="3" t="s">
        <v>50</v>
      </c>
    </row>
    <row r="233" customFormat="false" ht="15.75" hidden="false" customHeight="true" outlineLevel="0" collapsed="false">
      <c r="A233" s="13" t="n">
        <v>45943</v>
      </c>
      <c r="B233" s="3" t="s">
        <v>46</v>
      </c>
      <c r="C233" s="4" t="n">
        <v>3334529</v>
      </c>
      <c r="D233" s="4" t="n">
        <f aca="false">AVERAGE(C227:C233)</f>
        <v>2808933.14285714</v>
      </c>
      <c r="E233" s="4" t="n">
        <f aca="false">AVERAGE(C204:C233)</f>
        <v>2758230</v>
      </c>
      <c r="F233" s="3" t="s">
        <v>41</v>
      </c>
    </row>
    <row r="234" customFormat="false" ht="15.75" hidden="false" customHeight="true" outlineLevel="0" collapsed="false">
      <c r="A234" s="13" t="n">
        <v>45944</v>
      </c>
      <c r="B234" s="3" t="s">
        <v>48</v>
      </c>
      <c r="C234" s="4" t="n">
        <v>3580269</v>
      </c>
      <c r="D234" s="4" t="n">
        <f aca="false">AVERAGE(C228:C234)</f>
        <v>2825566.57142857</v>
      </c>
      <c r="E234" s="4" t="n">
        <f aca="false">AVERAGE(C205:C234)</f>
        <v>2790189.46666667</v>
      </c>
      <c r="F234" s="3" t="s">
        <v>41</v>
      </c>
    </row>
    <row r="235" customFormat="false" ht="15.75" hidden="false" customHeight="true" outlineLevel="0" collapsed="false">
      <c r="A235" s="13" t="n">
        <v>45945</v>
      </c>
      <c r="B235" s="3" t="s">
        <v>40</v>
      </c>
      <c r="C235" s="4" t="n">
        <v>3371483</v>
      </c>
      <c r="D235" s="4" t="n">
        <f aca="false">AVERAGE(C229:C235)</f>
        <v>2809830</v>
      </c>
      <c r="E235" s="4" t="n">
        <f aca="false">AVERAGE(C206:C235)</f>
        <v>2787906.5</v>
      </c>
      <c r="F235" s="3" t="s">
        <v>41</v>
      </c>
    </row>
    <row r="236" customFormat="false" ht="15.75" hidden="false" customHeight="true" outlineLevel="0" collapsed="false">
      <c r="A236" s="13" t="n">
        <v>45946</v>
      </c>
      <c r="B236" s="3" t="s">
        <v>45</v>
      </c>
      <c r="C236" s="4" t="n">
        <v>3560694</v>
      </c>
      <c r="D236" s="4" t="n">
        <f aca="false">AVERAGE(C230:C236)</f>
        <v>2839829</v>
      </c>
      <c r="E236" s="4" t="n">
        <f aca="false">AVERAGE(C207:C236)</f>
        <v>2793741.16666667</v>
      </c>
      <c r="F236" s="3" t="s">
        <v>41</v>
      </c>
    </row>
    <row r="237" customFormat="false" ht="15.75" hidden="false" customHeight="true" outlineLevel="0" collapsed="false">
      <c r="A237" s="13" t="n">
        <v>45947</v>
      </c>
      <c r="B237" s="3" t="s">
        <v>47</v>
      </c>
      <c r="C237" s="4" t="n">
        <v>1932931</v>
      </c>
      <c r="D237" s="4" t="n">
        <f aca="false">AVERAGE(C231:C237)</f>
        <v>2839503.71428571</v>
      </c>
      <c r="E237" s="4" t="n">
        <f aca="false">AVERAGE(C208:C237)</f>
        <v>2738949.1</v>
      </c>
      <c r="F237" s="3" t="s">
        <v>41</v>
      </c>
    </row>
    <row r="238" customFormat="false" ht="15.75" hidden="false" customHeight="true" outlineLevel="0" collapsed="false">
      <c r="A238" s="13" t="n">
        <v>45948</v>
      </c>
      <c r="B238" s="3" t="s">
        <v>49</v>
      </c>
      <c r="C238" s="4" t="n">
        <v>1275385</v>
      </c>
      <c r="D238" s="4" t="n">
        <f aca="false">AVERAGE(C232:C238)</f>
        <v>2795942.85714286</v>
      </c>
      <c r="E238" s="4" t="n">
        <f aca="false">AVERAGE(C209:C238)</f>
        <v>2675415.56666667</v>
      </c>
      <c r="F238" s="3" t="s">
        <v>50</v>
      </c>
    </row>
    <row r="239" customFormat="false" ht="15.75" hidden="false" customHeight="true" outlineLevel="0" collapsed="false">
      <c r="A239" s="13" t="n">
        <v>45949</v>
      </c>
      <c r="B239" s="3" t="s">
        <v>51</v>
      </c>
      <c r="C239" s="4" t="n">
        <v>2691752</v>
      </c>
      <c r="D239" s="4" t="n">
        <f aca="false">AVERAGE(C233:C239)</f>
        <v>2821006.14285714</v>
      </c>
      <c r="E239" s="4" t="n">
        <f aca="false">AVERAGE(C210:C239)</f>
        <v>2702403.93333333</v>
      </c>
      <c r="F239" s="3" t="s">
        <v>50</v>
      </c>
    </row>
    <row r="240" customFormat="false" ht="15.75" hidden="false" customHeight="true" outlineLevel="0" collapsed="false">
      <c r="A240" s="13" t="n">
        <v>45950</v>
      </c>
      <c r="B240" s="3" t="s">
        <v>46</v>
      </c>
      <c r="C240" s="4" t="n">
        <v>3476334</v>
      </c>
      <c r="D240" s="4" t="n">
        <f aca="false">AVERAGE(C234:C240)</f>
        <v>2841264</v>
      </c>
      <c r="E240" s="4" t="n">
        <f aca="false">AVERAGE(C211:C240)</f>
        <v>2767705.1</v>
      </c>
      <c r="F240" s="3" t="s">
        <v>41</v>
      </c>
    </row>
    <row r="241" customFormat="false" ht="15.75" hidden="false" customHeight="true" outlineLevel="0" collapsed="false">
      <c r="A241" s="13" t="n">
        <v>45951</v>
      </c>
      <c r="B241" s="3" t="s">
        <v>48</v>
      </c>
      <c r="C241" s="4" t="n">
        <v>3306658</v>
      </c>
      <c r="D241" s="4" t="n">
        <f aca="false">AVERAGE(C235:C241)</f>
        <v>2802176.71428571</v>
      </c>
      <c r="E241" s="4" t="n">
        <f aca="false">AVERAGE(C212:C241)</f>
        <v>2796171.3</v>
      </c>
      <c r="F241" s="3" t="s">
        <v>41</v>
      </c>
    </row>
    <row r="242" customFormat="false" ht="15.75" hidden="false" customHeight="true" outlineLevel="0" collapsed="false">
      <c r="A242" s="13" t="n">
        <v>45952</v>
      </c>
      <c r="B242" s="3" t="s">
        <v>40</v>
      </c>
      <c r="C242" s="4" t="n">
        <v>3643536</v>
      </c>
      <c r="D242" s="4" t="n">
        <f aca="false">AVERAGE(C236:C242)</f>
        <v>2841041.42857143</v>
      </c>
      <c r="E242" s="4" t="n">
        <f aca="false">AVERAGE(C213:C242)</f>
        <v>2809976.13333333</v>
      </c>
      <c r="F242" s="3" t="s">
        <v>41</v>
      </c>
    </row>
    <row r="243" customFormat="false" ht="15.75" hidden="false" customHeight="true" outlineLevel="0" collapsed="false">
      <c r="A243" s="13" t="n">
        <v>45953</v>
      </c>
      <c r="B243" s="3" t="s">
        <v>45</v>
      </c>
      <c r="C243" s="4" t="n">
        <v>3312676</v>
      </c>
      <c r="D243" s="4" t="n">
        <f aca="false">AVERAGE(C237:C243)</f>
        <v>2805610.28571429</v>
      </c>
      <c r="E243" s="4" t="n">
        <f aca="false">AVERAGE(C214:C243)</f>
        <v>2811500.86666667</v>
      </c>
      <c r="F243" s="3" t="s">
        <v>41</v>
      </c>
    </row>
    <row r="244" customFormat="false" ht="15.75" hidden="false" customHeight="true" outlineLevel="0" collapsed="false">
      <c r="A244" s="13" t="n">
        <v>45954</v>
      </c>
      <c r="B244" s="3" t="s">
        <v>47</v>
      </c>
      <c r="C244" s="4" t="n">
        <v>3110717</v>
      </c>
      <c r="D244" s="4" t="n">
        <f aca="false">AVERAGE(C238:C244)</f>
        <v>2973865.42857143</v>
      </c>
      <c r="E244" s="4" t="n">
        <f aca="false">AVERAGE(C215:C244)</f>
        <v>2803170.63333333</v>
      </c>
      <c r="F244" s="3" t="s">
        <v>41</v>
      </c>
    </row>
    <row r="245" customFormat="false" ht="15.75" hidden="false" customHeight="true" outlineLevel="0" collapsed="false">
      <c r="A245" s="13" t="n">
        <v>45955</v>
      </c>
      <c r="B245" s="3" t="s">
        <v>49</v>
      </c>
      <c r="C245" s="4" t="n">
        <v>2004265</v>
      </c>
      <c r="D245" s="4" t="n">
        <f aca="false">AVERAGE(C239:C245)</f>
        <v>3077991.14285714</v>
      </c>
      <c r="E245" s="4" t="n">
        <f aca="false">AVERAGE(C216:C245)</f>
        <v>2759205.83333333</v>
      </c>
      <c r="F245" s="3" t="s">
        <v>50</v>
      </c>
    </row>
    <row r="246" customFormat="false" ht="15.75" hidden="false" customHeight="true" outlineLevel="0" collapsed="false">
      <c r="A246" s="13" t="n">
        <v>45956</v>
      </c>
      <c r="B246" s="3" t="s">
        <v>51</v>
      </c>
      <c r="C246" s="4" t="n">
        <v>3252432</v>
      </c>
      <c r="D246" s="4" t="n">
        <f aca="false">AVERAGE(C240:C246)</f>
        <v>3158088.28571429</v>
      </c>
      <c r="E246" s="4" t="n">
        <f aca="false">AVERAGE(C217:C246)</f>
        <v>2801566.16666667</v>
      </c>
      <c r="F246" s="3" t="s">
        <v>50</v>
      </c>
    </row>
    <row r="247" customFormat="false" ht="15.75" hidden="false" customHeight="true" outlineLevel="0" collapsed="false">
      <c r="A247" s="13" t="n">
        <v>45957</v>
      </c>
      <c r="B247" s="3" t="s">
        <v>46</v>
      </c>
      <c r="C247" s="4" t="n">
        <v>4247668</v>
      </c>
      <c r="D247" s="4" t="n">
        <f aca="false">AVERAGE(C241:C247)</f>
        <v>3268278.85714286</v>
      </c>
      <c r="E247" s="4" t="n">
        <f aca="false">AVERAGE(C218:C247)</f>
        <v>2892441.83333333</v>
      </c>
      <c r="F247" s="3" t="s">
        <v>41</v>
      </c>
    </row>
    <row r="248" customFormat="false" ht="15.75" hidden="false" customHeight="true" outlineLevel="0" collapsed="false">
      <c r="A248" s="13" t="n">
        <v>45958</v>
      </c>
      <c r="B248" s="3" t="s">
        <v>48</v>
      </c>
      <c r="C248" s="4" t="n">
        <v>4300087</v>
      </c>
      <c r="D248" s="4" t="n">
        <f aca="false">AVERAGE(C242:C248)</f>
        <v>3410197.28571429</v>
      </c>
      <c r="E248" s="4" t="n">
        <f aca="false">AVERAGE(C219:C248)</f>
        <v>2957600.96666667</v>
      </c>
      <c r="F248" s="3" t="s">
        <v>41</v>
      </c>
    </row>
    <row r="249" customFormat="false" ht="15.75" hidden="false" customHeight="true" outlineLevel="0" collapsed="false">
      <c r="A249" s="13" t="n">
        <v>45959</v>
      </c>
      <c r="B249" s="3" t="s">
        <v>40</v>
      </c>
      <c r="C249" s="4" t="n">
        <v>4744359</v>
      </c>
      <c r="D249" s="4" t="n">
        <f aca="false">AVERAGE(C243:C249)</f>
        <v>3567457.71428571</v>
      </c>
      <c r="E249" s="4" t="n">
        <f aca="false">AVERAGE(C220:C249)</f>
        <v>3013898.3</v>
      </c>
      <c r="F249" s="3" t="s">
        <v>41</v>
      </c>
    </row>
    <row r="250" customFormat="false" ht="15.75" hidden="false" customHeight="true" outlineLevel="0" collapsed="false">
      <c r="A250" s="13" t="n">
        <v>45960</v>
      </c>
      <c r="B250" s="3" t="s">
        <v>45</v>
      </c>
      <c r="C250" s="4" t="n">
        <v>4049749</v>
      </c>
      <c r="D250" s="4" t="n">
        <f aca="false">AVERAGE(C244:C250)</f>
        <v>3672753.85714286</v>
      </c>
      <c r="E250" s="4" t="n">
        <f aca="false">AVERAGE(C221:C250)</f>
        <v>3036916.23333333</v>
      </c>
      <c r="F250" s="3" t="s">
        <v>41</v>
      </c>
    </row>
    <row r="251" customFormat="false" ht="15.75" hidden="false" customHeight="true" outlineLevel="0" collapsed="false">
      <c r="A251" s="13" t="n">
        <v>45961</v>
      </c>
      <c r="B251" s="3" t="s">
        <v>47</v>
      </c>
      <c r="C251" s="4" t="n">
        <v>2752874</v>
      </c>
      <c r="D251" s="4" t="n">
        <f aca="false">AVERAGE(C245:C251)</f>
        <v>3621633.42857143</v>
      </c>
      <c r="E251" s="4" t="n">
        <f aca="false">AVERAGE(C222:C251)</f>
        <v>3015432.13333333</v>
      </c>
      <c r="F251" s="3" t="s">
        <v>41</v>
      </c>
    </row>
    <row r="252" customFormat="false" ht="15.75" hidden="false" customHeight="true" outlineLevel="0" collapsed="false">
      <c r="A252" s="13" t="n">
        <v>45962</v>
      </c>
      <c r="B252" s="3" t="s">
        <v>49</v>
      </c>
      <c r="C252" s="4" t="n">
        <v>1917900</v>
      </c>
      <c r="D252" s="4" t="n">
        <f aca="false">AVERAGE(C246:C252)</f>
        <v>3609295.57142857</v>
      </c>
      <c r="E252" s="4" t="n">
        <f aca="false">AVERAGE(C223:C252)</f>
        <v>2976100.86666667</v>
      </c>
      <c r="F252" s="3" t="s">
        <v>50</v>
      </c>
    </row>
    <row r="253" customFormat="false" ht="15.75" hidden="false" customHeight="true" outlineLevel="0" collapsed="false">
      <c r="A253" s="13" t="n">
        <v>45963</v>
      </c>
      <c r="B253" s="3" t="s">
        <v>51</v>
      </c>
      <c r="C253" s="4" t="n">
        <v>3556361</v>
      </c>
      <c r="D253" s="4" t="n">
        <f aca="false">AVERAGE(C247:C253)</f>
        <v>3652714</v>
      </c>
      <c r="E253" s="4" t="n">
        <f aca="false">AVERAGE(C224:C253)</f>
        <v>3033644</v>
      </c>
      <c r="F253" s="3" t="s">
        <v>50</v>
      </c>
    </row>
    <row r="254" customFormat="false" ht="15.75" hidden="false" customHeight="true" outlineLevel="0" collapsed="false">
      <c r="A254" s="13" t="n">
        <v>45964</v>
      </c>
      <c r="B254" s="3" t="s">
        <v>46</v>
      </c>
      <c r="C254" s="4" t="n">
        <v>4522633</v>
      </c>
      <c r="D254" s="4" t="n">
        <f aca="false">AVERAGE(C248:C254)</f>
        <v>3691994.71428571</v>
      </c>
      <c r="E254" s="4" t="n">
        <f aca="false">AVERAGE(C225:C254)</f>
        <v>3134112.26666667</v>
      </c>
      <c r="F254" s="3" t="s">
        <v>41</v>
      </c>
    </row>
    <row r="255" customFormat="false" ht="15.75" hidden="false" customHeight="true" outlineLevel="0" collapsed="false">
      <c r="A255" s="13" t="n">
        <v>45965</v>
      </c>
      <c r="B255" s="3" t="s">
        <v>48</v>
      </c>
      <c r="C255" s="4" t="n">
        <v>4424012</v>
      </c>
      <c r="D255" s="4" t="n">
        <f aca="false">AVERAGE(C249:C255)</f>
        <v>3709698.28571429</v>
      </c>
      <c r="E255" s="4" t="n">
        <f aca="false">AVERAGE(C226:C255)</f>
        <v>3198480.4</v>
      </c>
      <c r="F255" s="3" t="s">
        <v>41</v>
      </c>
    </row>
    <row r="256" customFormat="false" ht="15.75" hidden="false" customHeight="true" outlineLevel="0" collapsed="false">
      <c r="A256" s="13" t="n">
        <v>45966</v>
      </c>
      <c r="B256" s="3" t="s">
        <v>40</v>
      </c>
      <c r="C256" s="4" t="n">
        <v>4298326</v>
      </c>
      <c r="D256" s="4" t="n">
        <f aca="false">AVERAGE(C250:C256)</f>
        <v>3645979.28571429</v>
      </c>
      <c r="E256" s="4" t="n">
        <f aca="false">AVERAGE(C227:C256)</f>
        <v>3233187.76666667</v>
      </c>
      <c r="F256" s="3" t="s">
        <v>41</v>
      </c>
    </row>
    <row r="257" customFormat="false" ht="15.75" hidden="false" customHeight="true" outlineLevel="0" collapsed="false">
      <c r="A257" s="13" t="n">
        <v>45967</v>
      </c>
      <c r="B257" s="3" t="s">
        <v>45</v>
      </c>
      <c r="C257" s="4" t="n">
        <v>4800163</v>
      </c>
      <c r="D257" s="4" t="n">
        <f aca="false">AVERAGE(C251:C257)</f>
        <v>3753181.28571429</v>
      </c>
      <c r="E257" s="4" t="n">
        <f aca="false">AVERAGE(C228:C257)</f>
        <v>3277732.03333333</v>
      </c>
      <c r="F257" s="3" t="s">
        <v>41</v>
      </c>
    </row>
    <row r="258" customFormat="false" ht="15.75" hidden="false" customHeight="true" outlineLevel="0" collapsed="false">
      <c r="A258" s="13" t="n">
        <v>45968</v>
      </c>
      <c r="B258" s="3" t="s">
        <v>47</v>
      </c>
      <c r="C258" s="4" t="n">
        <v>4429114</v>
      </c>
      <c r="D258" s="4" t="n">
        <f aca="false">AVERAGE(C252:C258)</f>
        <v>3992644.14285714</v>
      </c>
      <c r="E258" s="4" t="n">
        <f aca="false">AVERAGE(C229:C258)</f>
        <v>3309314.53333333</v>
      </c>
      <c r="F258" s="3" t="s">
        <v>41</v>
      </c>
    </row>
    <row r="259" customFormat="false" ht="15.75" hidden="false" customHeight="true" outlineLevel="0" collapsed="false">
      <c r="A259" s="13" t="n">
        <v>45969</v>
      </c>
      <c r="B259" s="3" t="s">
        <v>49</v>
      </c>
      <c r="C259" s="4" t="n">
        <v>2280987</v>
      </c>
      <c r="D259" s="4" t="n">
        <f aca="false">AVERAGE(C253:C259)</f>
        <v>4044513.71428571</v>
      </c>
      <c r="E259" s="4" t="n">
        <f aca="false">AVERAGE(C230:C259)</f>
        <v>3273657.4</v>
      </c>
      <c r="F259" s="3" t="s">
        <v>50</v>
      </c>
    </row>
    <row r="260" customFormat="false" ht="15.75" hidden="false" customHeight="true" outlineLevel="0" collapsed="false">
      <c r="A260" s="13" t="n">
        <v>45970</v>
      </c>
      <c r="B260" s="3" t="s">
        <v>51</v>
      </c>
      <c r="C260" s="4" t="n">
        <v>3692905</v>
      </c>
      <c r="D260" s="4" t="n">
        <f aca="false">AVERAGE(C254:C260)</f>
        <v>4064020</v>
      </c>
      <c r="E260" s="4" t="n">
        <f aca="false">AVERAGE(C231:C260)</f>
        <v>3332247.3</v>
      </c>
      <c r="F260" s="3" t="s">
        <v>50</v>
      </c>
    </row>
    <row r="261" customFormat="false" ht="15.75" hidden="false" customHeight="true" outlineLevel="0" collapsed="false">
      <c r="A261" s="13" t="n">
        <v>45971</v>
      </c>
      <c r="B261" s="3" t="s">
        <v>46</v>
      </c>
      <c r="C261" s="4" t="n">
        <v>4597191</v>
      </c>
      <c r="D261" s="4" t="n">
        <f aca="false">AVERAGE(C255:C261)</f>
        <v>4074671.14285714</v>
      </c>
      <c r="E261" s="4" t="n">
        <f aca="false">AVERAGE(C232:C261)</f>
        <v>3432809.96666667</v>
      </c>
      <c r="F261" s="3" t="s">
        <v>41</v>
      </c>
    </row>
    <row r="262" customFormat="false" ht="15.75" hidden="false" customHeight="true" outlineLevel="0" collapsed="false">
      <c r="A262" s="13" t="n">
        <v>45972</v>
      </c>
      <c r="B262" s="3" t="s">
        <v>48</v>
      </c>
      <c r="C262" s="4" t="n">
        <v>4410752</v>
      </c>
      <c r="D262" s="4" t="n">
        <f aca="false">AVERAGE(C256:C262)</f>
        <v>4072776.85714286</v>
      </c>
      <c r="E262" s="4" t="n">
        <f aca="false">AVERAGE(C233:C262)</f>
        <v>3495958.06666667</v>
      </c>
      <c r="F262" s="3" t="s">
        <v>41</v>
      </c>
    </row>
    <row r="263" customFormat="false" ht="15.75" hidden="false" customHeight="true" outlineLevel="0" collapsed="false">
      <c r="A263" s="13" t="n">
        <v>45973</v>
      </c>
      <c r="B263" s="3" t="s">
        <v>40</v>
      </c>
      <c r="C263" s="4" t="n">
        <v>3953416</v>
      </c>
      <c r="D263" s="4" t="n">
        <f aca="false">AVERAGE(C257:C263)</f>
        <v>4023504</v>
      </c>
      <c r="E263" s="4" t="n">
        <f aca="false">AVERAGE(C234:C263)</f>
        <v>3516587.63333333</v>
      </c>
      <c r="F263" s="3" t="s">
        <v>41</v>
      </c>
    </row>
    <row r="264" customFormat="false" ht="15.75" hidden="false" customHeight="true" outlineLevel="0" collapsed="false">
      <c r="A264" s="13" t="n">
        <v>45974</v>
      </c>
      <c r="B264" s="3" t="s">
        <v>45</v>
      </c>
      <c r="C264" s="4" t="n">
        <v>4305035</v>
      </c>
      <c r="D264" s="4" t="n">
        <f aca="false">AVERAGE(C258:C264)</f>
        <v>3952771.42857143</v>
      </c>
      <c r="E264" s="4" t="n">
        <f aca="false">AVERAGE(C235:C264)</f>
        <v>3540746.5</v>
      </c>
      <c r="F264" s="3" t="s">
        <v>41</v>
      </c>
    </row>
    <row r="265" customFormat="false" ht="15.75" hidden="false" customHeight="true" outlineLevel="0" collapsed="false">
      <c r="A265" s="13" t="n">
        <v>45975</v>
      </c>
      <c r="B265" s="3" t="s">
        <v>47</v>
      </c>
      <c r="C265" s="4" t="n">
        <v>4099751</v>
      </c>
      <c r="D265" s="4" t="n">
        <f aca="false">AVERAGE(C259:C265)</f>
        <v>3905719.57142857</v>
      </c>
      <c r="E265" s="4" t="n">
        <f aca="false">AVERAGE(C236:C265)</f>
        <v>3565022.1</v>
      </c>
      <c r="F265" s="3" t="s">
        <v>41</v>
      </c>
    </row>
    <row r="266" customFormat="false" ht="15.75" hidden="false" customHeight="true" outlineLevel="0" collapsed="false">
      <c r="A266" s="13" t="n">
        <v>45976</v>
      </c>
      <c r="B266" s="3" t="s">
        <v>49</v>
      </c>
      <c r="C266" s="4" t="n">
        <v>2235168</v>
      </c>
      <c r="D266" s="4" t="n">
        <f aca="false">AVERAGE(C260:C266)</f>
        <v>3899174</v>
      </c>
      <c r="E266" s="4" t="n">
        <f aca="false">AVERAGE(C237:C266)</f>
        <v>3520837.9</v>
      </c>
      <c r="F266" s="3" t="s">
        <v>50</v>
      </c>
    </row>
    <row r="267" customFormat="false" ht="15.75" hidden="false" customHeight="true" outlineLevel="0" collapsed="false">
      <c r="A267" s="13" t="n">
        <v>45977</v>
      </c>
      <c r="B267" s="3" t="s">
        <v>51</v>
      </c>
      <c r="C267" s="4" t="n">
        <v>3929392</v>
      </c>
      <c r="D267" s="4" t="n">
        <f aca="false">AVERAGE(C261:C267)</f>
        <v>3932957.85714286</v>
      </c>
      <c r="E267" s="4" t="n">
        <f aca="false">AVERAGE(C238:C267)</f>
        <v>3587386.6</v>
      </c>
      <c r="F267" s="3" t="s">
        <v>50</v>
      </c>
    </row>
    <row r="268" customFormat="false" ht="15.75" hidden="false" customHeight="true" outlineLevel="0" collapsed="false">
      <c r="A268" s="13" t="n">
        <v>45978</v>
      </c>
      <c r="B268" s="3" t="s">
        <v>46</v>
      </c>
      <c r="C268" s="4" t="n">
        <v>4783157</v>
      </c>
      <c r="D268" s="4" t="n">
        <f aca="false">AVERAGE(C262:C268)</f>
        <v>3959524.42857143</v>
      </c>
      <c r="E268" s="4" t="n">
        <f aca="false">AVERAGE(C239:C268)</f>
        <v>3704312.33333333</v>
      </c>
      <c r="F268" s="3" t="s">
        <v>41</v>
      </c>
    </row>
    <row r="269" customFormat="false" ht="15.75" hidden="false" customHeight="true" outlineLevel="0" collapsed="false">
      <c r="A269" s="13" t="n">
        <v>45979</v>
      </c>
      <c r="B269" s="3" t="s">
        <v>48</v>
      </c>
      <c r="C269" s="4" t="n">
        <v>4582127</v>
      </c>
      <c r="D269" s="4" t="n">
        <f aca="false">AVERAGE(C263:C269)</f>
        <v>3984006.57142857</v>
      </c>
      <c r="E269" s="4" t="n">
        <f aca="false">AVERAGE(C240:C269)</f>
        <v>3767324.83333333</v>
      </c>
      <c r="F269" s="3" t="s">
        <v>41</v>
      </c>
    </row>
    <row r="270" customFormat="false" ht="15.75" hidden="false" customHeight="true" outlineLevel="0" collapsed="false">
      <c r="A270" s="13" t="n">
        <v>45980</v>
      </c>
      <c r="B270" s="3" t="s">
        <v>40</v>
      </c>
      <c r="C270" s="4" t="n">
        <v>4498950</v>
      </c>
      <c r="D270" s="4" t="n">
        <f aca="false">AVERAGE(C264:C270)</f>
        <v>4061940</v>
      </c>
      <c r="E270" s="4" t="n">
        <f aca="false">AVERAGE(C241:C270)</f>
        <v>3801412.03333333</v>
      </c>
      <c r="F270" s="3" t="s">
        <v>41</v>
      </c>
    </row>
    <row r="271" customFormat="false" ht="15.75" hidden="false" customHeight="true" outlineLevel="0" collapsed="false">
      <c r="A271" s="13" t="n">
        <v>45981</v>
      </c>
      <c r="B271" s="3" t="s">
        <v>45</v>
      </c>
      <c r="C271" s="4" t="n">
        <v>4218325</v>
      </c>
      <c r="D271" s="4" t="n">
        <f aca="false">AVERAGE(C265:C271)</f>
        <v>4049552.85714286</v>
      </c>
      <c r="E271" s="4" t="n">
        <f aca="false">AVERAGE(C242:C271)</f>
        <v>3831800.93333333</v>
      </c>
      <c r="F271" s="3" t="s">
        <v>41</v>
      </c>
    </row>
    <row r="272" customFormat="false" ht="15.75" hidden="false" customHeight="true" outlineLevel="0" collapsed="false">
      <c r="A272" s="13" t="n">
        <v>45982</v>
      </c>
      <c r="B272" s="3" t="s">
        <v>47</v>
      </c>
      <c r="C272" s="4" t="n">
        <v>3504357</v>
      </c>
      <c r="D272" s="4" t="n">
        <f aca="false">AVERAGE(C266:C272)</f>
        <v>3964496.57142857</v>
      </c>
      <c r="E272" s="4" t="n">
        <f aca="false">AVERAGE(C243:C272)</f>
        <v>3827161.63333333</v>
      </c>
      <c r="F272" s="3" t="s">
        <v>41</v>
      </c>
    </row>
    <row r="273" customFormat="false" ht="15.75" hidden="false" customHeight="true" outlineLevel="0" collapsed="false">
      <c r="A273" s="13" t="n">
        <v>45983</v>
      </c>
      <c r="B273" s="3" t="s">
        <v>49</v>
      </c>
      <c r="C273" s="4" t="n">
        <v>1819803</v>
      </c>
      <c r="D273" s="4" t="n">
        <f aca="false">AVERAGE(C267:C273)</f>
        <v>3905158.71428571</v>
      </c>
      <c r="E273" s="4" t="n">
        <f aca="false">AVERAGE(C244:C273)</f>
        <v>3777399.2</v>
      </c>
      <c r="F273" s="3" t="s">
        <v>50</v>
      </c>
    </row>
    <row r="274" customFormat="false" ht="15.75" hidden="false" customHeight="true" outlineLevel="0" collapsed="false">
      <c r="A274" s="13" t="n">
        <v>45984</v>
      </c>
      <c r="B274" s="3" t="s">
        <v>51</v>
      </c>
      <c r="C274" s="4" t="n">
        <v>3254389</v>
      </c>
      <c r="D274" s="4" t="n">
        <f aca="false">AVERAGE(C268:C274)</f>
        <v>3808729.71428571</v>
      </c>
      <c r="E274" s="4" t="n">
        <f aca="false">AVERAGE(C245:C274)</f>
        <v>3782188.26666667</v>
      </c>
      <c r="F274" s="3" t="s">
        <v>50</v>
      </c>
    </row>
    <row r="275" customFormat="false" ht="15.75" hidden="false" customHeight="true" outlineLevel="0" collapsed="false">
      <c r="A275" s="13" t="n">
        <v>45985</v>
      </c>
      <c r="B275" s="3" t="s">
        <v>46</v>
      </c>
      <c r="C275" s="4" t="n">
        <v>4206007</v>
      </c>
      <c r="D275" s="4" t="n">
        <f aca="false">AVERAGE(C269:C275)</f>
        <v>3726279.71428571</v>
      </c>
      <c r="E275" s="4" t="n">
        <f aca="false">AVERAGE(C246:C275)</f>
        <v>3855579.66666667</v>
      </c>
      <c r="F275" s="3" t="s">
        <v>41</v>
      </c>
    </row>
    <row r="276" customFormat="false" ht="15.75" hidden="false" customHeight="true" outlineLevel="0" collapsed="false">
      <c r="A276" s="13" t="n">
        <v>45986</v>
      </c>
      <c r="B276" s="3" t="s">
        <v>48</v>
      </c>
      <c r="C276" s="4" t="n">
        <v>4127664</v>
      </c>
      <c r="D276" s="4" t="n">
        <f aca="false">AVERAGE(C270:C276)</f>
        <v>3661356.42857143</v>
      </c>
      <c r="E276" s="4" t="n">
        <f aca="false">AVERAGE(C247:C276)</f>
        <v>3884754.06666667</v>
      </c>
      <c r="F276" s="3" t="s">
        <v>41</v>
      </c>
    </row>
    <row r="277" customFormat="false" ht="15.75" hidden="false" customHeight="true" outlineLevel="0" collapsed="false">
      <c r="A277" s="13" t="n">
        <v>45987</v>
      </c>
      <c r="B277" s="3" t="s">
        <v>40</v>
      </c>
      <c r="C277" s="4" t="n">
        <v>4354258</v>
      </c>
      <c r="D277" s="4" t="n">
        <f aca="false">AVERAGE(C271:C277)</f>
        <v>3640686.14285714</v>
      </c>
      <c r="E277" s="4" t="n">
        <f aca="false">AVERAGE(C248:C277)</f>
        <v>3888307.06666667</v>
      </c>
      <c r="F277" s="3" t="s">
        <v>41</v>
      </c>
    </row>
    <row r="278" customFormat="false" ht="15.75" hidden="false" customHeight="true" outlineLevel="0" collapsed="false">
      <c r="A278" s="13" t="n">
        <v>45988</v>
      </c>
      <c r="B278" s="3" t="s">
        <v>45</v>
      </c>
      <c r="C278" s="4" t="n">
        <v>1958069</v>
      </c>
      <c r="D278" s="4" t="n">
        <f aca="false">AVERAGE(C272:C278)</f>
        <v>3317792.42857143</v>
      </c>
      <c r="E278" s="4" t="n">
        <f aca="false">AVERAGE(C249:C278)</f>
        <v>3810239.8</v>
      </c>
      <c r="F278" s="3" t="s">
        <v>41</v>
      </c>
    </row>
    <row r="279" customFormat="false" ht="15.75" hidden="false" customHeight="true" outlineLevel="0" collapsed="false">
      <c r="A279" s="13" t="n">
        <v>45989</v>
      </c>
      <c r="B279" s="3" t="s">
        <v>47</v>
      </c>
      <c r="C279" s="4" t="n">
        <v>2122297</v>
      </c>
      <c r="D279" s="4" t="n">
        <f aca="false">AVERAGE(C273:C279)</f>
        <v>3120355.28571429</v>
      </c>
      <c r="E279" s="4" t="n">
        <f aca="false">AVERAGE(C250:C279)</f>
        <v>3722837.73333333</v>
      </c>
      <c r="F279" s="3" t="s">
        <v>41</v>
      </c>
    </row>
    <row r="280" customFormat="false" ht="15.75" hidden="false" customHeight="true" outlineLevel="0" collapsed="false">
      <c r="A280" s="13" t="n">
        <v>45990</v>
      </c>
      <c r="B280" s="3" t="s">
        <v>49</v>
      </c>
      <c r="C280" s="4" t="n">
        <v>1853998</v>
      </c>
      <c r="D280" s="4" t="n">
        <f aca="false">AVERAGE(C274:C280)</f>
        <v>3125240.28571429</v>
      </c>
      <c r="E280" s="4" t="n">
        <f aca="false">AVERAGE(C251:C280)</f>
        <v>3649646.03333333</v>
      </c>
      <c r="F280" s="3" t="s">
        <v>50</v>
      </c>
    </row>
    <row r="281" customFormat="false" ht="15.75" hidden="false" customHeight="true" outlineLevel="0" collapsed="false">
      <c r="A281" s="13" t="n">
        <v>45991</v>
      </c>
      <c r="B281" s="3" t="s">
        <v>51</v>
      </c>
      <c r="C281" s="4" t="n">
        <v>3214072</v>
      </c>
      <c r="D281" s="4" t="n">
        <f aca="false">AVERAGE(C275:C281)</f>
        <v>3119480.71428571</v>
      </c>
      <c r="E281" s="4" t="n">
        <f aca="false">AVERAGE(C252:C281)</f>
        <v>3665019.3</v>
      </c>
      <c r="F281" s="3" t="s">
        <v>50</v>
      </c>
    </row>
    <row r="282" customFormat="false" ht="15.75" hidden="false" customHeight="true" outlineLevel="0" collapsed="false">
      <c r="A282" s="13" t="n">
        <v>45992</v>
      </c>
      <c r="B282" s="3" t="s">
        <v>46</v>
      </c>
      <c r="C282" s="4" t="n">
        <v>4195875</v>
      </c>
      <c r="D282" s="4" t="n">
        <f aca="false">AVERAGE(C276:C282)</f>
        <v>3118033.28571429</v>
      </c>
      <c r="E282" s="4" t="n">
        <f aca="false">AVERAGE(C253:C282)</f>
        <v>3740951.8</v>
      </c>
      <c r="F282" s="3" t="s">
        <v>41</v>
      </c>
    </row>
    <row r="283" customFormat="false" ht="15.75" hidden="false" customHeight="true" outlineLevel="0" collapsed="false">
      <c r="A283" s="13" t="n">
        <v>45993</v>
      </c>
      <c r="B283" s="3" t="s">
        <v>48</v>
      </c>
      <c r="C283" s="4" t="n">
        <v>4758493</v>
      </c>
      <c r="D283" s="4" t="n">
        <f aca="false">AVERAGE(C277:C283)</f>
        <v>3208151.71428571</v>
      </c>
      <c r="E283" s="4" t="n">
        <f aca="false">AVERAGE(C254:C283)</f>
        <v>3781022.86666667</v>
      </c>
      <c r="F283" s="3" t="s">
        <v>41</v>
      </c>
    </row>
    <row r="284" customFormat="false" ht="15.75" hidden="false" customHeight="true" outlineLevel="0" collapsed="false">
      <c r="A284" s="13" t="n">
        <v>45994</v>
      </c>
      <c r="B284" s="3" t="s">
        <v>40</v>
      </c>
      <c r="C284" s="4" t="n">
        <v>4879857</v>
      </c>
      <c r="D284" s="4" t="n">
        <f aca="false">AVERAGE(C278:C284)</f>
        <v>3283237.28571429</v>
      </c>
      <c r="E284" s="4" t="n">
        <f aca="false">AVERAGE(C255:C284)</f>
        <v>3792930.33333333</v>
      </c>
      <c r="F284" s="3" t="s">
        <v>41</v>
      </c>
    </row>
    <row r="285" customFormat="false" ht="15.75" hidden="false" customHeight="true" outlineLevel="0" collapsed="false">
      <c r="A285" s="13" t="n">
        <v>45995</v>
      </c>
      <c r="B285" s="3" t="s">
        <v>45</v>
      </c>
      <c r="C285" s="4" t="n">
        <v>4794773</v>
      </c>
      <c r="D285" s="4" t="n">
        <f aca="false">AVERAGE(C279:C285)</f>
        <v>3688480.71428571</v>
      </c>
      <c r="E285" s="4" t="n">
        <f aca="false">AVERAGE(C256:C285)</f>
        <v>3805289.03333333</v>
      </c>
      <c r="F285" s="3" t="s">
        <v>41</v>
      </c>
    </row>
    <row r="286" customFormat="false" ht="15.75" hidden="false" customHeight="true" outlineLevel="0" collapsed="false">
      <c r="A286" s="13" t="n">
        <v>45996</v>
      </c>
      <c r="B286" s="3" t="s">
        <v>47</v>
      </c>
      <c r="C286" s="4" t="n">
        <v>2905408</v>
      </c>
      <c r="D286" s="4" t="n">
        <f aca="false">AVERAGE(C280:C286)</f>
        <v>3800353.71428571</v>
      </c>
      <c r="E286" s="4" t="n">
        <f aca="false">AVERAGE(C257:C286)</f>
        <v>3758858.43333333</v>
      </c>
      <c r="F286" s="3" t="s">
        <v>41</v>
      </c>
    </row>
    <row r="287" customFormat="false" ht="15.75" hidden="false" customHeight="true" outlineLevel="0" collapsed="false">
      <c r="A287" s="13" t="n">
        <v>45997</v>
      </c>
      <c r="B287" s="3" t="s">
        <v>49</v>
      </c>
      <c r="C287" s="4" t="n">
        <v>1949156</v>
      </c>
      <c r="D287" s="4" t="n">
        <f aca="false">AVERAGE(C281:C287)</f>
        <v>3813947.71428571</v>
      </c>
      <c r="E287" s="4" t="n">
        <f aca="false">AVERAGE(C258:C287)</f>
        <v>3663824.86666667</v>
      </c>
      <c r="F287" s="3" t="s">
        <v>50</v>
      </c>
    </row>
    <row r="288" customFormat="false" ht="15.75" hidden="false" customHeight="true" outlineLevel="0" collapsed="false">
      <c r="A288" s="13" t="n">
        <v>45998</v>
      </c>
      <c r="B288" s="3" t="s">
        <v>51</v>
      </c>
      <c r="C288" s="4" t="n">
        <v>3496845</v>
      </c>
      <c r="D288" s="4" t="n">
        <f aca="false">AVERAGE(C282:C288)</f>
        <v>3854343.85714286</v>
      </c>
      <c r="E288" s="4" t="n">
        <f aca="false">AVERAGE(C259:C288)</f>
        <v>3632749.23333333</v>
      </c>
      <c r="F288" s="3" t="s">
        <v>50</v>
      </c>
    </row>
    <row r="289" customFormat="false" ht="15.75" hidden="false" customHeight="true" outlineLevel="0" collapsed="false">
      <c r="A289" s="13" t="n">
        <v>45999</v>
      </c>
      <c r="B289" s="3" t="s">
        <v>46</v>
      </c>
      <c r="C289" s="4" t="n">
        <v>5031084</v>
      </c>
      <c r="D289" s="4" t="n">
        <f aca="false">AVERAGE(C283:C289)</f>
        <v>3973659.42857143</v>
      </c>
      <c r="E289" s="4" t="n">
        <f aca="false">AVERAGE(C260:C289)</f>
        <v>3724419.13333333</v>
      </c>
      <c r="F289" s="3" t="s">
        <v>41</v>
      </c>
    </row>
    <row r="290" customFormat="false" ht="15.75" hidden="false" customHeight="true" outlineLevel="0" collapsed="false">
      <c r="A290" s="13" t="n">
        <v>46000</v>
      </c>
      <c r="B290" s="3" t="s">
        <v>48</v>
      </c>
      <c r="C290" s="4" t="n">
        <v>5136258</v>
      </c>
      <c r="D290" s="4" t="n">
        <f aca="false">AVERAGE(C284:C290)</f>
        <v>4027625.85714286</v>
      </c>
      <c r="E290" s="4" t="n">
        <f aca="false">AVERAGE(C261:C290)</f>
        <v>3772530.9</v>
      </c>
      <c r="F290" s="3" t="s">
        <v>41</v>
      </c>
    </row>
    <row r="291" customFormat="false" ht="15.75" hidden="false" customHeight="true" outlineLevel="0" collapsed="false">
      <c r="A291" s="13" t="n">
        <v>46001</v>
      </c>
      <c r="B291" s="3" t="s">
        <v>40</v>
      </c>
      <c r="C291" s="4" t="n">
        <v>4595341</v>
      </c>
      <c r="D291" s="4" t="n">
        <f aca="false">AVERAGE(C285:C291)</f>
        <v>3986980.71428571</v>
      </c>
      <c r="E291" s="4" t="n">
        <f aca="false">AVERAGE(C262:C291)</f>
        <v>3772469.23333333</v>
      </c>
      <c r="F291" s="3" t="s">
        <v>41</v>
      </c>
    </row>
    <row r="292" customFormat="false" ht="15.75" hidden="false" customHeight="true" outlineLevel="0" collapsed="false">
      <c r="A292" s="13" t="n">
        <v>46002</v>
      </c>
      <c r="B292" s="3" t="s">
        <v>45</v>
      </c>
      <c r="C292" s="4" t="n">
        <v>4609952</v>
      </c>
      <c r="D292" s="4" t="n">
        <f aca="false">AVERAGE(C286:C292)</f>
        <v>3960577.71428571</v>
      </c>
      <c r="E292" s="4" t="n">
        <f aca="false">AVERAGE(C263:C292)</f>
        <v>3779109.23333333</v>
      </c>
      <c r="F292" s="3" t="s">
        <v>41</v>
      </c>
    </row>
    <row r="293" customFormat="false" ht="15.75" hidden="false" customHeight="true" outlineLevel="0" collapsed="false">
      <c r="A293" s="13" t="n">
        <v>46003</v>
      </c>
      <c r="B293" s="3" t="s">
        <v>47</v>
      </c>
      <c r="C293" s="4" t="n">
        <v>2779969</v>
      </c>
      <c r="D293" s="4" t="n">
        <f aca="false">AVERAGE(C287:C293)</f>
        <v>3942657.85714286</v>
      </c>
      <c r="E293" s="4" t="n">
        <f aca="false">AVERAGE(C264:C293)</f>
        <v>3739994.33333333</v>
      </c>
      <c r="F293" s="3" t="s">
        <v>41</v>
      </c>
    </row>
    <row r="294" customFormat="false" ht="15.75" hidden="false" customHeight="true" outlineLevel="0" collapsed="false">
      <c r="A294" s="13" t="n">
        <v>46004</v>
      </c>
      <c r="B294" s="3" t="s">
        <v>49</v>
      </c>
      <c r="C294" s="4" t="n">
        <v>1827550</v>
      </c>
      <c r="D294" s="4" t="n">
        <f aca="false">AVERAGE(C288:C294)</f>
        <v>3925285.57142857</v>
      </c>
      <c r="E294" s="4" t="n">
        <f aca="false">AVERAGE(C265:C294)</f>
        <v>3657411.5</v>
      </c>
      <c r="F294" s="3" t="s">
        <v>50</v>
      </c>
    </row>
    <row r="295" customFormat="false" ht="15.75" hidden="false" customHeight="true" outlineLevel="0" collapsed="false">
      <c r="A295" s="13" t="n">
        <v>46005</v>
      </c>
      <c r="B295" s="3" t="s">
        <v>51</v>
      </c>
      <c r="C295" s="4" t="n">
        <v>3933962</v>
      </c>
      <c r="D295" s="4" t="n">
        <f aca="false">AVERAGE(C289:C295)</f>
        <v>3987730.85714286</v>
      </c>
      <c r="E295" s="4" t="n">
        <f aca="false">AVERAGE(C266:C295)</f>
        <v>3651885.2</v>
      </c>
      <c r="F295" s="3" t="s">
        <v>50</v>
      </c>
    </row>
    <row r="296" customFormat="false" ht="15.75" hidden="false" customHeight="true" outlineLevel="0" collapsed="false">
      <c r="A296" s="13" t="n">
        <v>46006</v>
      </c>
      <c r="B296" s="3" t="s">
        <v>46</v>
      </c>
      <c r="C296" s="4" t="n">
        <v>4698112</v>
      </c>
      <c r="D296" s="4" t="n">
        <f aca="false">AVERAGE(C290:C296)</f>
        <v>3940163.42857143</v>
      </c>
      <c r="E296" s="4" t="n">
        <f aca="false">AVERAGE(C267:C296)</f>
        <v>3733983.33333333</v>
      </c>
      <c r="F296" s="3" t="s">
        <v>41</v>
      </c>
    </row>
    <row r="297" customFormat="false" ht="15.75" hidden="false" customHeight="true" outlineLevel="0" collapsed="false">
      <c r="A297" s="13" t="n">
        <v>46007</v>
      </c>
      <c r="B297" s="3" t="s">
        <v>48</v>
      </c>
      <c r="C297" s="4" t="n">
        <v>4951631</v>
      </c>
      <c r="D297" s="4" t="n">
        <f aca="false">AVERAGE(C291:C297)</f>
        <v>3913788.14285714</v>
      </c>
      <c r="E297" s="4" t="n">
        <f aca="false">AVERAGE(C268:C297)</f>
        <v>3768057.96666667</v>
      </c>
      <c r="F297" s="3" t="s">
        <v>41</v>
      </c>
    </row>
    <row r="298" customFormat="false" ht="15.75" hidden="false" customHeight="true" outlineLevel="0" collapsed="false">
      <c r="A298" s="13" t="n">
        <v>46008</v>
      </c>
      <c r="B298" s="3" t="s">
        <v>40</v>
      </c>
      <c r="C298" s="4" t="n">
        <v>4723500</v>
      </c>
      <c r="D298" s="4" t="n">
        <f aca="false">AVERAGE(C292:C298)</f>
        <v>3932096.57142857</v>
      </c>
      <c r="E298" s="4" t="n">
        <f aca="false">AVERAGE(C269:C298)</f>
        <v>3766069.4</v>
      </c>
      <c r="F298" s="3" t="s">
        <v>41</v>
      </c>
    </row>
    <row r="299" customFormat="false" ht="15.75" hidden="false" customHeight="true" outlineLevel="0" collapsed="false">
      <c r="A299" s="13" t="n">
        <v>46009</v>
      </c>
      <c r="B299" s="3" t="s">
        <v>45</v>
      </c>
      <c r="C299" s="4" t="n">
        <v>4742389</v>
      </c>
      <c r="D299" s="4" t="n">
        <f aca="false">AVERAGE(C293:C299)</f>
        <v>3951016.14285714</v>
      </c>
      <c r="E299" s="4" t="n">
        <f aca="false">AVERAGE(C270:C299)</f>
        <v>3771411.46666667</v>
      </c>
      <c r="F299" s="3" t="s">
        <v>41</v>
      </c>
    </row>
    <row r="300" customFormat="false" ht="15.75" hidden="false" customHeight="true" outlineLevel="0" collapsed="false">
      <c r="A300" s="13" t="n">
        <v>46010</v>
      </c>
      <c r="B300" s="3" t="s">
        <v>47</v>
      </c>
      <c r="C300" s="4" t="n">
        <v>2727382</v>
      </c>
      <c r="D300" s="4" t="n">
        <f aca="false">AVERAGE(C294:C300)</f>
        <v>3943503.71428571</v>
      </c>
      <c r="E300" s="4" t="n">
        <f aca="false">AVERAGE(C271:C300)</f>
        <v>3712359.2</v>
      </c>
      <c r="F300" s="3" t="s">
        <v>41</v>
      </c>
    </row>
    <row r="301" customFormat="false" ht="15.75" hidden="false" customHeight="true" outlineLevel="0" collapsed="false">
      <c r="A301" s="13" t="n">
        <v>46011</v>
      </c>
      <c r="B301" s="3" t="s">
        <v>49</v>
      </c>
      <c r="C301" s="4" t="n">
        <v>2135605</v>
      </c>
      <c r="D301" s="4" t="n">
        <f aca="false">AVERAGE(C295:C301)</f>
        <v>3987511.57142857</v>
      </c>
      <c r="E301" s="4" t="n">
        <f aca="false">AVERAGE(C272:C301)</f>
        <v>3642935.2</v>
      </c>
      <c r="F301" s="3" t="s">
        <v>50</v>
      </c>
    </row>
    <row r="302" customFormat="false" ht="15.75" hidden="false" customHeight="true" outlineLevel="0" collapsed="false">
      <c r="A302" s="13" t="n">
        <v>46012</v>
      </c>
      <c r="B302" s="3" t="s">
        <v>51</v>
      </c>
      <c r="C302" s="4" t="n">
        <v>3493264</v>
      </c>
      <c r="D302" s="4" t="n">
        <f aca="false">AVERAGE(C296:C302)</f>
        <v>3924554.71428571</v>
      </c>
      <c r="E302" s="4" t="n">
        <f aca="false">AVERAGE(C273:C302)</f>
        <v>3642565.43333333</v>
      </c>
      <c r="F302" s="3" t="s">
        <v>50</v>
      </c>
    </row>
    <row r="303" customFormat="false" ht="15.75" hidden="false" customHeight="true" outlineLevel="0" collapsed="false">
      <c r="A303" s="13" t="n">
        <v>46013</v>
      </c>
      <c r="B303" s="3" t="s">
        <v>46</v>
      </c>
      <c r="C303" s="4" t="n">
        <v>4405623</v>
      </c>
      <c r="D303" s="4" t="n">
        <f aca="false">AVERAGE(C297:C303)</f>
        <v>3882770.57142857</v>
      </c>
      <c r="E303" s="4" t="n">
        <f aca="false">AVERAGE(C274:C303)</f>
        <v>3728759.43333333</v>
      </c>
      <c r="F303" s="3" t="s">
        <v>41</v>
      </c>
    </row>
    <row r="304" customFormat="false" ht="15.75" hidden="false" customHeight="true" outlineLevel="0" collapsed="false">
      <c r="A304" s="13" t="n">
        <v>46014</v>
      </c>
      <c r="B304" s="3" t="s">
        <v>48</v>
      </c>
      <c r="C304" s="4" t="n">
        <v>4495071</v>
      </c>
      <c r="D304" s="4" t="n">
        <f aca="false">AVERAGE(C298:C304)</f>
        <v>3817547.71428571</v>
      </c>
      <c r="E304" s="4" t="n">
        <f aca="false">AVERAGE(C275:C304)</f>
        <v>3770115.5</v>
      </c>
      <c r="F304" s="3" t="s">
        <v>41</v>
      </c>
    </row>
    <row r="305" customFormat="false" ht="15.75" hidden="false" customHeight="true" outlineLevel="0" collapsed="false">
      <c r="A305" s="13" t="n">
        <v>46015</v>
      </c>
      <c r="B305" s="3" t="s">
        <v>40</v>
      </c>
      <c r="C305" s="4" t="n">
        <v>2369797</v>
      </c>
      <c r="D305" s="4" t="n">
        <f aca="false">AVERAGE(C299:C305)</f>
        <v>3481304.42857143</v>
      </c>
      <c r="E305" s="4" t="n">
        <f aca="false">AVERAGE(C276:C305)</f>
        <v>3708908.5</v>
      </c>
      <c r="F305" s="3" t="s">
        <v>41</v>
      </c>
    </row>
    <row r="306" customFormat="false" ht="15.75" hidden="false" customHeight="true" outlineLevel="0" collapsed="false">
      <c r="A306" s="13" t="n">
        <v>46016</v>
      </c>
      <c r="B306" s="3" t="s">
        <v>45</v>
      </c>
      <c r="C306" s="4" t="n">
        <v>1962904</v>
      </c>
      <c r="D306" s="4" t="n">
        <f aca="false">AVERAGE(C300:C306)</f>
        <v>3084235.14285714</v>
      </c>
      <c r="E306" s="4" t="n">
        <f aca="false">AVERAGE(C277:C306)</f>
        <v>3636749.83333333</v>
      </c>
      <c r="F306" s="3" t="s">
        <v>41</v>
      </c>
    </row>
    <row r="307" customFormat="false" ht="15.75" hidden="false" customHeight="true" outlineLevel="0" collapsed="false">
      <c r="A307" s="13" t="n">
        <v>46017</v>
      </c>
      <c r="B307" s="3" t="s">
        <v>47</v>
      </c>
      <c r="C307" s="4" t="n">
        <v>2512244</v>
      </c>
      <c r="D307" s="4" t="n">
        <f aca="false">AVERAGE(C301:C307)</f>
        <v>3053501.14285714</v>
      </c>
      <c r="E307" s="4" t="n">
        <f aca="false">AVERAGE(C278:C307)</f>
        <v>3575349.36666667</v>
      </c>
      <c r="F307" s="3" t="s">
        <v>41</v>
      </c>
    </row>
    <row r="308" customFormat="false" ht="15.75" hidden="false" customHeight="true" outlineLevel="0" collapsed="false">
      <c r="A308" s="13" t="n">
        <v>46018</v>
      </c>
      <c r="B308" s="3" t="s">
        <v>49</v>
      </c>
      <c r="C308" s="4" t="n">
        <v>2181656</v>
      </c>
      <c r="D308" s="4" t="n">
        <f aca="false">AVERAGE(C302:C308)</f>
        <v>3060079.85714286</v>
      </c>
      <c r="E308" s="4" t="n">
        <f aca="false">AVERAGE(C279:C308)</f>
        <v>3582802.26666667</v>
      </c>
      <c r="F308" s="3" t="s">
        <v>50</v>
      </c>
    </row>
    <row r="309" customFormat="false" ht="15.75" hidden="false" customHeight="true" outlineLevel="0" collapsed="false">
      <c r="A309" s="13" t="n">
        <v>46019</v>
      </c>
      <c r="B309" s="3" t="s">
        <v>51</v>
      </c>
      <c r="C309" s="4" t="n">
        <v>4081758</v>
      </c>
      <c r="D309" s="4" t="n">
        <f aca="false">AVERAGE(C303:C309)</f>
        <v>3144150.42857143</v>
      </c>
      <c r="E309" s="4" t="n">
        <f aca="false">AVERAGE(C280:C309)</f>
        <v>3648117.63333333</v>
      </c>
      <c r="F309" s="3" t="s">
        <v>50</v>
      </c>
    </row>
    <row r="310" customFormat="false" ht="15.75" hidden="false" customHeight="true" outlineLevel="0" collapsed="false">
      <c r="A310" s="13" t="n">
        <v>46020</v>
      </c>
      <c r="B310" s="3" t="s">
        <v>46</v>
      </c>
      <c r="C310" s="4" t="n">
        <v>4689216</v>
      </c>
      <c r="D310" s="4" t="n">
        <f aca="false">AVERAGE(C304:C310)</f>
        <v>3184663.71428571</v>
      </c>
      <c r="E310" s="4" t="n">
        <f aca="false">AVERAGE(C281:C310)</f>
        <v>3742624.9</v>
      </c>
      <c r="F310" s="3" t="s">
        <v>41</v>
      </c>
    </row>
    <row r="311" customFormat="false" ht="15.75" hidden="false" customHeight="true" outlineLevel="0" collapsed="false">
      <c r="A311" s="13" t="n">
        <v>46021</v>
      </c>
      <c r="B311" s="3" t="s">
        <v>48</v>
      </c>
      <c r="C311" s="4" t="n">
        <v>4699824</v>
      </c>
      <c r="D311" s="4" t="n">
        <f aca="false">AVERAGE(C305:C311)</f>
        <v>3213914.14285714</v>
      </c>
      <c r="E311" s="4" t="n">
        <f aca="false">AVERAGE(C282:C311)</f>
        <v>3792149.96666667</v>
      </c>
      <c r="F311" s="3" t="s">
        <v>41</v>
      </c>
    </row>
    <row r="312" customFormat="false" ht="15.75" hidden="false" customHeight="true" outlineLevel="0" collapsed="false">
      <c r="A312" s="13" t="n">
        <v>46022</v>
      </c>
      <c r="B312" s="3" t="s">
        <v>40</v>
      </c>
      <c r="C312" s="4" t="n">
        <v>2441741</v>
      </c>
      <c r="D312" s="4" t="n">
        <f aca="false">AVERAGE(C306:C312)</f>
        <v>3224191.85714286</v>
      </c>
      <c r="E312" s="4" t="n">
        <f aca="false">AVERAGE(C283:C312)</f>
        <v>3733678.83333333</v>
      </c>
      <c r="F312" s="3" t="s">
        <v>41</v>
      </c>
    </row>
    <row r="313" customFormat="false" ht="15.75" hidden="false" customHeight="true" outlineLevel="0" collapsed="false">
      <c r="A313" s="13" t="n">
        <v>46023</v>
      </c>
      <c r="B313" s="3" t="s">
        <v>45</v>
      </c>
      <c r="C313" s="4" t="n">
        <v>1943551</v>
      </c>
      <c r="D313" s="4" t="n">
        <f aca="false">AVERAGE(C307:C313)</f>
        <v>3221427.14285714</v>
      </c>
      <c r="E313" s="4" t="n">
        <f aca="false">AVERAGE(C284:C313)</f>
        <v>3639847.43333333</v>
      </c>
      <c r="F313" s="3" t="s">
        <v>41</v>
      </c>
    </row>
    <row r="314" customFormat="false" ht="15.75" hidden="false" customHeight="true" outlineLevel="0" collapsed="false">
      <c r="A314" s="13" t="n">
        <v>46024</v>
      </c>
      <c r="B314" s="3" t="s">
        <v>47</v>
      </c>
      <c r="C314" s="4" t="n">
        <v>3350589</v>
      </c>
      <c r="D314" s="4" t="n">
        <f aca="false">AVERAGE(C308:C314)</f>
        <v>3341190.71428571</v>
      </c>
      <c r="E314" s="4" t="n">
        <f aca="false">AVERAGE(C285:C314)</f>
        <v>3588871.83333333</v>
      </c>
      <c r="F314" s="3" t="s">
        <v>41</v>
      </c>
    </row>
    <row r="315" customFormat="false" ht="15.75" hidden="false" customHeight="true" outlineLevel="0" collapsed="false">
      <c r="A315" s="13" t="n">
        <v>46025</v>
      </c>
      <c r="B315" s="3" t="s">
        <v>49</v>
      </c>
      <c r="C315" s="4" t="n">
        <v>2154073</v>
      </c>
      <c r="D315" s="4" t="n">
        <f aca="false">AVERAGE(C309:C315)</f>
        <v>3337250.28571429</v>
      </c>
      <c r="E315" s="4" t="n">
        <f aca="false">AVERAGE(C286:C315)</f>
        <v>3500848.5</v>
      </c>
      <c r="F315" s="3" t="s">
        <v>50</v>
      </c>
    </row>
    <row r="316" customFormat="false" ht="15.75" hidden="false" customHeight="true" outlineLevel="0" collapsed="false">
      <c r="A316" s="13" t="n">
        <v>46026</v>
      </c>
      <c r="B316" s="3" t="s">
        <v>51</v>
      </c>
      <c r="C316" s="4" t="n">
        <v>3695905</v>
      </c>
      <c r="D316" s="4" t="n">
        <f aca="false">AVERAGE(C310:C316)</f>
        <v>3282128.42857143</v>
      </c>
      <c r="E316" s="4" t="n">
        <f aca="false">AVERAGE(C287:C316)</f>
        <v>3527198.4</v>
      </c>
      <c r="F316" s="3" t="s">
        <v>50</v>
      </c>
    </row>
    <row r="317" customFormat="false" ht="15.75" hidden="false" customHeight="true" outlineLevel="0" collapsed="false">
      <c r="A317" s="13" t="n">
        <v>46027</v>
      </c>
      <c r="B317" s="3" t="s">
        <v>46</v>
      </c>
      <c r="C317" s="4" t="n">
        <v>5217831</v>
      </c>
      <c r="D317" s="4" t="n">
        <f aca="false">AVERAGE(C311:C317)</f>
        <v>3357644.85714286</v>
      </c>
      <c r="E317" s="4" t="n">
        <f aca="false">AVERAGE(C288:C317)</f>
        <v>3636154.23333333</v>
      </c>
      <c r="F317" s="3" t="s">
        <v>41</v>
      </c>
    </row>
    <row r="318" customFormat="false" ht="15.75" hidden="false" customHeight="true" outlineLevel="0" collapsed="false">
      <c r="A318" s="13" t="n">
        <v>46028</v>
      </c>
      <c r="B318" s="3" t="s">
        <v>48</v>
      </c>
      <c r="C318" s="4" t="n">
        <v>5327459</v>
      </c>
      <c r="D318" s="4" t="n">
        <f aca="false">AVERAGE(C312:C318)</f>
        <v>3447307</v>
      </c>
      <c r="E318" s="4" t="n">
        <f aca="false">AVERAGE(C289:C318)</f>
        <v>3697174.7</v>
      </c>
      <c r="F318" s="3" t="s">
        <v>41</v>
      </c>
    </row>
    <row r="319" customFormat="false" ht="15.75" hidden="false" customHeight="true" outlineLevel="0" collapsed="false">
      <c r="A319" s="13" t="n">
        <v>46029</v>
      </c>
      <c r="B319" s="3" t="s">
        <v>40</v>
      </c>
      <c r="C319" s="4" t="n">
        <v>5221217</v>
      </c>
      <c r="D319" s="4" t="n">
        <f aca="false">AVERAGE(C313:C319)</f>
        <v>3844375</v>
      </c>
      <c r="E319" s="4" t="n">
        <f aca="false">AVERAGE(C290:C319)</f>
        <v>3703512.46666667</v>
      </c>
      <c r="F319" s="3" t="s">
        <v>41</v>
      </c>
    </row>
    <row r="320" customFormat="false" ht="15.75" hidden="false" customHeight="true" outlineLevel="0" collapsed="false">
      <c r="A320" s="13" t="n">
        <v>46030</v>
      </c>
      <c r="B320" s="3" t="s">
        <v>45</v>
      </c>
      <c r="C320" s="4" t="n">
        <v>5152016</v>
      </c>
      <c r="D320" s="4" t="n">
        <f aca="false">AVERAGE(C314:C320)</f>
        <v>4302727.14285714</v>
      </c>
      <c r="E320" s="4" t="n">
        <f aca="false">AVERAGE(C291:C320)</f>
        <v>3704037.73333333</v>
      </c>
      <c r="F320" s="3" t="s">
        <v>41</v>
      </c>
    </row>
    <row r="321" customFormat="false" ht="15.75" hidden="false" customHeight="true" outlineLevel="0" collapsed="false">
      <c r="A321" s="13" t="n">
        <v>46031</v>
      </c>
      <c r="B321" s="3" t="s">
        <v>47</v>
      </c>
      <c r="C321" s="4" t="n">
        <v>3980213</v>
      </c>
      <c r="D321" s="4" t="n">
        <f aca="false">AVERAGE(C315:C321)</f>
        <v>4392673.42857143</v>
      </c>
      <c r="E321" s="4" t="n">
        <f aca="false">AVERAGE(C292:C321)</f>
        <v>3683533.46666667</v>
      </c>
      <c r="F321" s="3" t="s">
        <v>41</v>
      </c>
    </row>
    <row r="322" customFormat="false" ht="15.75" hidden="false" customHeight="true" outlineLevel="0" collapsed="false">
      <c r="A322" s="13" t="n">
        <v>46032</v>
      </c>
      <c r="B322" s="3" t="s">
        <v>49</v>
      </c>
      <c r="C322" s="4" t="n">
        <v>1843441</v>
      </c>
      <c r="D322" s="4" t="n">
        <f aca="false">AVERAGE(C316:C322)</f>
        <v>4348297.42857143</v>
      </c>
      <c r="E322" s="4" t="n">
        <f aca="false">AVERAGE(C293:C322)</f>
        <v>3591316.43333333</v>
      </c>
      <c r="F322" s="3" t="s">
        <v>50</v>
      </c>
    </row>
    <row r="323" customFormat="false" ht="15.75" hidden="false" customHeight="true" outlineLevel="0" collapsed="false">
      <c r="A323" s="13" t="n">
        <v>46033</v>
      </c>
      <c r="B323" s="3" t="s">
        <v>51</v>
      </c>
      <c r="C323" s="4" t="n">
        <v>3862803</v>
      </c>
      <c r="D323" s="4" t="n">
        <f aca="false">AVERAGE(C317:C323)</f>
        <v>4372140</v>
      </c>
      <c r="E323" s="4" t="n">
        <f aca="false">AVERAGE(C294:C323)</f>
        <v>3627410.9</v>
      </c>
      <c r="F323" s="3" t="s">
        <v>50</v>
      </c>
    </row>
    <row r="324" customFormat="false" ht="15.75" hidden="false" customHeight="true" outlineLevel="0" collapsed="false">
      <c r="A324" s="13" t="n">
        <v>46034</v>
      </c>
      <c r="B324" s="3" t="s">
        <v>46</v>
      </c>
      <c r="C324" s="4" t="n">
        <v>4843494</v>
      </c>
      <c r="D324" s="4" t="n">
        <f aca="false">AVERAGE(C318:C324)</f>
        <v>4318663.28571429</v>
      </c>
      <c r="E324" s="4" t="n">
        <f aca="false">AVERAGE(C295:C324)</f>
        <v>3727942.36666667</v>
      </c>
      <c r="F324" s="3" t="s">
        <v>41</v>
      </c>
    </row>
    <row r="325" customFormat="false" ht="15.75" hidden="false" customHeight="true" outlineLevel="0" collapsed="false">
      <c r="A325" s="13" t="n">
        <v>46035</v>
      </c>
      <c r="B325" s="3" t="s">
        <v>48</v>
      </c>
      <c r="C325" s="4" t="n">
        <v>5245107</v>
      </c>
      <c r="D325" s="4" t="n">
        <f aca="false">AVERAGE(C319:C325)</f>
        <v>4306898.71428572</v>
      </c>
      <c r="E325" s="4" t="n">
        <f aca="false">AVERAGE(C296:C325)</f>
        <v>3771647.2</v>
      </c>
      <c r="F325" s="3" t="s">
        <v>41</v>
      </c>
    </row>
    <row r="326" customFormat="false" ht="15.75" hidden="false" customHeight="true" outlineLevel="0" collapsed="false">
      <c r="A326" s="13" t="n">
        <v>46036</v>
      </c>
      <c r="B326" s="3" t="s">
        <v>40</v>
      </c>
      <c r="C326" s="4" t="n">
        <v>4939243</v>
      </c>
      <c r="D326" s="4" t="n">
        <f aca="false">AVERAGE(C320:C326)</f>
        <v>4266616.71428572</v>
      </c>
      <c r="E326" s="4" t="n">
        <f aca="false">AVERAGE(C297:C326)</f>
        <v>3779684.9</v>
      </c>
      <c r="F326" s="3" t="s">
        <v>41</v>
      </c>
    </row>
    <row r="327" customFormat="false" ht="15.75" hidden="false" customHeight="true" outlineLevel="0" collapsed="false">
      <c r="A327" s="13" t="n">
        <v>46037</v>
      </c>
      <c r="B327" s="3" t="s">
        <v>45</v>
      </c>
      <c r="C327" s="4" t="n">
        <v>4991496</v>
      </c>
      <c r="D327" s="4" t="n">
        <f aca="false">AVERAGE(C321:C327)</f>
        <v>4243685.28571429</v>
      </c>
      <c r="E327" s="4" t="n">
        <f aca="false">AVERAGE(C298:C327)</f>
        <v>3781013.73333333</v>
      </c>
      <c r="F327" s="3" t="s">
        <v>41</v>
      </c>
    </row>
    <row r="328" customFormat="false" ht="15.75" hidden="false" customHeight="true" outlineLevel="0" collapsed="false">
      <c r="A328" s="13" t="n">
        <v>46038</v>
      </c>
      <c r="B328" s="3" t="s">
        <v>47</v>
      </c>
      <c r="C328" s="4" t="n">
        <v>3030825</v>
      </c>
      <c r="D328" s="4" t="n">
        <f aca="false">AVERAGE(C322:C328)</f>
        <v>4108058.42857143</v>
      </c>
      <c r="E328" s="4" t="n">
        <f aca="false">AVERAGE(C299:C328)</f>
        <v>3724591.23333333</v>
      </c>
      <c r="F328" s="3" t="s">
        <v>41</v>
      </c>
    </row>
    <row r="329" customFormat="false" ht="15.75" hidden="false" customHeight="true" outlineLevel="0" collapsed="false">
      <c r="A329" s="13" t="n">
        <v>46039</v>
      </c>
      <c r="B329" s="3" t="s">
        <v>49</v>
      </c>
      <c r="C329" s="4" t="n">
        <v>2340686</v>
      </c>
      <c r="D329" s="4" t="n">
        <f aca="false">AVERAGE(C323:C329)</f>
        <v>4179093.42857143</v>
      </c>
      <c r="E329" s="4" t="n">
        <f aca="false">AVERAGE(C300:C329)</f>
        <v>3644534.46666667</v>
      </c>
      <c r="F329" s="3" t="s">
        <v>50</v>
      </c>
    </row>
    <row r="330" customFormat="false" ht="15.75" hidden="false" customHeight="true" outlineLevel="0" collapsed="false">
      <c r="A330" s="13" t="n">
        <v>46040</v>
      </c>
      <c r="B330" s="3" t="s">
        <v>51</v>
      </c>
      <c r="C330" s="4" t="n">
        <v>3921633</v>
      </c>
      <c r="D330" s="4" t="n">
        <f aca="false">AVERAGE(C324:C330)</f>
        <v>4187497.71428571</v>
      </c>
      <c r="E330" s="4" t="n">
        <f aca="false">AVERAGE(C301:C330)</f>
        <v>3684342.83333333</v>
      </c>
      <c r="F330" s="3" t="s">
        <v>50</v>
      </c>
    </row>
    <row r="331" customFormat="false" ht="15.75" hidden="false" customHeight="true" outlineLevel="0" collapsed="false">
      <c r="A331" s="13" t="n">
        <v>46041</v>
      </c>
      <c r="B331" s="3" t="s">
        <v>46</v>
      </c>
      <c r="C331" s="4" t="n">
        <v>5068727</v>
      </c>
      <c r="D331" s="4" t="n">
        <f aca="false">AVERAGE(C325:C331)</f>
        <v>4219673.85714286</v>
      </c>
      <c r="E331" s="4" t="n">
        <f aca="false">AVERAGE(C302:C331)</f>
        <v>3782113.56666667</v>
      </c>
      <c r="F331" s="3" t="s">
        <v>41</v>
      </c>
    </row>
    <row r="332" customFormat="false" ht="15.75" hidden="false" customHeight="true" outlineLevel="0" collapsed="false">
      <c r="A332" s="13" t="n">
        <v>46042</v>
      </c>
      <c r="B332" s="3" t="s">
        <v>48</v>
      </c>
      <c r="C332" s="4" t="n">
        <v>5092829</v>
      </c>
      <c r="D332" s="4" t="n">
        <f aca="false">AVERAGE(C326:C332)</f>
        <v>4197919.85714286</v>
      </c>
      <c r="E332" s="4" t="n">
        <f aca="false">AVERAGE(C303:C332)</f>
        <v>3835432.4</v>
      </c>
      <c r="F332" s="3" t="s">
        <v>41</v>
      </c>
    </row>
    <row r="333" customFormat="false" ht="15.75" hidden="false" customHeight="true" outlineLevel="0" collapsed="false">
      <c r="A333" s="13" t="n">
        <v>46043</v>
      </c>
      <c r="B333" s="3" t="s">
        <v>40</v>
      </c>
      <c r="C333" s="4" t="n">
        <v>4597939</v>
      </c>
      <c r="D333" s="4" t="n">
        <f aca="false">AVERAGE(C327:C333)</f>
        <v>4149162.14285714</v>
      </c>
      <c r="E333" s="4" t="n">
        <f aca="false">AVERAGE(C304:C333)</f>
        <v>3841842.93333333</v>
      </c>
      <c r="F333" s="3" t="s">
        <v>41</v>
      </c>
    </row>
    <row r="334" customFormat="false" ht="15.75" hidden="false" customHeight="true" outlineLevel="0" collapsed="false">
      <c r="A334" s="13" t="n">
        <v>46044</v>
      </c>
      <c r="B334" s="3" t="s">
        <v>45</v>
      </c>
      <c r="C334" s="4" t="n">
        <v>4453274</v>
      </c>
      <c r="D334" s="4" t="n">
        <f aca="false">AVERAGE(C328:C334)</f>
        <v>4072273.28571429</v>
      </c>
      <c r="E334" s="4" t="n">
        <f aca="false">AVERAGE(C305:C334)</f>
        <v>3840449.7</v>
      </c>
      <c r="F334" s="3" t="s">
        <v>41</v>
      </c>
    </row>
    <row r="335" customFormat="false" ht="15.75" hidden="false" customHeight="true" outlineLevel="0" collapsed="false">
      <c r="A335" s="13" t="n">
        <v>46045</v>
      </c>
      <c r="B335" s="3" t="s">
        <v>47</v>
      </c>
      <c r="C335" s="4" t="n">
        <v>2776381</v>
      </c>
      <c r="D335" s="4" t="n">
        <f aca="false">AVERAGE(C329:C335)</f>
        <v>4035924.14285714</v>
      </c>
      <c r="E335" s="4" t="n">
        <f aca="false">AVERAGE(C306:C335)</f>
        <v>3854002.5</v>
      </c>
      <c r="F335" s="3" t="s">
        <v>41</v>
      </c>
    </row>
    <row r="336" customFormat="false" ht="15.75" hidden="false" customHeight="true" outlineLevel="0" collapsed="false">
      <c r="A336" s="13" t="n">
        <v>46046</v>
      </c>
      <c r="B336" s="3" t="s">
        <v>49</v>
      </c>
      <c r="C336" s="4" t="n">
        <v>2167996</v>
      </c>
      <c r="D336" s="4" t="n">
        <f aca="false">AVERAGE(C330:C336)</f>
        <v>4011254.14285714</v>
      </c>
      <c r="E336" s="4" t="n">
        <f aca="false">AVERAGE(C307:C336)</f>
        <v>3860838.9</v>
      </c>
      <c r="F336" s="3" t="s">
        <v>50</v>
      </c>
    </row>
    <row r="337" customFormat="false" ht="15.75" hidden="false" customHeight="true" outlineLevel="0" collapsed="false">
      <c r="A337" s="13" t="n">
        <v>46047</v>
      </c>
      <c r="B337" s="3" t="s">
        <v>51</v>
      </c>
      <c r="C337" s="4" t="n">
        <v>3670308</v>
      </c>
      <c r="D337" s="4" t="n">
        <f aca="false">AVERAGE(C331:C337)</f>
        <v>3975350.57142857</v>
      </c>
      <c r="E337" s="4" t="n">
        <f aca="false">AVERAGE(C308:C337)</f>
        <v>3899441.03333333</v>
      </c>
      <c r="F337" s="3" t="s">
        <v>50</v>
      </c>
    </row>
    <row r="338" customFormat="false" ht="15.75" hidden="false" customHeight="true" outlineLevel="0" collapsed="false">
      <c r="A338" s="13" t="n">
        <v>46048</v>
      </c>
      <c r="B338" s="3" t="s">
        <v>46</v>
      </c>
      <c r="C338" s="4" t="n">
        <v>4915798</v>
      </c>
      <c r="D338" s="4" t="n">
        <f aca="false">AVERAGE(C332:C338)</f>
        <v>3953503.57142857</v>
      </c>
      <c r="E338" s="4" t="n">
        <f aca="false">AVERAGE(C309:C338)</f>
        <v>3990579.1</v>
      </c>
      <c r="F338" s="3" t="s">
        <v>41</v>
      </c>
    </row>
    <row r="339" customFormat="false" ht="15.75" hidden="false" customHeight="true" outlineLevel="0" collapsed="false">
      <c r="A339" s="13" t="n">
        <v>46049</v>
      </c>
      <c r="B339" s="3" t="s">
        <v>48</v>
      </c>
      <c r="C339" s="4" t="n">
        <v>4970736</v>
      </c>
      <c r="D339" s="4" t="n">
        <f aca="false">AVERAGE(C333:C339)</f>
        <v>3936061.71428571</v>
      </c>
      <c r="E339" s="4" t="n">
        <f aca="false">AVERAGE(C310:C339)</f>
        <v>4020211.7</v>
      </c>
      <c r="F339" s="3" t="s">
        <v>41</v>
      </c>
    </row>
    <row r="340" customFormat="false" ht="15.75" hidden="false" customHeight="true" outlineLevel="0" collapsed="false">
      <c r="A340" s="13" t="n">
        <v>46050</v>
      </c>
      <c r="B340" s="3" t="s">
        <v>40</v>
      </c>
      <c r="C340" s="4" t="n">
        <v>4605813</v>
      </c>
      <c r="D340" s="4" t="n">
        <f aca="false">AVERAGE(C334:C340)</f>
        <v>3937186.57142857</v>
      </c>
      <c r="E340" s="4" t="n">
        <f aca="false">AVERAGE(C311:C340)</f>
        <v>4017431.6</v>
      </c>
      <c r="F340" s="3" t="s">
        <v>41</v>
      </c>
    </row>
    <row r="341" customFormat="false" ht="15.75" hidden="false" customHeight="true" outlineLevel="0" collapsed="false">
      <c r="A341" s="13" t="n">
        <v>46051</v>
      </c>
      <c r="B341" s="3" t="s">
        <v>45</v>
      </c>
      <c r="C341" s="4" t="n">
        <v>4724403</v>
      </c>
      <c r="D341" s="4" t="n">
        <f aca="false">AVERAGE(C335:C341)</f>
        <v>3975919.28571429</v>
      </c>
      <c r="E341" s="4" t="n">
        <f aca="false">AVERAGE(C312:C341)</f>
        <v>4018250.9</v>
      </c>
      <c r="F341" s="3" t="s">
        <v>41</v>
      </c>
    </row>
    <row r="342" customFormat="false" ht="15.75" hidden="false" customHeight="true" outlineLevel="0" collapsed="false">
      <c r="A342" s="13" t="n">
        <v>46052</v>
      </c>
      <c r="B342" s="3" t="s">
        <v>47</v>
      </c>
      <c r="C342" s="4" t="n">
        <v>2734258</v>
      </c>
      <c r="D342" s="4" t="n">
        <f aca="false">AVERAGE(C336:C342)</f>
        <v>3969901.71428571</v>
      </c>
      <c r="E342" s="4" t="n">
        <f aca="false">AVERAGE(C313:C342)</f>
        <v>4028001.46666667</v>
      </c>
      <c r="F342" s="3" t="s">
        <v>41</v>
      </c>
    </row>
    <row r="343" customFormat="false" ht="15.75" hidden="false" customHeight="true" outlineLevel="0" collapsed="false">
      <c r="A343" s="13" t="n">
        <v>46053</v>
      </c>
      <c r="B343" s="3" t="s">
        <v>49</v>
      </c>
      <c r="C343" s="4" t="n">
        <v>2006072</v>
      </c>
      <c r="D343" s="4" t="n">
        <f aca="false">AVERAGE(C337:C343)</f>
        <v>3946769.71428571</v>
      </c>
      <c r="E343" s="4" t="n">
        <f aca="false">AVERAGE(C314:C343)</f>
        <v>4030085.5</v>
      </c>
      <c r="F343" s="3" t="s">
        <v>50</v>
      </c>
    </row>
    <row r="344" customFormat="false" ht="15.75" hidden="false" customHeight="true" outlineLevel="0" collapsed="false">
      <c r="A344" s="13" t="n">
        <v>46054</v>
      </c>
      <c r="B344" s="3" t="s">
        <v>51</v>
      </c>
      <c r="C344" s="4" t="n">
        <v>3825083</v>
      </c>
      <c r="D344" s="4" t="n">
        <f aca="false">AVERAGE(C338:C344)</f>
        <v>3968880.42857143</v>
      </c>
      <c r="E344" s="4" t="n">
        <f aca="false">AVERAGE(C315:C344)</f>
        <v>4045901.96666667</v>
      </c>
      <c r="F344" s="3" t="s">
        <v>50</v>
      </c>
    </row>
    <row r="345" customFormat="false" ht="15.75" hidden="false" customHeight="true" outlineLevel="0" collapsed="false">
      <c r="A345" s="13" t="n">
        <v>46055</v>
      </c>
      <c r="B345" s="3" t="s">
        <v>46</v>
      </c>
      <c r="C345" s="4" t="n">
        <v>4972404</v>
      </c>
      <c r="D345" s="4" t="n">
        <f aca="false">AVERAGE(C339:C345)</f>
        <v>3976967</v>
      </c>
      <c r="E345" s="4" t="n">
        <f aca="false">AVERAGE(C316:C345)</f>
        <v>4139846.33333333</v>
      </c>
      <c r="F345" s="3" t="s">
        <v>41</v>
      </c>
    </row>
    <row r="346" customFormat="false" ht="15.75" hidden="false" customHeight="true" outlineLevel="0" collapsed="false">
      <c r="A346" s="13" t="n">
        <v>46056</v>
      </c>
      <c r="B346" s="3" t="s">
        <v>48</v>
      </c>
      <c r="C346" s="4" t="n">
        <v>5109935</v>
      </c>
      <c r="D346" s="4" t="n">
        <f aca="false">AVERAGE(C340:C346)</f>
        <v>3996852.57142857</v>
      </c>
      <c r="E346" s="4" t="n">
        <f aca="false">AVERAGE(C317:C346)</f>
        <v>4186980.66666667</v>
      </c>
      <c r="F346" s="3" t="s">
        <v>41</v>
      </c>
    </row>
    <row r="347" customFormat="false" ht="15.75" hidden="false" customHeight="true" outlineLevel="0" collapsed="false">
      <c r="A347" s="13" t="n">
        <v>46057</v>
      </c>
      <c r="B347" s="3" t="s">
        <v>40</v>
      </c>
      <c r="C347" s="4" t="n">
        <v>4739935</v>
      </c>
      <c r="D347" s="4" t="n">
        <f aca="false">AVERAGE(C341:C347)</f>
        <v>4016012.85714286</v>
      </c>
      <c r="E347" s="4" t="n">
        <f aca="false">AVERAGE(C318:C347)</f>
        <v>4171050.8</v>
      </c>
      <c r="F347" s="3" t="s">
        <v>41</v>
      </c>
    </row>
    <row r="348" customFormat="false" ht="15.75" hidden="false" customHeight="true" outlineLevel="0" collapsed="false">
      <c r="A348" s="13" t="n">
        <v>46058</v>
      </c>
      <c r="B348" s="3" t="s">
        <v>45</v>
      </c>
      <c r="C348" s="4" t="n">
        <v>4636373</v>
      </c>
      <c r="D348" s="4" t="n">
        <f aca="false">AVERAGE(C342:C348)</f>
        <v>4003437.14285714</v>
      </c>
      <c r="E348" s="4" t="n">
        <f aca="false">AVERAGE(C319:C348)</f>
        <v>4148014.6</v>
      </c>
      <c r="F348" s="3" t="s">
        <v>41</v>
      </c>
    </row>
    <row r="349" customFormat="false" ht="15.75" hidden="false" customHeight="true" outlineLevel="0" collapsed="false">
      <c r="A349" s="13" t="n">
        <v>46059</v>
      </c>
      <c r="B349" s="3" t="s">
        <v>47</v>
      </c>
      <c r="C349" s="4" t="n">
        <v>2903760</v>
      </c>
      <c r="D349" s="4" t="n">
        <f aca="false">AVERAGE(C343:C349)</f>
        <v>4027651.71428571</v>
      </c>
      <c r="E349" s="4" t="n">
        <f aca="false">AVERAGE(C320:C349)</f>
        <v>4070766.03333333</v>
      </c>
      <c r="F349" s="3" t="s">
        <v>41</v>
      </c>
    </row>
    <row r="350" customFormat="false" ht="15.75" hidden="false" customHeight="true" outlineLevel="0" collapsed="false">
      <c r="A350" s="13" t="n">
        <v>46060</v>
      </c>
      <c r="B350" s="3" t="s">
        <v>49</v>
      </c>
      <c r="C350" s="4" t="n">
        <v>1867565</v>
      </c>
      <c r="D350" s="4" t="n">
        <f aca="false">AVERAGE(C344:C350)</f>
        <v>4007865</v>
      </c>
      <c r="E350" s="4" t="n">
        <f aca="false">AVERAGE(C321:C350)</f>
        <v>3961284.33333333</v>
      </c>
      <c r="F350" s="3" t="s">
        <v>50</v>
      </c>
    </row>
    <row r="351" customFormat="false" ht="15.75" hidden="false" customHeight="true" outlineLevel="0" collapsed="false">
      <c r="A351" s="13" t="n">
        <v>46061</v>
      </c>
      <c r="B351" s="3" t="s">
        <v>51</v>
      </c>
      <c r="C351" s="4" t="n">
        <v>3471980</v>
      </c>
      <c r="D351" s="4" t="n">
        <f aca="false">AVERAGE(C345:C351)</f>
        <v>3957421.71428571</v>
      </c>
      <c r="E351" s="4" t="n">
        <f aca="false">AVERAGE(C322:C351)</f>
        <v>3944343.23333333</v>
      </c>
      <c r="F351" s="3" t="s">
        <v>50</v>
      </c>
    </row>
    <row r="352" customFormat="false" ht="15.75" hidden="false" customHeight="true" outlineLevel="0" collapsed="false">
      <c r="A352" s="13" t="n">
        <v>46062</v>
      </c>
      <c r="B352" s="3" t="s">
        <v>46</v>
      </c>
      <c r="C352" s="4" t="n">
        <v>4703706</v>
      </c>
      <c r="D352" s="4" t="n">
        <f aca="false">AVERAGE(C346:C352)</f>
        <v>3919036.28571429</v>
      </c>
      <c r="E352" s="4" t="n">
        <f aca="false">AVERAGE(C323:C352)</f>
        <v>4039685.4</v>
      </c>
      <c r="F352" s="3" t="s">
        <v>41</v>
      </c>
    </row>
    <row r="353" customFormat="false" ht="15.75" hidden="false" customHeight="true" outlineLevel="0" collapsed="false">
      <c r="A353" s="13" t="n">
        <v>46063</v>
      </c>
      <c r="B353" s="3" t="s">
        <v>48</v>
      </c>
      <c r="C353" s="4" t="n">
        <v>4919377</v>
      </c>
      <c r="D353" s="4" t="n">
        <f aca="false">AVERAGE(C347:C353)</f>
        <v>3891813.71428571</v>
      </c>
      <c r="E353" s="4" t="n">
        <f aca="false">AVERAGE(C324:C353)</f>
        <v>4074904.53333333</v>
      </c>
      <c r="F353" s="3" t="s">
        <v>41</v>
      </c>
    </row>
    <row r="354" customFormat="false" ht="15.75" hidden="false" customHeight="true" outlineLevel="0" collapsed="false">
      <c r="A354" s="13" t="n">
        <v>46064</v>
      </c>
      <c r="B354" s="3" t="s">
        <v>40</v>
      </c>
      <c r="C354" s="4" t="n">
        <v>4766286</v>
      </c>
      <c r="D354" s="4" t="n">
        <f aca="false">AVERAGE(C348:C354)</f>
        <v>3895578.14285714</v>
      </c>
      <c r="E354" s="4" t="n">
        <f aca="false">AVERAGE(C325:C354)</f>
        <v>4072330.93333333</v>
      </c>
      <c r="F354" s="3" t="s">
        <v>41</v>
      </c>
    </row>
    <row r="355" customFormat="false" ht="15.75" hidden="false" customHeight="true" outlineLevel="0" collapsed="false">
      <c r="A355" s="13" t="n">
        <v>46065</v>
      </c>
      <c r="B355" s="3" t="s">
        <v>45</v>
      </c>
      <c r="C355" s="4" t="n">
        <v>4798004</v>
      </c>
      <c r="D355" s="4" t="n">
        <f aca="false">AVERAGE(C349:C355)</f>
        <v>3918668.28571429</v>
      </c>
      <c r="E355" s="4" t="n">
        <f aca="false">AVERAGE(C326:C355)</f>
        <v>4057427.5</v>
      </c>
      <c r="F355" s="3" t="s">
        <v>41</v>
      </c>
    </row>
    <row r="356" customFormat="false" ht="15.75" hidden="false" customHeight="true" outlineLevel="0" collapsed="false">
      <c r="A356" s="13" t="n">
        <v>46066</v>
      </c>
      <c r="B356" s="3" t="s">
        <v>47</v>
      </c>
      <c r="C356" s="4" t="n">
        <v>2898665</v>
      </c>
      <c r="D356" s="4" t="n">
        <f aca="false">AVERAGE(C350:C356)</f>
        <v>3917940.42857143</v>
      </c>
      <c r="E356" s="4" t="n">
        <f aca="false">AVERAGE(C327:C356)</f>
        <v>3989408.23333333</v>
      </c>
      <c r="F356" s="3" t="s">
        <v>41</v>
      </c>
    </row>
    <row r="357" customFormat="false" ht="15.75" hidden="false" customHeight="true" outlineLevel="0" collapsed="false">
      <c r="A357" s="13" t="n">
        <v>46067</v>
      </c>
      <c r="B357" s="3" t="s">
        <v>49</v>
      </c>
      <c r="C357" s="4" t="n">
        <v>1857040</v>
      </c>
      <c r="D357" s="4" t="n">
        <f aca="false">AVERAGE(C351:C357)</f>
        <v>3916436.85714286</v>
      </c>
      <c r="E357" s="4" t="n">
        <f aca="false">AVERAGE(C328:C357)</f>
        <v>3884926.36666667</v>
      </c>
      <c r="F357" s="3" t="s">
        <v>50</v>
      </c>
    </row>
    <row r="358" customFormat="false" ht="15.75" hidden="false" customHeight="true" outlineLevel="0" collapsed="false">
      <c r="A358" s="13" t="n">
        <v>46068</v>
      </c>
      <c r="B358" s="3" t="s">
        <v>51</v>
      </c>
      <c r="C358" s="4" t="n">
        <v>3776866</v>
      </c>
      <c r="D358" s="4" t="n">
        <f aca="false">AVERAGE(C352:C358)</f>
        <v>3959992</v>
      </c>
      <c r="E358" s="4" t="n">
        <f aca="false">AVERAGE(C329:C358)</f>
        <v>3909794.4</v>
      </c>
      <c r="F358" s="3" t="s">
        <v>50</v>
      </c>
    </row>
    <row r="359" customFormat="false" ht="15.75" hidden="false" customHeight="true" outlineLevel="0" collapsed="false">
      <c r="A359" s="13" t="n">
        <v>46069</v>
      </c>
      <c r="B359" s="3" t="s">
        <v>46</v>
      </c>
      <c r="C359" s="4" t="n">
        <v>4816016</v>
      </c>
      <c r="D359" s="4" t="n">
        <f aca="false">AVERAGE(C353:C359)</f>
        <v>3976036.28571429</v>
      </c>
      <c r="E359" s="4" t="n">
        <f aca="false">AVERAGE(C330:C359)</f>
        <v>3992305.4</v>
      </c>
      <c r="F359" s="3" t="s">
        <v>41</v>
      </c>
    </row>
    <row r="360" customFormat="false" ht="15.75" hidden="false" customHeight="true" outlineLevel="0" collapsed="false">
      <c r="A360" s="13" t="n">
        <v>46070</v>
      </c>
      <c r="B360" s="3" t="s">
        <v>48</v>
      </c>
      <c r="C360" s="4" t="n">
        <v>4870475</v>
      </c>
      <c r="D360" s="4" t="n">
        <f aca="false">AVERAGE(C354:C360)</f>
        <v>3969050.28571429</v>
      </c>
      <c r="E360" s="4" t="n">
        <f aca="false">AVERAGE(C331:C360)</f>
        <v>4023933.46666667</v>
      </c>
      <c r="F360" s="3" t="s">
        <v>41</v>
      </c>
    </row>
    <row r="361" customFormat="false" ht="15.75" hidden="false" customHeight="true" outlineLevel="0" collapsed="false">
      <c r="A361" s="13" t="n">
        <v>46071</v>
      </c>
      <c r="B361" s="3" t="s">
        <v>40</v>
      </c>
      <c r="C361" s="4" t="n">
        <v>4757647</v>
      </c>
      <c r="D361" s="4" t="n">
        <f aca="false">AVERAGE(C355:C361)</f>
        <v>3967816.14285714</v>
      </c>
      <c r="E361" s="4" t="n">
        <f aca="false">AVERAGE(C332:C361)</f>
        <v>4013564.13333333</v>
      </c>
      <c r="F361" s="3" t="s">
        <v>41</v>
      </c>
    </row>
    <row r="362" customFormat="false" ht="15.75" hidden="false" customHeight="true" outlineLevel="0" collapsed="false">
      <c r="A362" s="13" t="n">
        <v>46072</v>
      </c>
      <c r="B362" s="3" t="s">
        <v>45</v>
      </c>
      <c r="C362" s="4" t="n">
        <v>4796771</v>
      </c>
      <c r="D362" s="4" t="n">
        <f aca="false">AVERAGE(C356:C362)</f>
        <v>3967640</v>
      </c>
      <c r="E362" s="4" t="n">
        <f aca="false">AVERAGE(C333:C362)</f>
        <v>4003695.53333333</v>
      </c>
      <c r="F362" s="3" t="s">
        <v>41</v>
      </c>
    </row>
    <row r="363" customFormat="false" ht="15.75" hidden="false" customHeight="true" outlineLevel="0" collapsed="false">
      <c r="A363" s="13" t="n">
        <v>46073</v>
      </c>
      <c r="B363" s="3" t="s">
        <v>47</v>
      </c>
      <c r="C363" s="4" t="n">
        <v>2991948</v>
      </c>
      <c r="D363" s="4" t="n">
        <f aca="false">AVERAGE(C357:C363)</f>
        <v>3980966.14285714</v>
      </c>
      <c r="E363" s="4" t="n">
        <f aca="false">AVERAGE(C334:C363)</f>
        <v>3950162.5</v>
      </c>
      <c r="F363" s="3" t="s">
        <v>41</v>
      </c>
    </row>
    <row r="364" customFormat="false" ht="15.75" hidden="false" customHeight="true" outlineLevel="0" collapsed="false">
      <c r="A364" s="13" t="n">
        <v>46074</v>
      </c>
      <c r="B364" s="3" t="s">
        <v>49</v>
      </c>
      <c r="C364" s="4" t="n">
        <v>2236911</v>
      </c>
      <c r="D364" s="4" t="n">
        <f aca="false">AVERAGE(C358:C364)</f>
        <v>4035233.42857143</v>
      </c>
      <c r="E364" s="4" t="n">
        <f aca="false">AVERAGE(C335:C364)</f>
        <v>3876283.73333333</v>
      </c>
      <c r="F364" s="3" t="s">
        <v>50</v>
      </c>
    </row>
    <row r="365" customFormat="false" ht="15.75" hidden="false" customHeight="true" outlineLevel="0" collapsed="false">
      <c r="A365" s="13" t="n">
        <v>46075</v>
      </c>
      <c r="B365" s="3" t="s">
        <v>51</v>
      </c>
      <c r="C365" s="4" t="n">
        <v>3409595</v>
      </c>
      <c r="D365" s="4" t="n">
        <f aca="false">AVERAGE(C359:C365)</f>
        <v>3982766.14285714</v>
      </c>
      <c r="E365" s="4" t="n">
        <f aca="false">AVERAGE(C336:C365)</f>
        <v>3897390.86666667</v>
      </c>
      <c r="F365" s="3" t="s">
        <v>50</v>
      </c>
    </row>
    <row r="366" customFormat="false" ht="15.75" hidden="false" customHeight="true" outlineLevel="0" collapsed="false">
      <c r="A366" s="13" t="n">
        <v>46076</v>
      </c>
      <c r="B366" s="3" t="s">
        <v>46</v>
      </c>
      <c r="C366" s="4" t="n">
        <v>4726602</v>
      </c>
      <c r="D366" s="4" t="n">
        <f aca="false">AVERAGE(C360:C366)</f>
        <v>3969992.71428571</v>
      </c>
      <c r="E366" s="4" t="n">
        <f aca="false">AVERAGE(C337:C366)</f>
        <v>3982677.73333333</v>
      </c>
      <c r="F366" s="3" t="s">
        <v>41</v>
      </c>
    </row>
    <row r="367" customFormat="false" ht="15.75" hidden="false" customHeight="true" outlineLevel="0" collapsed="false">
      <c r="A367" s="13" t="n">
        <v>46077</v>
      </c>
      <c r="B367" s="3" t="s">
        <v>48</v>
      </c>
      <c r="C367" s="4" t="n">
        <v>4975720</v>
      </c>
      <c r="D367" s="4" t="n">
        <f aca="false">AVERAGE(C361:C367)</f>
        <v>3985027.71428571</v>
      </c>
      <c r="E367" s="4" t="n">
        <f aca="false">AVERAGE(C338:C367)</f>
        <v>4026191.46666667</v>
      </c>
      <c r="F367" s="3" t="s">
        <v>41</v>
      </c>
    </row>
    <row r="368" customFormat="false" ht="15.75" hidden="false" customHeight="true" outlineLevel="0" collapsed="false">
      <c r="A368" s="13" t="n">
        <v>46078</v>
      </c>
      <c r="B368" s="3" t="s">
        <v>40</v>
      </c>
      <c r="C368" s="4" t="n">
        <v>4622233</v>
      </c>
      <c r="D368" s="4" t="n">
        <f aca="false">AVERAGE(C362:C368)</f>
        <v>3965682.85714286</v>
      </c>
      <c r="E368" s="4" t="n">
        <f aca="false">AVERAGE(C339:C368)</f>
        <v>4016405.96666667</v>
      </c>
      <c r="F368" s="3" t="s">
        <v>41</v>
      </c>
    </row>
    <row r="369" customFormat="false" ht="15.75" hidden="false" customHeight="true" outlineLevel="0" collapsed="false">
      <c r="A369" s="13" t="n">
        <v>46079</v>
      </c>
      <c r="B369" s="3" t="s">
        <v>45</v>
      </c>
      <c r="C369" s="4" t="n">
        <v>669087</v>
      </c>
      <c r="D369" s="4" t="n">
        <f aca="false">AVERAGE(C363:C369)</f>
        <v>3376013.71428571</v>
      </c>
      <c r="E369" s="4" t="n">
        <f aca="false">AVERAGE(C340:C369)</f>
        <v>3873017.66666667</v>
      </c>
      <c r="F369" s="3" t="s">
        <v>41</v>
      </c>
    </row>
  </sheetData>
  <mergeCells count="2">
    <mergeCell ref="A1:F1"/>
    <mergeCell ref="H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O27" activeCellId="0" sqref="O27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6" min="5" style="0" width="22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18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</row>
    <row r="3" customFormat="false" ht="15.75" hidden="false" customHeight="true" outlineLevel="0" collapsed="false">
      <c r="A3" s="7" t="s">
        <v>56</v>
      </c>
    </row>
    <row r="4" customFormat="false" ht="15.75" hidden="false" customHeight="true" outlineLevel="0" collapsed="false">
      <c r="A4" s="8" t="s">
        <v>57</v>
      </c>
      <c r="B4" s="14" t="n">
        <v>122846116</v>
      </c>
      <c r="C4" s="15" t="s">
        <v>58</v>
      </c>
    </row>
    <row r="5" customFormat="false" ht="15.75" hidden="false" customHeight="true" outlineLevel="0" collapsed="false">
      <c r="A5" s="8" t="s">
        <v>59</v>
      </c>
      <c r="B5" s="16" t="n">
        <f aca="false">'Monthly Summary'!B21</f>
        <v>0.78400561807157</v>
      </c>
      <c r="C5" s="15" t="s">
        <v>60</v>
      </c>
    </row>
    <row r="6" customFormat="false" ht="15.75" hidden="false" customHeight="true" outlineLevel="0" collapsed="false">
      <c r="A6" s="8" t="s">
        <v>61</v>
      </c>
      <c r="B6" s="14" t="n">
        <v>1126210190</v>
      </c>
      <c r="C6" s="15" t="s">
        <v>58</v>
      </c>
    </row>
    <row r="7" customFormat="false" ht="15.75" hidden="false" customHeight="true" outlineLevel="0" collapsed="false">
      <c r="A7" s="8" t="s">
        <v>62</v>
      </c>
      <c r="B7" s="14" t="n">
        <v>510</v>
      </c>
      <c r="C7" s="15" t="s">
        <v>63</v>
      </c>
    </row>
    <row r="8" customFormat="false" ht="15.75" hidden="false" customHeight="true" outlineLevel="0" collapsed="false">
      <c r="A8" s="8" t="s">
        <v>64</v>
      </c>
      <c r="B8" s="14" t="n">
        <v>100000</v>
      </c>
      <c r="C8" s="15" t="s">
        <v>65</v>
      </c>
    </row>
    <row r="9" customFormat="false" ht="15.75" hidden="false" customHeight="true" outlineLevel="0" collapsed="false">
      <c r="A9" s="8" t="s">
        <v>66</v>
      </c>
      <c r="B9" s="17" t="n">
        <v>2</v>
      </c>
      <c r="C9" s="15" t="s">
        <v>67</v>
      </c>
    </row>
    <row r="10" customFormat="false" ht="15.75" hidden="false" customHeight="true" outlineLevel="0" collapsed="false">
      <c r="A10" s="8" t="s">
        <v>68</v>
      </c>
      <c r="B10" s="14" t="n">
        <v>365</v>
      </c>
      <c r="C10" s="15" t="s">
        <v>69</v>
      </c>
    </row>
    <row r="13" customFormat="false" ht="15.75" hidden="false" customHeight="true" outlineLevel="0" collapsed="false">
      <c r="A13" s="7" t="s">
        <v>70</v>
      </c>
    </row>
    <row r="14" customFormat="false" ht="15.75" hidden="false" customHeight="true" outlineLevel="0" collapsed="false">
      <c r="A14" s="2" t="s">
        <v>6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31</v>
      </c>
      <c r="H14" s="2" t="s">
        <v>76</v>
      </c>
    </row>
    <row r="15" customFormat="false" ht="15.75" hidden="false" customHeight="true" outlineLevel="0" collapsed="false">
      <c r="A15" s="3" t="s">
        <v>77</v>
      </c>
      <c r="B15" s="4" t="n">
        <f aca="false">$B$4*(1+$B$5)^2</f>
        <v>390979390.652687</v>
      </c>
      <c r="C15" s="4" t="n">
        <f aca="false">$B$6+B15</f>
        <v>1517189580.65269</v>
      </c>
      <c r="D15" s="4" t="n">
        <f aca="false">$B$4*(1+$B$5)^-10</f>
        <v>376183.075831078</v>
      </c>
      <c r="E15" s="4" t="n">
        <f aca="false">CEILING(D15/$B$8,1)</f>
        <v>4</v>
      </c>
      <c r="F15" s="18" t="n">
        <f aca="false">E15*$B$9/3600</f>
        <v>0.00222222222222222</v>
      </c>
      <c r="G15" s="18" t="n">
        <f aca="false">C15*$B$7/1024/1024/1024</f>
        <v>720.626382280952</v>
      </c>
      <c r="H15" s="3" t="str">
        <f aca="false">IF(F15&gt;8,"CRITICAL",IF(F15&gt;4,"WARNING","OK"))</f>
        <v>OK</v>
      </c>
    </row>
    <row r="16" customFormat="false" ht="15.75" hidden="false" customHeight="true" outlineLevel="0" collapsed="false">
      <c r="A16" s="3" t="s">
        <v>78</v>
      </c>
      <c r="B16" s="4" t="n">
        <f aca="false">$B$4*(1+$B$5)^3</f>
        <v>697509429.474593</v>
      </c>
      <c r="C16" s="4" t="n">
        <f aca="false">C15+B16</f>
        <v>2214699010.12728</v>
      </c>
      <c r="D16" s="4" t="n">
        <f aca="false">$B$4*(1+$B$5)^-9</f>
        <v>671112.720706087</v>
      </c>
      <c r="E16" s="4" t="n">
        <f aca="false">CEILING(D16/$B$8,1)</f>
        <v>7</v>
      </c>
      <c r="F16" s="18" t="n">
        <f aca="false">E16*$B$9/3600</f>
        <v>0.00388888888888889</v>
      </c>
      <c r="G16" s="18" t="n">
        <f aca="false">C16*$B$7/1024/1024/1024</f>
        <v>1051.92558389615</v>
      </c>
      <c r="H16" s="3" t="str">
        <f aca="false">IF(F16&gt;8,"CRITICAL",IF(F16&gt;4,"WARNING","OK"))</f>
        <v>OK</v>
      </c>
    </row>
    <row r="17" customFormat="false" ht="15.75" hidden="false" customHeight="true" outlineLevel="0" collapsed="false">
      <c r="A17" s="3" t="s">
        <v>79</v>
      </c>
      <c r="B17" s="4" t="n">
        <f aca="false">$B$4*(1+$B$5)^4</f>
        <v>1244360740.84057</v>
      </c>
      <c r="C17" s="4" t="n">
        <f aca="false">C16+B17</f>
        <v>3459059750.96785</v>
      </c>
      <c r="D17" s="4" t="n">
        <f aca="false">$B$4*(1+$B$5)^-8</f>
        <v>1197268.86409896</v>
      </c>
      <c r="E17" s="4" t="n">
        <f aca="false">CEILING(D17/$B$8,1)</f>
        <v>12</v>
      </c>
      <c r="F17" s="18" t="n">
        <f aca="false">E17*$B$9/3600</f>
        <v>0.00666666666666667</v>
      </c>
      <c r="G17" s="18" t="n">
        <f aca="false">C17*$B$7/1024/1024/1024</f>
        <v>1642.96522084028</v>
      </c>
      <c r="H17" s="3" t="str">
        <f aca="false">IF(F17&gt;8,"CRITICAL",IF(F17&gt;4,"WARNING","OK"))</f>
        <v>OK</v>
      </c>
    </row>
    <row r="18" customFormat="false" ht="15.75" hidden="false" customHeight="true" outlineLevel="0" collapsed="false">
      <c r="A18" s="3" t="s">
        <v>80</v>
      </c>
      <c r="B18" s="4" t="n">
        <f aca="false">$B$4*(1+$B$5)^5</f>
        <v>2219946552.56728</v>
      </c>
      <c r="C18" s="4" t="n">
        <f aca="false">C17+B18</f>
        <v>5679006303.53513</v>
      </c>
      <c r="D18" s="4" t="n">
        <f aca="false">$B$4*(1+$B$5)^-7</f>
        <v>2135934.37989471</v>
      </c>
      <c r="E18" s="4" t="n">
        <f aca="false">CEILING(D18/$B$8,1)</f>
        <v>22</v>
      </c>
      <c r="F18" s="18" t="n">
        <f aca="false">E18*$B$9/3600</f>
        <v>0.0122222222222222</v>
      </c>
      <c r="G18" s="18" t="n">
        <f aca="false">C18*$B$7/1024/1024/1024</f>
        <v>2697.38325365159</v>
      </c>
      <c r="H18" s="3" t="str">
        <f aca="false">IF(F18&gt;8,"CRITICAL",IF(F18&gt;4,"WARNING","OK"))</f>
        <v>OK</v>
      </c>
    </row>
    <row r="19" customFormat="false" ht="15.75" hidden="false" customHeight="true" outlineLevel="0" collapsed="false">
      <c r="A19" s="3" t="s">
        <v>81</v>
      </c>
      <c r="B19" s="4" t="n">
        <f aca="false">$B$4*(1+$B$5)^6</f>
        <v>3960397121.59864</v>
      </c>
      <c r="C19" s="4" t="n">
        <f aca="false">C18+B19</f>
        <v>9639403425.13377</v>
      </c>
      <c r="D19" s="4" t="n">
        <f aca="false">$B$4*(1+$B$5)^-6</f>
        <v>3810518.93356437</v>
      </c>
      <c r="E19" s="4" t="n">
        <f aca="false">CEILING(D19/$B$8,1)</f>
        <v>39</v>
      </c>
      <c r="F19" s="18" t="n">
        <f aca="false">E19*$B$9/3600</f>
        <v>0.0216666666666667</v>
      </c>
      <c r="G19" s="18" t="n">
        <f aca="false">C19*$B$7/1024/1024/1024</f>
        <v>4578.47094798295</v>
      </c>
      <c r="H19" s="3" t="str">
        <f aca="false">IF(F19&gt;8,"CRITICAL",IF(F19&gt;4,"WARNING","OK"))</f>
        <v>OK</v>
      </c>
    </row>
    <row r="20" customFormat="false" ht="15.75" hidden="false" customHeight="true" outlineLevel="0" collapsed="false">
      <c r="A20" s="3" t="s">
        <v>82</v>
      </c>
      <c r="B20" s="4" t="n">
        <f aca="false">$B$4*(1+$B$5)^7</f>
        <v>7065370714.72645</v>
      </c>
      <c r="C20" s="4" t="n">
        <f aca="false">C19+B20</f>
        <v>16704774139.8602</v>
      </c>
      <c r="D20" s="4" t="n">
        <f aca="false">$B$4*(1+$B$5)^-5</f>
        <v>6797987.18524693</v>
      </c>
      <c r="E20" s="4" t="n">
        <f aca="false">CEILING(D20/$B$8,1)</f>
        <v>68</v>
      </c>
      <c r="F20" s="18" t="n">
        <f aca="false">E20*$B$9/3600</f>
        <v>0.0377777777777778</v>
      </c>
      <c r="G20" s="18" t="n">
        <f aca="false">C20*$B$7/1024/1024/1024</f>
        <v>7934.34196275539</v>
      </c>
      <c r="H20" s="3" t="str">
        <f aca="false">IF(F20&gt;8,"CRITICAL",IF(F20&gt;4,"WARNING","OK"))</f>
        <v>OK</v>
      </c>
    </row>
    <row r="21" customFormat="false" ht="15.75" hidden="false" customHeight="true" outlineLevel="0" collapsed="false">
      <c r="A21" s="3" t="s">
        <v>83</v>
      </c>
      <c r="B21" s="4" t="n">
        <f aca="false">$B$4*(1+$B$5)^8</f>
        <v>12604661048.8303</v>
      </c>
      <c r="C21" s="4" t="n">
        <f aca="false">C20+B21</f>
        <v>29309435188.6906</v>
      </c>
      <c r="D21" s="4" t="n">
        <f aca="false">$B$4*(1+$B$5)^-4</f>
        <v>12127647.3300591</v>
      </c>
      <c r="E21" s="4" t="n">
        <f aca="false">CEILING(D21/$B$8,1)</f>
        <v>122</v>
      </c>
      <c r="F21" s="18" t="n">
        <f aca="false">E21*$B$9/3600</f>
        <v>0.0677777777777778</v>
      </c>
      <c r="G21" s="18" t="n">
        <f aca="false">C21*$B$7/1024/1024/1024</f>
        <v>13921.234706633</v>
      </c>
      <c r="H21" s="3" t="str">
        <f aca="false">IF(F21&gt;8,"CRITICAL",IF(F21&gt;4,"WARNING","OK"))</f>
        <v>OK</v>
      </c>
    </row>
    <row r="22" customFormat="false" ht="15.75" hidden="false" customHeight="true" outlineLevel="0" collapsed="false">
      <c r="A22" s="3" t="s">
        <v>84</v>
      </c>
      <c r="B22" s="4" t="n">
        <f aca="false">$B$4*(1+$B$5)^9</f>
        <v>22486786125.0012</v>
      </c>
      <c r="C22" s="4" t="n">
        <f aca="false">C21+B22</f>
        <v>51796221313.6918</v>
      </c>
      <c r="D22" s="4" t="n">
        <f aca="false">$B$4*(1+$B$5)^-3</f>
        <v>21635790.970816</v>
      </c>
      <c r="E22" s="4" t="n">
        <f aca="false">CEILING(D22/$B$8,1)</f>
        <v>217</v>
      </c>
      <c r="F22" s="18" t="n">
        <f aca="false">E22*$B$9/3600</f>
        <v>0.120555555555556</v>
      </c>
      <c r="G22" s="18" t="n">
        <f aca="false">C22*$B$7/1024/1024/1024</f>
        <v>24601.8849965025</v>
      </c>
      <c r="H22" s="3" t="str">
        <f aca="false">IF(F22&gt;8,"CRITICAL",IF(F22&gt;4,"WARNING","OK"))</f>
        <v>OK</v>
      </c>
    </row>
    <row r="23" customFormat="false" ht="15.75" hidden="false" customHeight="true" outlineLevel="0" collapsed="false">
      <c r="A23" s="3" t="s">
        <v>85</v>
      </c>
      <c r="B23" s="4" t="n">
        <f aca="false">$B$4*(1+$B$5)^10</f>
        <v>40116552779.376</v>
      </c>
      <c r="C23" s="4" t="n">
        <f aca="false">C22+B23</f>
        <v>91912774093.0678</v>
      </c>
      <c r="D23" s="4" t="n">
        <f aca="false">$B$4*(1+$B$5)^-2</f>
        <v>38598372.643358</v>
      </c>
      <c r="E23" s="4" t="n">
        <f aca="false">CEILING(D23/$B$8,1)</f>
        <v>386</v>
      </c>
      <c r="F23" s="18" t="n">
        <f aca="false">E23*$B$9/3600</f>
        <v>0.214444444444444</v>
      </c>
      <c r="G23" s="18" t="n">
        <f aca="false">C23*$B$7/1024/1024/1024</f>
        <v>43656.2251182874</v>
      </c>
      <c r="H23" s="3" t="str">
        <f aca="false">IF(F23&gt;8,"CRITICAL",IF(F23&gt;4,"WARNING","OK"))</f>
        <v>OK</v>
      </c>
    </row>
    <row r="24" customFormat="false" ht="15.75" hidden="false" customHeight="true" outlineLevel="0" collapsed="false">
      <c r="A24" s="3" t="s">
        <v>86</v>
      </c>
      <c r="B24" s="4" t="n">
        <f aca="false">$B$4*(1+$B$5)^11</f>
        <v>71568155536.0715</v>
      </c>
      <c r="C24" s="4" t="n">
        <f aca="false">C23+B24</f>
        <v>163480929629.139</v>
      </c>
      <c r="D24" s="4" t="n">
        <f aca="false">$B$4*(1+$B$5)^-1</f>
        <v>68859713.6441706</v>
      </c>
      <c r="E24" s="4" t="n">
        <f aca="false">CEILING(D24/$B$8,1)</f>
        <v>689</v>
      </c>
      <c r="F24" s="18" t="n">
        <f aca="false">E24*$B$9/3600</f>
        <v>0.382777777777778</v>
      </c>
      <c r="G24" s="18" t="n">
        <f aca="false">C24*$B$7/1024/1024/1024</f>
        <v>77649.2749441983</v>
      </c>
      <c r="H24" s="3" t="str">
        <f aca="false">IF(F24&gt;8,"CRITICAL",IF(F24&gt;4,"WARNING","OK"))</f>
        <v>OK</v>
      </c>
    </row>
    <row r="25" customFormat="false" ht="15.75" hidden="false" customHeight="true" outlineLevel="0" collapsed="false">
      <c r="A25" s="3" t="s">
        <v>87</v>
      </c>
      <c r="B25" s="4" t="n">
        <f aca="false">$B$4*(1+$B$5)^12</f>
        <v>127677991551.371</v>
      </c>
      <c r="C25" s="4" t="n">
        <f aca="false">C24+B25</f>
        <v>291158921180.511</v>
      </c>
      <c r="D25" s="4" t="n">
        <f aca="false">$B$4*(1+$B$5)^0</f>
        <v>122846116</v>
      </c>
      <c r="E25" s="4" t="n">
        <f aca="false">CEILING(D25/$B$8,1)</f>
        <v>1229</v>
      </c>
      <c r="F25" s="18" t="n">
        <f aca="false">E25*$B$9/3600</f>
        <v>0.682777777777778</v>
      </c>
      <c r="G25" s="18" t="n">
        <f aca="false">C25*$B$7/1024/1024/1024</f>
        <v>138293.06680901</v>
      </c>
      <c r="H25" s="3" t="str">
        <f aca="false">IF(F25&gt;8,"CRITICAL",IF(F25&gt;4,"WARNING","OK"))</f>
        <v>OK</v>
      </c>
    </row>
    <row r="26" customFormat="false" ht="15.75" hidden="false" customHeight="true" outlineLevel="0" collapsed="false">
      <c r="A26" s="3" t="s">
        <v>88</v>
      </c>
      <c r="B26" s="4" t="n">
        <f aca="false">$B$4*(1+$B$5)^13</f>
        <v>227778254231.741</v>
      </c>
      <c r="C26" s="4" t="n">
        <f aca="false">C25+B26</f>
        <v>518937175412.252</v>
      </c>
      <c r="D26" s="4" t="n">
        <f aca="false">$B$4*(1+$B$5)^1</f>
        <v>219158161.102272</v>
      </c>
      <c r="E26" s="4" t="n">
        <f aca="false">CEILING(D26/$B$8,1)</f>
        <v>2192</v>
      </c>
      <c r="F26" s="18" t="n">
        <f aca="false">E26*$B$9/3600</f>
        <v>1.21777777777778</v>
      </c>
      <c r="G26" s="18" t="n">
        <f aca="false">C26*$B$7/1024/1024/1024</f>
        <v>246481.932196998</v>
      </c>
      <c r="H26" s="3" t="str">
        <f aca="false">IF(F26&gt;8,"CRITICAL",IF(F26&gt;4,"WARNING","OK"))</f>
        <v>OK</v>
      </c>
    </row>
    <row r="27" customFormat="false" ht="15.75" hidden="false" customHeight="true" outlineLevel="0" collapsed="false">
      <c r="A27" s="3" t="s">
        <v>89</v>
      </c>
      <c r="B27" s="4" t="n">
        <f aca="false">$B$4*(1+$B$5)^14</f>
        <v>406357685223.961</v>
      </c>
      <c r="C27" s="4" t="n">
        <f aca="false">C26+B27</f>
        <v>925294860636.213</v>
      </c>
      <c r="D27" s="4" t="n">
        <f aca="false">$B$4*(1+$B$5)^2</f>
        <v>390979390.652687</v>
      </c>
      <c r="E27" s="4" t="n">
        <f aca="false">CEILING(D27/$B$8,1)</f>
        <v>3910</v>
      </c>
      <c r="F27" s="18" t="n">
        <f aca="false">E27*$B$9/3600</f>
        <v>2.17222222222222</v>
      </c>
      <c r="G27" s="18" t="n">
        <f aca="false">C27*$B$7/1024/1024/1024</f>
        <v>439491.475861956</v>
      </c>
      <c r="H27" s="3" t="str">
        <f aca="false">IF(F27&gt;8,"CRITICAL",IF(F27&gt;4,"WARNING","OK"))</f>
        <v>OK</v>
      </c>
    </row>
    <row r="28" customFormat="false" ht="15.75" hidden="false" customHeight="true" outlineLevel="0" collapsed="false">
      <c r="A28" s="3" t="s">
        <v>90</v>
      </c>
      <c r="B28" s="4" t="n">
        <f aca="false">$B$4*(1+$B$5)^15</f>
        <v>724944393386.105</v>
      </c>
      <c r="C28" s="4" t="n">
        <f aca="false">C27+B28</f>
        <v>1650239254022.32</v>
      </c>
      <c r="D28" s="4" t="n">
        <f aca="false">$B$4*(1+$B$5)^3</f>
        <v>697509429.474593</v>
      </c>
      <c r="E28" s="4" t="n">
        <f aca="false">CEILING(D28/$B$8,1)</f>
        <v>6976</v>
      </c>
      <c r="F28" s="18" t="n">
        <f aca="false">E28*$B$9/3600</f>
        <v>3.87555555555556</v>
      </c>
      <c r="G28" s="18" t="n">
        <f aca="false">C28*$B$7/1024/1024/1024</f>
        <v>783821.586101672</v>
      </c>
      <c r="H28" s="3" t="str">
        <f aca="false">IF(F28&gt;8,"CRITICAL",IF(F28&gt;4,"WARNING","OK"))</f>
        <v>OK</v>
      </c>
    </row>
    <row r="29" customFormat="false" ht="15.75" hidden="false" customHeight="true" outlineLevel="0" collapsed="false">
      <c r="A29" s="3" t="s">
        <v>91</v>
      </c>
      <c r="B29" s="4" t="n">
        <f aca="false">$B$4*(1+$B$5)^16</f>
        <v>1293304870590.3</v>
      </c>
      <c r="C29" s="4" t="n">
        <f aca="false">C28+B29</f>
        <v>2943544124612.61</v>
      </c>
      <c r="D29" s="4" t="n">
        <f aca="false">$B$4*(1+$B$5)^4</f>
        <v>1244360740.84057</v>
      </c>
      <c r="E29" s="4" t="n">
        <f aca="false">CEILING(D29/$B$8,1)</f>
        <v>12444</v>
      </c>
      <c r="F29" s="18" t="n">
        <f aca="false">E29*$B$9/3600</f>
        <v>6.91333333333333</v>
      </c>
      <c r="G29" s="18" t="n">
        <f aca="false">C29*$B$7/1024/1024/1024</f>
        <v>1398108.43724053</v>
      </c>
      <c r="H29" s="3" t="str">
        <f aca="false">IF(F29&gt;8,"CRITICAL",IF(F29&gt;4,"WARNING","OK"))</f>
        <v>WARNING</v>
      </c>
    </row>
    <row r="30" customFormat="false" ht="15.75" hidden="false" customHeight="true" outlineLevel="0" collapsed="false">
      <c r="A30" s="3" t="s">
        <v>92</v>
      </c>
      <c r="B30" s="4" t="n">
        <f aca="false">$B$4*(1+$B$5)^17</f>
        <v>2307263155012.42</v>
      </c>
      <c r="C30" s="4" t="n">
        <f aca="false">C29+B30</f>
        <v>5250807279625.03</v>
      </c>
      <c r="D30" s="4" t="n">
        <f aca="false">$B$4*(1+$B$5)^5</f>
        <v>2219946552.56728</v>
      </c>
      <c r="E30" s="4" t="n">
        <f aca="false">CEILING(D30/$B$8,1)</f>
        <v>22200</v>
      </c>
      <c r="F30" s="18" t="n">
        <f aca="false">E30*$B$9/3600</f>
        <v>12.3333333333333</v>
      </c>
      <c r="G30" s="18" t="n">
        <f aca="false">C30*$B$7/1024/1024/1024</f>
        <v>2493999.63077974</v>
      </c>
      <c r="H30" s="3" t="str">
        <f aca="false">IF(F30&gt;8,"CRITICAL",IF(F30&gt;4,"WARNING","OK"))</f>
        <v>CRITICAL</v>
      </c>
    </row>
    <row r="31" customFormat="false" ht="15.75" hidden="false" customHeight="true" outlineLevel="0" collapsed="false">
      <c r="A31" s="3" t="s">
        <v>93</v>
      </c>
      <c r="B31" s="4" t="n">
        <f aca="false">$B$4*(1+$B$5)^18</f>
        <v>4116170430911.69</v>
      </c>
      <c r="C31" s="4" t="n">
        <f aca="false">C30+B31</f>
        <v>9366977710536.72</v>
      </c>
      <c r="D31" s="4" t="n">
        <f aca="false">$B$4*(1+$B$5)^6</f>
        <v>3960397121.59864</v>
      </c>
      <c r="E31" s="4" t="n">
        <f aca="false">CEILING(D31/$B$8,1)</f>
        <v>39604</v>
      </c>
      <c r="F31" s="18" t="n">
        <f aca="false">E31*$B$9/3600</f>
        <v>22.0022222222222</v>
      </c>
      <c r="G31" s="18" t="n">
        <f aca="false">C31*$B$7/1024/1024/1024</f>
        <v>4449075.67684886</v>
      </c>
      <c r="H31" s="3" t="str">
        <f aca="false">IF(F31&gt;8,"CRITICAL",IF(F31&gt;4,"WARNING","OK"))</f>
        <v>CRITICAL</v>
      </c>
    </row>
    <row r="32" customFormat="false" ht="15.75" hidden="false" customHeight="true" outlineLevel="0" collapsed="false">
      <c r="A32" s="3" t="s">
        <v>94</v>
      </c>
      <c r="B32" s="4" t="n">
        <f aca="false">$B$4*(1+$B$5)^19</f>
        <v>7343271173686.53</v>
      </c>
      <c r="C32" s="4" t="n">
        <f aca="false">C31+B32</f>
        <v>16710248884223.2</v>
      </c>
      <c r="D32" s="4" t="n">
        <f aca="false">$B$4*(1+$B$5)^7</f>
        <v>7065370714.72645</v>
      </c>
      <c r="E32" s="4" t="n">
        <f aca="false">CEILING(D32/$B$8,1)</f>
        <v>70654</v>
      </c>
      <c r="F32" s="18" t="n">
        <f aca="false">E32*$B$9/3600</f>
        <v>39.2522222222222</v>
      </c>
      <c r="G32" s="18" t="n">
        <f aca="false">C32*$B$7/1024/1024/1024</f>
        <v>7936942.32679331</v>
      </c>
      <c r="H32" s="3" t="str">
        <f aca="false">IF(F32&gt;8,"CRITICAL",IF(F32&gt;4,"WARNING","OK"))</f>
        <v>CRITICAL</v>
      </c>
    </row>
    <row r="33" customFormat="false" ht="15.75" hidden="false" customHeight="true" outlineLevel="0" collapsed="false">
      <c r="A33" s="3" t="s">
        <v>95</v>
      </c>
      <c r="B33" s="4" t="n">
        <f aca="false">$B$4*(1+$B$5)^20</f>
        <v>13100437028879.8</v>
      </c>
      <c r="C33" s="4" t="n">
        <f aca="false">C32+B33</f>
        <v>29810685913103</v>
      </c>
      <c r="D33" s="4" t="n">
        <f aca="false">$B$4*(1+$B$5)^8</f>
        <v>12604661048.8303</v>
      </c>
      <c r="E33" s="4" t="n">
        <f aca="false">CEILING(D33/$B$8,1)</f>
        <v>126047</v>
      </c>
      <c r="F33" s="18" t="n">
        <f aca="false">E33*$B$9/3600</f>
        <v>70.0261111111111</v>
      </c>
      <c r="G33" s="18" t="n">
        <f aca="false">C33*$B$7/1024/1024/1024</f>
        <v>14159316.0253787</v>
      </c>
      <c r="H33" s="3" t="str">
        <f aca="false">IF(F33&gt;8,"CRITICAL",IF(F33&gt;4,"WARNING","OK"))</f>
        <v>CRITICAL</v>
      </c>
    </row>
    <row r="34" customFormat="false" ht="15.75" hidden="false" customHeight="true" outlineLevel="0" collapsed="false">
      <c r="A34" s="3" t="s">
        <v>96</v>
      </c>
      <c r="B34" s="4" t="n">
        <f aca="false">$B$4*(1+$B$5)^21</f>
        <v>23371253258714.4</v>
      </c>
      <c r="C34" s="4" t="n">
        <f aca="false">C33+B34</f>
        <v>53181939171817.4</v>
      </c>
      <c r="D34" s="4" t="n">
        <f aca="false">$B$4*(1+$B$5)^9</f>
        <v>22486786125.0012</v>
      </c>
      <c r="E34" s="4" t="n">
        <f aca="false">CEILING(D34/$B$8,1)</f>
        <v>224868</v>
      </c>
      <c r="F34" s="18" t="n">
        <f aca="false">E34*$B$9/3600</f>
        <v>124.926666666667</v>
      </c>
      <c r="G34" s="18" t="n">
        <f aca="false">C34*$B$7/1024/1024/1024</f>
        <v>25260065.6613958</v>
      </c>
      <c r="H34" s="3" t="str">
        <f aca="false">IF(F34&gt;8,"CRITICAL",IF(F34&gt;4,"WARNING","OK"))</f>
        <v>CRITICAL</v>
      </c>
    </row>
    <row r="35" customFormat="false" ht="15.75" hidden="false" customHeight="true" outlineLevel="0" collapsed="false">
      <c r="A35" s="3" t="s">
        <v>97</v>
      </c>
      <c r="B35" s="4" t="n">
        <f aca="false">$B$4*(1+$B$5)^22</f>
        <v>41694447114919.9</v>
      </c>
      <c r="C35" s="4" t="n">
        <f aca="false">C34+B35</f>
        <v>94876386286737.3</v>
      </c>
      <c r="D35" s="4" t="n">
        <f aca="false">$B$4*(1+$B$5)^10</f>
        <v>40116552779.376</v>
      </c>
      <c r="E35" s="4" t="n">
        <f aca="false">CEILING(D35/$B$8,1)</f>
        <v>401166</v>
      </c>
      <c r="F35" s="18" t="n">
        <f aca="false">E35*$B$9/3600</f>
        <v>222.87</v>
      </c>
      <c r="G35" s="18" t="n">
        <f aca="false">C35*$B$7/1024/1024/1024</f>
        <v>45063865.3768562</v>
      </c>
      <c r="H35" s="3" t="str">
        <f aca="false">IF(F35&gt;8,"CRITICAL",IF(F35&gt;4,"WARNING","OK"))</f>
        <v>CRITICAL</v>
      </c>
    </row>
    <row r="36" customFormat="false" ht="15.75" hidden="false" customHeight="true" outlineLevel="0" collapsed="false">
      <c r="A36" s="3" t="s">
        <v>98</v>
      </c>
      <c r="B36" s="4" t="n">
        <f aca="false">$B$4*(1+$B$5)^23</f>
        <v>74383127895405.1</v>
      </c>
      <c r="C36" s="4" t="n">
        <f aca="false">C35+B36</f>
        <v>169259514182142</v>
      </c>
      <c r="D36" s="4" t="n">
        <f aca="false">$B$4*(1+$B$5)^11</f>
        <v>71568155536.0715</v>
      </c>
      <c r="E36" s="4" t="n">
        <f aca="false">CEILING(D36/$B$8,1)</f>
        <v>715682</v>
      </c>
      <c r="F36" s="18" t="n">
        <f aca="false">E36*$B$9/3600</f>
        <v>397.601111111111</v>
      </c>
      <c r="G36" s="18" t="n">
        <f aca="false">C36*$B$7/1024/1024/1024</f>
        <v>80393955.3284017</v>
      </c>
      <c r="H36" s="3" t="str">
        <f aca="false">IF(F36&gt;8,"CRITICAL",IF(F36&gt;4,"WARNING","OK"))</f>
        <v>CRITICAL</v>
      </c>
    </row>
    <row r="37" customFormat="false" ht="15.75" hidden="false" customHeight="true" outlineLevel="0" collapsed="false">
      <c r="A37" s="3" t="s">
        <v>99</v>
      </c>
      <c r="B37" s="4" t="n">
        <f aca="false">$B$4*(1+$B$5)^24</f>
        <v>132699918055139</v>
      </c>
      <c r="C37" s="4" t="n">
        <f aca="false">C36+B37</f>
        <v>301959432237281</v>
      </c>
      <c r="D37" s="4" t="n">
        <f aca="false">$B$4*(1+$B$5)^12</f>
        <v>127677991551.371</v>
      </c>
      <c r="E37" s="4" t="n">
        <f aca="false">CEILING(D37/$B$8,1)</f>
        <v>1276780</v>
      </c>
      <c r="F37" s="18" t="n">
        <f aca="false">E37*$B$9/3600</f>
        <v>709.322222222222</v>
      </c>
      <c r="G37" s="18" t="n">
        <f aca="false">C37*$B$7/1024/1024/1024</f>
        <v>143423034.288933</v>
      </c>
      <c r="H37" s="3" t="str">
        <f aca="false">IF(F37&gt;8,"CRITICAL",IF(F37&gt;4,"WARNING","OK"))</f>
        <v>CRITICAL</v>
      </c>
    </row>
    <row r="38" customFormat="false" ht="15.75" hidden="false" customHeight="true" outlineLevel="0" collapsed="false">
      <c r="A38" s="3" t="s">
        <v>100</v>
      </c>
      <c r="B38" s="4" t="n">
        <f aca="false">$B$4*(1+$B$5)^25</f>
        <v>236737399328005</v>
      </c>
      <c r="C38" s="4" t="n">
        <f aca="false">C37+B38</f>
        <v>538696831565286</v>
      </c>
      <c r="D38" s="4" t="n">
        <f aca="false">$B$4*(1+$B$5)^13</f>
        <v>227778254231.741</v>
      </c>
      <c r="E38" s="4" t="n">
        <f aca="false">CEILING(D38/$B$8,1)</f>
        <v>2277783</v>
      </c>
      <c r="F38" s="18" t="n">
        <f aca="false">E38*$B$9/3600</f>
        <v>1265.435</v>
      </c>
      <c r="G38" s="18" t="n">
        <f aca="false">C38*$B$7/1024/1024/1024</f>
        <v>255867265.256397</v>
      </c>
      <c r="H38" s="3" t="str">
        <f aca="false">IF(F38&gt;8,"CRITICAL",IF(F38&gt;4,"WARNING","OK"))</f>
        <v>CRITICAL</v>
      </c>
    </row>
    <row r="40" customFormat="false" ht="15.75" hidden="false" customHeight="true" outlineLevel="0" collapsed="false">
      <c r="A40" s="8" t="s">
        <v>101</v>
      </c>
      <c r="B40" s="19" t="s">
        <v>102</v>
      </c>
    </row>
    <row r="41" customFormat="false" ht="15.75" hidden="false" customHeight="true" outlineLevel="0" collapsed="false">
      <c r="B41" s="20" t="s">
        <v>103</v>
      </c>
    </row>
    <row r="42" customFormat="false" ht="15.75" hidden="false" customHeight="true" outlineLevel="0" collapsed="false">
      <c r="B42" s="21" t="s">
        <v>104</v>
      </c>
    </row>
    <row r="44" customFormat="false" ht="15.75" hidden="false" customHeight="true" outlineLevel="0" collapsed="false">
      <c r="A44" s="15" t="s">
        <v>105</v>
      </c>
    </row>
    <row r="45" customFormat="false" ht="15.75" hidden="false" customHeight="true" outlineLevel="0" collapsed="false">
      <c r="A45" s="15" t="s">
        <v>106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4"/>
  </cols>
  <sheetData>
    <row r="1" customFormat="false" ht="18" hidden="false" customHeight="true" outlineLevel="0" collapsed="false">
      <c r="A1" s="1" t="s">
        <v>107</v>
      </c>
      <c r="B1" s="1"/>
      <c r="C1" s="1"/>
      <c r="D1" s="1"/>
      <c r="E1" s="1"/>
      <c r="F1" s="1"/>
    </row>
    <row r="3" customFormat="false" ht="15.75" hidden="false" customHeight="true" outlineLevel="0" collapsed="false">
      <c r="A3" s="7" t="s">
        <v>108</v>
      </c>
    </row>
    <row r="4" customFormat="false" ht="15.75" hidden="false" customHeight="true" outlineLevel="0" collapsed="false">
      <c r="A4" s="8" t="s">
        <v>109</v>
      </c>
      <c r="B4" s="22"/>
    </row>
    <row r="5" customFormat="false" ht="15.75" hidden="false" customHeight="true" outlineLevel="0" collapsed="false">
      <c r="A5" s="8" t="s">
        <v>110</v>
      </c>
      <c r="B5" s="22"/>
    </row>
    <row r="6" customFormat="false" ht="15.75" hidden="false" customHeight="true" outlineLevel="0" collapsed="false">
      <c r="A6" s="8" t="s">
        <v>111</v>
      </c>
      <c r="B6" s="22"/>
    </row>
    <row r="7" customFormat="false" ht="15.75" hidden="false" customHeight="true" outlineLevel="0" collapsed="false">
      <c r="A7" s="8" t="s">
        <v>112</v>
      </c>
      <c r="B7" s="22"/>
    </row>
    <row r="8" customFormat="false" ht="15.75" hidden="false" customHeight="true" outlineLevel="0" collapsed="false">
      <c r="A8" s="8" t="s">
        <v>113</v>
      </c>
      <c r="B8" s="22"/>
    </row>
    <row r="9" customFormat="false" ht="15.75" hidden="false" customHeight="true" outlineLevel="0" collapsed="false">
      <c r="A9" s="8" t="s">
        <v>114</v>
      </c>
      <c r="B9" s="22"/>
    </row>
    <row r="10" customFormat="false" ht="15.75" hidden="false" customHeight="true" outlineLevel="0" collapsed="false">
      <c r="A10" s="8" t="s">
        <v>115</v>
      </c>
      <c r="B10" s="22"/>
    </row>
    <row r="11" customFormat="false" ht="15.75" hidden="false" customHeight="true" outlineLevel="0" collapsed="false">
      <c r="A11" s="8" t="s">
        <v>116</v>
      </c>
      <c r="B11" s="22"/>
    </row>
    <row r="12" customFormat="false" ht="15.75" hidden="false" customHeight="true" outlineLevel="0" collapsed="false">
      <c r="A12" s="8" t="s">
        <v>117</v>
      </c>
      <c r="B12" s="22"/>
    </row>
    <row r="13" customFormat="false" ht="15.75" hidden="false" customHeight="true" outlineLevel="0" collapsed="false">
      <c r="A13" s="8" t="s">
        <v>118</v>
      </c>
      <c r="B13" s="22"/>
    </row>
    <row r="15" customFormat="false" ht="15.75" hidden="false" customHeight="true" outlineLevel="0" collapsed="false">
      <c r="A15" s="15" t="s">
        <v>119</v>
      </c>
    </row>
    <row r="16" customFormat="false" ht="15.75" hidden="false" customHeight="true" outlineLevel="0" collapsed="false">
      <c r="A16" s="15" t="s">
        <v>120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2026-02-26T14:56:41Z</dcterms:created>
  <dc:creator>Apache POI</dc:creator>
  <dc:description/>
  <dc:language>en-US</dc:language>
  <cp:lastModifiedBy/>
  <dcterms:modified xsi:type="dcterms:W3CDTF">2026-02-26T18:00:07Z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