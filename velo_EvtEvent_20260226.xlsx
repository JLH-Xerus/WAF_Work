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justinhunter/VSCodeProjects/WAF_Work/"/>
    </mc:Choice>
  </mc:AlternateContent>
  <xr:revisionPtr revIDLastSave="0" documentId="13_ncr:1_{D103131C-2A08-544F-B3B4-EE7335CCC697}" xr6:coauthVersionLast="47" xr6:coauthVersionMax="47" xr10:uidLastSave="{00000000-0000-0000-0000-000000000000}"/>
  <bookViews>
    <workbookView xWindow="0" yWindow="660" windowWidth="34560" windowHeight="21680" tabRatio="500" activeTab="3" xr2:uid="{00000000-000D-0000-FFFF-FFFF00000000}"/>
  </bookViews>
  <sheets>
    <sheet name="Base Data" sheetId="1" r:id="rId1"/>
    <sheet name="Monthly Summary" sheetId="2" r:id="rId2"/>
    <sheet name="Daily Velocity" sheetId="3" r:id="rId3"/>
    <sheet name="Forward Projections" sheetId="4" r:id="rId4"/>
    <sheet name="IOPS &amp; Capacit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69" i="3" l="1"/>
  <c r="D369" i="3"/>
  <c r="E368" i="3"/>
  <c r="D368" i="3"/>
  <c r="E367" i="3"/>
  <c r="D367" i="3"/>
  <c r="E366" i="3"/>
  <c r="D366" i="3"/>
  <c r="E365" i="3"/>
  <c r="D365" i="3"/>
  <c r="E364" i="3"/>
  <c r="D364" i="3"/>
  <c r="E363" i="3"/>
  <c r="D363" i="3"/>
  <c r="E362" i="3"/>
  <c r="D362" i="3"/>
  <c r="E361" i="3"/>
  <c r="D361" i="3"/>
  <c r="E360" i="3"/>
  <c r="D360" i="3"/>
  <c r="E359" i="3"/>
  <c r="D359" i="3"/>
  <c r="E358" i="3"/>
  <c r="D358" i="3"/>
  <c r="E357" i="3"/>
  <c r="D357" i="3"/>
  <c r="E356" i="3"/>
  <c r="D356" i="3"/>
  <c r="E355" i="3"/>
  <c r="D355" i="3"/>
  <c r="E354" i="3"/>
  <c r="D354" i="3"/>
  <c r="E353" i="3"/>
  <c r="D353" i="3"/>
  <c r="E352" i="3"/>
  <c r="D352" i="3"/>
  <c r="E351" i="3"/>
  <c r="D351" i="3"/>
  <c r="E350" i="3"/>
  <c r="D350" i="3"/>
  <c r="E349" i="3"/>
  <c r="D349" i="3"/>
  <c r="E348" i="3"/>
  <c r="D348" i="3"/>
  <c r="E347" i="3"/>
  <c r="D347" i="3"/>
  <c r="E346" i="3"/>
  <c r="D346" i="3"/>
  <c r="E345" i="3"/>
  <c r="D345" i="3"/>
  <c r="E344" i="3"/>
  <c r="D344" i="3"/>
  <c r="E343" i="3"/>
  <c r="D343" i="3"/>
  <c r="E342" i="3"/>
  <c r="D342" i="3"/>
  <c r="E341" i="3"/>
  <c r="D341" i="3"/>
  <c r="E340" i="3"/>
  <c r="D340" i="3"/>
  <c r="E339" i="3"/>
  <c r="D339" i="3"/>
  <c r="E338" i="3"/>
  <c r="D338" i="3"/>
  <c r="E337" i="3"/>
  <c r="D337" i="3"/>
  <c r="E336" i="3"/>
  <c r="D336" i="3"/>
  <c r="E335" i="3"/>
  <c r="D335" i="3"/>
  <c r="E334" i="3"/>
  <c r="D334" i="3"/>
  <c r="E333" i="3"/>
  <c r="D333" i="3"/>
  <c r="E332" i="3"/>
  <c r="D332" i="3"/>
  <c r="E331" i="3"/>
  <c r="D331" i="3"/>
  <c r="E330" i="3"/>
  <c r="D330" i="3"/>
  <c r="E329" i="3"/>
  <c r="D329" i="3"/>
  <c r="E328" i="3"/>
  <c r="D328" i="3"/>
  <c r="E327" i="3"/>
  <c r="D327" i="3"/>
  <c r="E326" i="3"/>
  <c r="D326" i="3"/>
  <c r="E325" i="3"/>
  <c r="D325" i="3"/>
  <c r="E324" i="3"/>
  <c r="D324" i="3"/>
  <c r="E323" i="3"/>
  <c r="D323" i="3"/>
  <c r="E322" i="3"/>
  <c r="D322" i="3"/>
  <c r="E321" i="3"/>
  <c r="D321" i="3"/>
  <c r="E320" i="3"/>
  <c r="D320" i="3"/>
  <c r="E319" i="3"/>
  <c r="D319" i="3"/>
  <c r="E318" i="3"/>
  <c r="D318" i="3"/>
  <c r="E317" i="3"/>
  <c r="D317" i="3"/>
  <c r="E316" i="3"/>
  <c r="D316" i="3"/>
  <c r="E315" i="3"/>
  <c r="D315" i="3"/>
  <c r="E314" i="3"/>
  <c r="D314" i="3"/>
  <c r="E313" i="3"/>
  <c r="D313" i="3"/>
  <c r="E312" i="3"/>
  <c r="D312" i="3"/>
  <c r="E311" i="3"/>
  <c r="D311" i="3"/>
  <c r="E310" i="3"/>
  <c r="D310" i="3"/>
  <c r="E309" i="3"/>
  <c r="D309" i="3"/>
  <c r="E308" i="3"/>
  <c r="D308" i="3"/>
  <c r="E307" i="3"/>
  <c r="D307" i="3"/>
  <c r="E306" i="3"/>
  <c r="D306" i="3"/>
  <c r="E305" i="3"/>
  <c r="D305" i="3"/>
  <c r="E304" i="3"/>
  <c r="D304" i="3"/>
  <c r="E303" i="3"/>
  <c r="D303" i="3"/>
  <c r="E302" i="3"/>
  <c r="D302" i="3"/>
  <c r="E301" i="3"/>
  <c r="D301" i="3"/>
  <c r="E300" i="3"/>
  <c r="D300" i="3"/>
  <c r="E299" i="3"/>
  <c r="D299" i="3"/>
  <c r="E298" i="3"/>
  <c r="D298" i="3"/>
  <c r="E297" i="3"/>
  <c r="D297" i="3"/>
  <c r="E296" i="3"/>
  <c r="D296" i="3"/>
  <c r="E295" i="3"/>
  <c r="D295" i="3"/>
  <c r="E294" i="3"/>
  <c r="D294" i="3"/>
  <c r="E293" i="3"/>
  <c r="D293" i="3"/>
  <c r="E292" i="3"/>
  <c r="D292" i="3"/>
  <c r="E291" i="3"/>
  <c r="D291" i="3"/>
  <c r="E290" i="3"/>
  <c r="D290" i="3"/>
  <c r="E289" i="3"/>
  <c r="D289" i="3"/>
  <c r="E288" i="3"/>
  <c r="D288" i="3"/>
  <c r="E287" i="3"/>
  <c r="D287" i="3"/>
  <c r="E286" i="3"/>
  <c r="D286" i="3"/>
  <c r="E285" i="3"/>
  <c r="D285" i="3"/>
  <c r="E284" i="3"/>
  <c r="D284" i="3"/>
  <c r="E283" i="3"/>
  <c r="D283" i="3"/>
  <c r="E282" i="3"/>
  <c r="D282" i="3"/>
  <c r="E281" i="3"/>
  <c r="D281" i="3"/>
  <c r="E280" i="3"/>
  <c r="D280" i="3"/>
  <c r="E279" i="3"/>
  <c r="D279" i="3"/>
  <c r="E278" i="3"/>
  <c r="D278" i="3"/>
  <c r="E277" i="3"/>
  <c r="D277" i="3"/>
  <c r="E276" i="3"/>
  <c r="D276" i="3"/>
  <c r="E275" i="3"/>
  <c r="D275" i="3"/>
  <c r="E274" i="3"/>
  <c r="D274" i="3"/>
  <c r="E273" i="3"/>
  <c r="D273" i="3"/>
  <c r="E272" i="3"/>
  <c r="D272" i="3"/>
  <c r="E271" i="3"/>
  <c r="D271" i="3"/>
  <c r="E270" i="3"/>
  <c r="D270" i="3"/>
  <c r="E269" i="3"/>
  <c r="D269" i="3"/>
  <c r="E268" i="3"/>
  <c r="D268" i="3"/>
  <c r="E267" i="3"/>
  <c r="D267" i="3"/>
  <c r="E266" i="3"/>
  <c r="D266" i="3"/>
  <c r="E265" i="3"/>
  <c r="D265" i="3"/>
  <c r="E264" i="3"/>
  <c r="D264" i="3"/>
  <c r="E263" i="3"/>
  <c r="D263" i="3"/>
  <c r="E262" i="3"/>
  <c r="D262" i="3"/>
  <c r="E261" i="3"/>
  <c r="D261" i="3"/>
  <c r="E260" i="3"/>
  <c r="D260" i="3"/>
  <c r="E259" i="3"/>
  <c r="D259" i="3"/>
  <c r="E258" i="3"/>
  <c r="D258" i="3"/>
  <c r="E257" i="3"/>
  <c r="D257" i="3"/>
  <c r="E256" i="3"/>
  <c r="D256" i="3"/>
  <c r="E255" i="3"/>
  <c r="D255" i="3"/>
  <c r="E254" i="3"/>
  <c r="D254" i="3"/>
  <c r="E253" i="3"/>
  <c r="D253" i="3"/>
  <c r="E252" i="3"/>
  <c r="D252" i="3"/>
  <c r="E251" i="3"/>
  <c r="D251" i="3"/>
  <c r="E250" i="3"/>
  <c r="D250" i="3"/>
  <c r="E249" i="3"/>
  <c r="D249" i="3"/>
  <c r="E248" i="3"/>
  <c r="D248" i="3"/>
  <c r="E247" i="3"/>
  <c r="D247" i="3"/>
  <c r="E246" i="3"/>
  <c r="D246" i="3"/>
  <c r="E245" i="3"/>
  <c r="D245" i="3"/>
  <c r="E244" i="3"/>
  <c r="D244" i="3"/>
  <c r="E243" i="3"/>
  <c r="D243" i="3"/>
  <c r="E242" i="3"/>
  <c r="D242" i="3"/>
  <c r="E241" i="3"/>
  <c r="D241" i="3"/>
  <c r="E240" i="3"/>
  <c r="D240" i="3"/>
  <c r="E239" i="3"/>
  <c r="D239" i="3"/>
  <c r="E238" i="3"/>
  <c r="D238" i="3"/>
  <c r="E237" i="3"/>
  <c r="D237" i="3"/>
  <c r="E236" i="3"/>
  <c r="D236" i="3"/>
  <c r="E235" i="3"/>
  <c r="D235" i="3"/>
  <c r="E234" i="3"/>
  <c r="D234" i="3"/>
  <c r="E233" i="3"/>
  <c r="D233" i="3"/>
  <c r="E232" i="3"/>
  <c r="D232" i="3"/>
  <c r="E231" i="3"/>
  <c r="D231" i="3"/>
  <c r="E230" i="3"/>
  <c r="D230" i="3"/>
  <c r="E229" i="3"/>
  <c r="D229" i="3"/>
  <c r="E228" i="3"/>
  <c r="D228" i="3"/>
  <c r="E227" i="3"/>
  <c r="D227" i="3"/>
  <c r="E226" i="3"/>
  <c r="D226" i="3"/>
  <c r="E225" i="3"/>
  <c r="D225" i="3"/>
  <c r="E224" i="3"/>
  <c r="D224" i="3"/>
  <c r="E223" i="3"/>
  <c r="D223" i="3"/>
  <c r="E222" i="3"/>
  <c r="D222" i="3"/>
  <c r="E221" i="3"/>
  <c r="D221" i="3"/>
  <c r="E220" i="3"/>
  <c r="D220" i="3"/>
  <c r="E219" i="3"/>
  <c r="D219" i="3"/>
  <c r="E218" i="3"/>
  <c r="D218" i="3"/>
  <c r="E217" i="3"/>
  <c r="D217" i="3"/>
  <c r="E216" i="3"/>
  <c r="D216" i="3"/>
  <c r="E215" i="3"/>
  <c r="D215" i="3"/>
  <c r="E214" i="3"/>
  <c r="D214" i="3"/>
  <c r="E213" i="3"/>
  <c r="D213" i="3"/>
  <c r="E212" i="3"/>
  <c r="D212" i="3"/>
  <c r="E211" i="3"/>
  <c r="D211" i="3"/>
  <c r="E210" i="3"/>
  <c r="D210" i="3"/>
  <c r="E209" i="3"/>
  <c r="D209" i="3"/>
  <c r="E208" i="3"/>
  <c r="D208" i="3"/>
  <c r="E207" i="3"/>
  <c r="D207" i="3"/>
  <c r="E206" i="3"/>
  <c r="D206" i="3"/>
  <c r="E205" i="3"/>
  <c r="D205" i="3"/>
  <c r="E204" i="3"/>
  <c r="D204" i="3"/>
  <c r="E203" i="3"/>
  <c r="D203" i="3"/>
  <c r="E202" i="3"/>
  <c r="D202" i="3"/>
  <c r="E201" i="3"/>
  <c r="D201" i="3"/>
  <c r="E200" i="3"/>
  <c r="D200" i="3"/>
  <c r="E199" i="3"/>
  <c r="D199" i="3"/>
  <c r="E198" i="3"/>
  <c r="D198" i="3"/>
  <c r="E197" i="3"/>
  <c r="D197" i="3"/>
  <c r="E196" i="3"/>
  <c r="D196" i="3"/>
  <c r="E195" i="3"/>
  <c r="D195" i="3"/>
  <c r="E194" i="3"/>
  <c r="D194" i="3"/>
  <c r="E193" i="3"/>
  <c r="D193" i="3"/>
  <c r="E192" i="3"/>
  <c r="D192" i="3"/>
  <c r="E191" i="3"/>
  <c r="D191" i="3"/>
  <c r="E190" i="3"/>
  <c r="D190" i="3"/>
  <c r="E189" i="3"/>
  <c r="D189" i="3"/>
  <c r="E188" i="3"/>
  <c r="D188" i="3"/>
  <c r="E187" i="3"/>
  <c r="D187" i="3"/>
  <c r="E186" i="3"/>
  <c r="D186" i="3"/>
  <c r="E185" i="3"/>
  <c r="D185" i="3"/>
  <c r="E184" i="3"/>
  <c r="D184" i="3"/>
  <c r="E183" i="3"/>
  <c r="D183" i="3"/>
  <c r="E182" i="3"/>
  <c r="D182" i="3"/>
  <c r="E181" i="3"/>
  <c r="D181" i="3"/>
  <c r="E180" i="3"/>
  <c r="D180" i="3"/>
  <c r="E179" i="3"/>
  <c r="D179" i="3"/>
  <c r="E178" i="3"/>
  <c r="D178" i="3"/>
  <c r="E177" i="3"/>
  <c r="D177" i="3"/>
  <c r="E176" i="3"/>
  <c r="D176" i="3"/>
  <c r="E175" i="3"/>
  <c r="D175" i="3"/>
  <c r="E174" i="3"/>
  <c r="D174" i="3"/>
  <c r="E173" i="3"/>
  <c r="D173" i="3"/>
  <c r="E172" i="3"/>
  <c r="D172" i="3"/>
  <c r="E171" i="3"/>
  <c r="D171" i="3"/>
  <c r="E170" i="3"/>
  <c r="D170" i="3"/>
  <c r="E169" i="3"/>
  <c r="D169" i="3"/>
  <c r="E168" i="3"/>
  <c r="D168" i="3"/>
  <c r="E167" i="3"/>
  <c r="D167" i="3"/>
  <c r="E166" i="3"/>
  <c r="D166" i="3"/>
  <c r="E165" i="3"/>
  <c r="D165" i="3"/>
  <c r="E164" i="3"/>
  <c r="D164" i="3"/>
  <c r="E163" i="3"/>
  <c r="D163" i="3"/>
  <c r="E162" i="3"/>
  <c r="D162" i="3"/>
  <c r="E161" i="3"/>
  <c r="D161" i="3"/>
  <c r="E160" i="3"/>
  <c r="D160" i="3"/>
  <c r="E159" i="3"/>
  <c r="D159" i="3"/>
  <c r="E158" i="3"/>
  <c r="D158" i="3"/>
  <c r="E157" i="3"/>
  <c r="D157" i="3"/>
  <c r="E156" i="3"/>
  <c r="D156" i="3"/>
  <c r="E155" i="3"/>
  <c r="D155" i="3"/>
  <c r="E154" i="3"/>
  <c r="D154" i="3"/>
  <c r="E153" i="3"/>
  <c r="D153" i="3"/>
  <c r="E152" i="3"/>
  <c r="D152" i="3"/>
  <c r="E151" i="3"/>
  <c r="D151" i="3"/>
  <c r="E150" i="3"/>
  <c r="D150" i="3"/>
  <c r="E149" i="3"/>
  <c r="D149" i="3"/>
  <c r="E148" i="3"/>
  <c r="D148" i="3"/>
  <c r="E147" i="3"/>
  <c r="D147" i="3"/>
  <c r="E146" i="3"/>
  <c r="D146" i="3"/>
  <c r="E145" i="3"/>
  <c r="D145" i="3"/>
  <c r="E144" i="3"/>
  <c r="D144" i="3"/>
  <c r="E143" i="3"/>
  <c r="D143" i="3"/>
  <c r="E142" i="3"/>
  <c r="D142" i="3"/>
  <c r="E141" i="3"/>
  <c r="D141" i="3"/>
  <c r="E140" i="3"/>
  <c r="D140" i="3"/>
  <c r="E139" i="3"/>
  <c r="D139" i="3"/>
  <c r="E138" i="3"/>
  <c r="D138" i="3"/>
  <c r="E137" i="3"/>
  <c r="D137" i="3"/>
  <c r="E136" i="3"/>
  <c r="D136" i="3"/>
  <c r="E135" i="3"/>
  <c r="D135" i="3"/>
  <c r="E134" i="3"/>
  <c r="D134" i="3"/>
  <c r="E133" i="3"/>
  <c r="D133" i="3"/>
  <c r="E132" i="3"/>
  <c r="D132" i="3"/>
  <c r="E131" i="3"/>
  <c r="D131" i="3"/>
  <c r="E130" i="3"/>
  <c r="D130" i="3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I14" i="3"/>
  <c r="I15" i="3" s="1"/>
  <c r="D14" i="3"/>
  <c r="I13" i="3"/>
  <c r="D13" i="3"/>
  <c r="D12" i="3"/>
  <c r="I11" i="3"/>
  <c r="J11" i="3" s="1"/>
  <c r="D11" i="3"/>
  <c r="I10" i="3"/>
  <c r="J10" i="3" s="1"/>
  <c r="D10" i="3"/>
  <c r="I9" i="3"/>
  <c r="J9" i="3" s="1"/>
  <c r="I8" i="3"/>
  <c r="J8" i="3" s="1"/>
  <c r="I7" i="3"/>
  <c r="J7" i="3" s="1"/>
  <c r="I6" i="3"/>
  <c r="J6" i="3" s="1"/>
  <c r="I5" i="3"/>
  <c r="J5" i="3" s="1"/>
  <c r="B22" i="2"/>
  <c r="B19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E7" i="2"/>
  <c r="D7" i="2"/>
  <c r="E6" i="2"/>
  <c r="D6" i="2"/>
  <c r="F5" i="2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B23" i="2" s="1"/>
  <c r="E5" i="2"/>
  <c r="B21" i="2" s="1"/>
  <c r="B5" i="4" s="1"/>
  <c r="D5" i="2"/>
  <c r="F4" i="2"/>
  <c r="D4" i="2"/>
  <c r="B20" i="2" s="1"/>
  <c r="D34" i="4" l="1"/>
  <c r="E34" i="4" s="1"/>
  <c r="F34" i="4" s="1"/>
  <c r="H34" i="4" s="1"/>
  <c r="B32" i="4"/>
  <c r="D18" i="4"/>
  <c r="E18" i="4" s="1"/>
  <c r="F18" i="4" s="1"/>
  <c r="H18" i="4" s="1"/>
  <c r="B16" i="4"/>
  <c r="D27" i="4"/>
  <c r="E27" i="4" s="1"/>
  <c r="F27" i="4" s="1"/>
  <c r="H27" i="4" s="1"/>
  <c r="B25" i="4"/>
  <c r="D36" i="4"/>
  <c r="E36" i="4" s="1"/>
  <c r="F36" i="4" s="1"/>
  <c r="H36" i="4" s="1"/>
  <c r="B34" i="4"/>
  <c r="D20" i="4"/>
  <c r="E20" i="4" s="1"/>
  <c r="F20" i="4" s="1"/>
  <c r="H20" i="4" s="1"/>
  <c r="B18" i="4"/>
  <c r="D29" i="4"/>
  <c r="E29" i="4" s="1"/>
  <c r="F29" i="4" s="1"/>
  <c r="H29" i="4" s="1"/>
  <c r="B27" i="4"/>
  <c r="D38" i="4"/>
  <c r="E38" i="4" s="1"/>
  <c r="F38" i="4" s="1"/>
  <c r="H38" i="4" s="1"/>
  <c r="B36" i="4"/>
  <c r="D22" i="4"/>
  <c r="E22" i="4" s="1"/>
  <c r="F22" i="4" s="1"/>
  <c r="H22" i="4" s="1"/>
  <c r="B20" i="4"/>
  <c r="D31" i="4"/>
  <c r="E31" i="4" s="1"/>
  <c r="F31" i="4" s="1"/>
  <c r="H31" i="4" s="1"/>
  <c r="B29" i="4"/>
  <c r="D15" i="4"/>
  <c r="E15" i="4" s="1"/>
  <c r="F15" i="4" s="1"/>
  <c r="H15" i="4" s="1"/>
  <c r="B38" i="4"/>
  <c r="D24" i="4"/>
  <c r="E24" i="4" s="1"/>
  <c r="F24" i="4" s="1"/>
  <c r="H24" i="4" s="1"/>
  <c r="B22" i="4"/>
  <c r="D33" i="4"/>
  <c r="E33" i="4" s="1"/>
  <c r="F33" i="4" s="1"/>
  <c r="H33" i="4" s="1"/>
  <c r="B31" i="4"/>
  <c r="D17" i="4"/>
  <c r="E17" i="4" s="1"/>
  <c r="F17" i="4" s="1"/>
  <c r="H17" i="4" s="1"/>
  <c r="B15" i="4"/>
  <c r="C15" i="4" s="1"/>
  <c r="D26" i="4"/>
  <c r="E26" i="4" s="1"/>
  <c r="F26" i="4" s="1"/>
  <c r="H26" i="4" s="1"/>
  <c r="B24" i="4"/>
  <c r="D35" i="4"/>
  <c r="E35" i="4" s="1"/>
  <c r="F35" i="4" s="1"/>
  <c r="H35" i="4" s="1"/>
  <c r="B33" i="4"/>
  <c r="D19" i="4"/>
  <c r="E19" i="4" s="1"/>
  <c r="F19" i="4" s="1"/>
  <c r="H19" i="4" s="1"/>
  <c r="B17" i="4"/>
  <c r="D28" i="4"/>
  <c r="E28" i="4" s="1"/>
  <c r="F28" i="4" s="1"/>
  <c r="H28" i="4" s="1"/>
  <c r="B26" i="4"/>
  <c r="D37" i="4"/>
  <c r="E37" i="4" s="1"/>
  <c r="F37" i="4" s="1"/>
  <c r="H37" i="4" s="1"/>
  <c r="B35" i="4"/>
  <c r="D21" i="4"/>
  <c r="E21" i="4" s="1"/>
  <c r="F21" i="4" s="1"/>
  <c r="H21" i="4" s="1"/>
  <c r="B19" i="4"/>
  <c r="D30" i="4"/>
  <c r="E30" i="4" s="1"/>
  <c r="F30" i="4" s="1"/>
  <c r="H30" i="4" s="1"/>
  <c r="B28" i="4"/>
  <c r="B37" i="4"/>
  <c r="D23" i="4"/>
  <c r="E23" i="4" s="1"/>
  <c r="F23" i="4" s="1"/>
  <c r="H23" i="4" s="1"/>
  <c r="B21" i="4"/>
  <c r="D32" i="4"/>
  <c r="E32" i="4" s="1"/>
  <c r="F32" i="4" s="1"/>
  <c r="H32" i="4" s="1"/>
  <c r="B30" i="4"/>
  <c r="D16" i="4"/>
  <c r="E16" i="4" s="1"/>
  <c r="F16" i="4" s="1"/>
  <c r="H16" i="4" s="1"/>
  <c r="D25" i="4"/>
  <c r="E25" i="4" s="1"/>
  <c r="F25" i="4" s="1"/>
  <c r="H25" i="4" s="1"/>
  <c r="B23" i="4"/>
  <c r="G15" i="4" l="1"/>
  <c r="C16" i="4"/>
  <c r="C17" i="4" l="1"/>
  <c r="G16" i="4"/>
  <c r="C18" i="4" l="1"/>
  <c r="G17" i="4"/>
  <c r="C19" i="4" l="1"/>
  <c r="G18" i="4"/>
  <c r="C20" i="4" l="1"/>
  <c r="G19" i="4"/>
  <c r="C21" i="4" l="1"/>
  <c r="G20" i="4"/>
  <c r="C22" i="4" l="1"/>
  <c r="G21" i="4"/>
  <c r="G22" i="4" l="1"/>
  <c r="C23" i="4"/>
  <c r="C24" i="4" l="1"/>
  <c r="G23" i="4"/>
  <c r="C25" i="4" l="1"/>
  <c r="G24" i="4"/>
  <c r="C26" i="4" l="1"/>
  <c r="G25" i="4"/>
  <c r="C27" i="4" l="1"/>
  <c r="G26" i="4"/>
  <c r="C28" i="4" l="1"/>
  <c r="G27" i="4"/>
  <c r="C29" i="4" l="1"/>
  <c r="G28" i="4"/>
  <c r="G29" i="4" l="1"/>
  <c r="C30" i="4"/>
  <c r="C31" i="4" l="1"/>
  <c r="G30" i="4"/>
  <c r="G31" i="4" l="1"/>
  <c r="C32" i="4"/>
  <c r="C33" i="4" l="1"/>
  <c r="G32" i="4"/>
  <c r="C34" i="4" l="1"/>
  <c r="G33" i="4"/>
  <c r="C35" i="4" l="1"/>
  <c r="G34" i="4"/>
  <c r="C36" i="4" l="1"/>
  <c r="G35" i="4"/>
  <c r="C37" i="4" l="1"/>
  <c r="G36" i="4"/>
  <c r="C38" i="4" l="1"/>
  <c r="G38" i="4" s="1"/>
  <c r="G37" i="4"/>
</calcChain>
</file>

<file path=xl/sharedStrings.xml><?xml version="1.0" encoding="utf-8"?>
<sst xmlns="http://schemas.openxmlformats.org/spreadsheetml/2006/main" count="873" uniqueCount="121">
  <si>
    <t>eventYr</t>
  </si>
  <si>
    <t>eventMth</t>
  </si>
  <si>
    <t>eventDay</t>
  </si>
  <si>
    <t>rowcnt</t>
  </si>
  <si>
    <t>(null)</t>
  </si>
  <si>
    <t>EvtEvent — Monthly Volume Summary</t>
  </si>
  <si>
    <t>Month</t>
  </si>
  <si>
    <t>Total Rows</t>
  </si>
  <si>
    <t>Days in Data</t>
  </si>
  <si>
    <t>Avg Daily Volume</t>
  </si>
  <si>
    <t>MoM Growth</t>
  </si>
  <si>
    <t>Cumulative Rows</t>
  </si>
  <si>
    <t>Avg Row Size Est (bytes)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</si>
  <si>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</si>
  <si>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</si>
  <si>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</si>
  <si>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</si>
  <si>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</si>
  <si>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</si>
  <si>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</si>
  <si>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</si>
  <si>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</si>
  <si>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</si>
  <si>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</si>
  <si>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</si>
  <si>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</si>
  <si>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Summary Statistics</t>
  </si>
  <si>
    <t>Grand Total Rows</t>
  </si>
  <si>
    <t>Overall Avg Daily Volume</t>
  </si>
  <si>
    <t>Avg MoM Growth (full months)</t>
  </si>
  <si>
    <t>Peak Month Volume</t>
  </si>
  <si>
    <t>Est. Table Size (GB)</t>
  </si>
  <si>
    <t>EvtEvent — Daily Velocity Analysis</t>
  </si>
  <si>
    <t>Date</t>
  </si>
  <si>
    <t>Day of Week</t>
  </si>
  <si>
    <t>Row Count</t>
  </si>
  <si>
    <t>7-Day Moving Avg</t>
  </si>
  <si>
    <t>30-Day Moving Avg</t>
  </si>
  <si>
    <t>Weekday/Weekend</t>
  </si>
  <si>
    <t>Day-of-Week Summary</t>
  </si>
  <si>
    <t>Wednesday</t>
  </si>
  <si>
    <t>Weekday</t>
  </si>
  <si>
    <t>Day</t>
  </si>
  <si>
    <t>Avg Volume</t>
  </si>
  <si>
    <t>% of Peak</t>
  </si>
  <si>
    <t>Thursday</t>
  </si>
  <si>
    <t>Monday</t>
  </si>
  <si>
    <t>Friday</t>
  </si>
  <si>
    <t>Tuesday</t>
  </si>
  <si>
    <t>Saturday</t>
  </si>
  <si>
    <t>Weekend</t>
  </si>
  <si>
    <t>Sunday</t>
  </si>
  <si>
    <t>Weekday Avg</t>
  </si>
  <si>
    <t>Weekend Avg</t>
  </si>
  <si>
    <t>Weekend/Weekday Ratio</t>
  </si>
  <si>
    <t>EvtEvent — Forward Projections &amp; Critical Mass Analysis</t>
  </si>
  <si>
    <t>Projection Assumptions</t>
  </si>
  <si>
    <t>Current Monthly Volume (Jan 2026)</t>
  </si>
  <si>
    <t>Source: Base Data extract, 2026-02-26</t>
  </si>
  <si>
    <t>Avg MoM Growth Rate (Mar 25 - Jan 26)</t>
  </si>
  <si>
    <t>Calculated from Base Data</t>
  </si>
  <si>
    <t>Current Total Rows</t>
  </si>
  <si>
    <t>Est. Avg Row Size (bytes)</t>
  </si>
  <si>
    <t>Estimate — update with actual from sys.dm_db_index_physical_stats</t>
  </si>
  <si>
    <t>Delete Block Size (rows/iteration)</t>
  </si>
  <si>
    <t>From lsp_DbDeleteOldEvents default</t>
  </si>
  <si>
    <t>Est. Time Per Block Iteration (sec)</t>
  </si>
  <si>
    <t>Estimate — update with actual measurement</t>
  </si>
  <si>
    <t>Retention Period (days)</t>
  </si>
  <si>
    <t>Current configured retention</t>
  </si>
  <si>
    <t>Monthly Forward Projection</t>
  </si>
  <si>
    <t>Projected Monthly Volume</t>
  </si>
  <si>
    <t>Cumulative Total Rows</t>
  </si>
  <si>
    <t>Est. Rows to Purge/Month</t>
  </si>
  <si>
    <t>Delete Iterations Needed</t>
  </si>
  <si>
    <t>Est. Purge Duration (hrs)</t>
  </si>
  <si>
    <t>Status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</si>
  <si>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</si>
  <si>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</si>
  <si>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</si>
  <si>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</si>
  <si>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</si>
  <si>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</si>
  <si>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</si>
  <si>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</si>
  <si>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</si>
  <si>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</si>
  <si>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</si>
  <si>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</si>
  <si>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</si>
  <si>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</si>
  <si>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</si>
  <si>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</si>
  <si>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</si>
  <si>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</si>
  <si>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</si>
  <si>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</si>
  <si>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</si>
  <si>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</si>
  <si>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</si>
  <si>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</si>
  <si>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Status Key:</t>
  </si>
  <si>
    <t>OK = Purge &lt; 4 hrs</t>
  </si>
  <si>
    <t>WARNING = Purge 4-8 hrs</t>
  </si>
  <si>
    <t>CRITICAL = Purge &gt; 8 hrs (exceeds nightly window)</t>
  </si>
  <si>
    <t>Note: Time Per Block Iteration (B9) is an estimate. Update with actual measurement from your cluster.</t>
  </si>
  <si>
    <t>IOPS capacity and storage throughput will be added when cluster specs are available.</t>
  </si>
  <si>
    <t>EvtEvent — IOPS &amp; Storage Capacity Analysis</t>
  </si>
  <si>
    <t>Cluster Specifications</t>
  </si>
  <si>
    <t>Storage Type (SSD/HDD/NVMe)</t>
  </si>
  <si>
    <t>Total Storage Capacity (TB)</t>
  </si>
  <si>
    <t>Available Storage (TB)</t>
  </si>
  <si>
    <t>Max Sequential Read IOPS</t>
  </si>
  <si>
    <t>Max Sequential Write IOPS</t>
  </si>
  <si>
    <t>Max Throughput (MB/s)</t>
  </si>
  <si>
    <t>SQL Server Max Memory (GB)</t>
  </si>
  <si>
    <t>CPU Cores</t>
  </si>
  <si>
    <t>TempDB Drive Type</t>
  </si>
  <si>
    <t>T-Log Drive Type</t>
  </si>
  <si>
    <t>Enter your cluster specifications above (yellow cells).</t>
  </si>
  <si>
    <t>These values will feed into capacity projections and IOPS-based timeline estimates.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</si>
</sst>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yyyy\-mm\-dd"/>
    <numFmt numFmtId="167" formatCode="0.0"/>
  </numFmts>
  <fonts count="9" x14ac:knownFonts="1">
    <font>
      <sz val="12"/>
      <color theme="1"/>
      <name val="Calibri"/>
      <family val="2"/>
      <charset val="1"/>
    </font>
    <font>
      <b/>
      <sz val="14"/>
      <color rgb="FF2F5496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b/>
      <sz val="11"/>
      <color rgb="FF2F5496"/>
      <name val="Arial"/>
      <family val="2"/>
    </font>
    <font>
      <b/>
      <sz val="10"/>
      <name val="Arial"/>
      <family val="2"/>
    </font>
    <font>
      <sz val="10"/>
      <color rgb="FF008000"/>
      <name val="Arial"/>
      <family val="2"/>
    </font>
    <font>
      <i/>
      <sz val="9"/>
      <color rgb="FF80808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EC"/>
      </patternFill>
    </fill>
    <fill>
      <patternFill patternType="solid">
        <fgColor rgb="FFFCE4EC"/>
        <b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5" fillId="0" borderId="0" xfId="0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3" fontId="3" fillId="0" borderId="1" xfId="0" applyNumberFormat="1" applyFont="1" applyBorder="1"/>
    <xf numFmtId="164" fontId="3" fillId="0" borderId="1" xfId="0" applyNumberFormat="1" applyFont="1" applyBorder="1"/>
    <xf numFmtId="3" fontId="4" fillId="0" borderId="1" xfId="0" applyNumberFormat="1" applyFont="1" applyBorder="1"/>
    <xf numFmtId="0" fontId="5" fillId="0" borderId="0" xfId="0" applyFont="1"/>
    <xf numFmtId="0" fontId="6" fillId="0" borderId="0" xfId="0" applyFont="1"/>
    <xf numFmtId="165" fontId="7" fillId="0" borderId="1" xfId="0" applyNumberFormat="1" applyFont="1" applyBorder="1"/>
    <xf numFmtId="166" fontId="2" fillId="2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166" fontId="3" fillId="0" borderId="1" xfId="0" applyNumberFormat="1" applyFont="1" applyBorder="1"/>
    <xf numFmtId="3" fontId="4" fillId="3" borderId="1" xfId="0" applyNumberFormat="1" applyFont="1" applyFill="1" applyBorder="1"/>
    <xf numFmtId="0" fontId="8" fillId="0" borderId="0" xfId="0" applyFont="1"/>
    <xf numFmtId="164" fontId="4" fillId="3" borderId="1" xfId="0" applyNumberFormat="1" applyFont="1" applyFill="1" applyBorder="1"/>
    <xf numFmtId="167" fontId="4" fillId="3" borderId="1" xfId="0" applyNumberFormat="1" applyFont="1" applyFill="1" applyBorder="1"/>
    <xf numFmtId="165" fontId="3" fillId="0" borderId="1" xfId="0" applyNumberFormat="1" applyFont="1" applyBorder="1"/>
    <xf numFmtId="0" fontId="3" fillId="0" borderId="0" xfId="0" applyFont="1"/>
    <xf numFmtId="0" fontId="3" fillId="4" borderId="0" xfId="0" applyFont="1" applyFill="1"/>
    <xf numFmtId="0" fontId="3" fillId="5" borderId="0" xfId="0" applyFont="1" applyFill="1"/>
    <xf numFmtId="0" fontId="4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C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Row Volume — EvtEvent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Summary'!$B$3</c:f>
              <c:strCache>
                <c:ptCount val="1"/>
                <c:pt idx="0">
                  <c:v>Total Rows</c:v>
                </c:pt>
              </c:strCache>
            </c:strRef>
          </c:tx>
          <c:spPr>
            <a:solidFill>
              <a:srgbClr val="2F549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F9F9F9"/>
                      </a:solidFill>
                    </a:ln>
                  </c:spPr>
                </c15:leaderLines>
              </c:ext>
            </c:extLst>
          </c:dLbls>
          <c:cat>
            <c:strRef>
              <c:f>'Monthly Summary'!$A$4:$A$16</c:f>
              <c:strCache>
                <c:ptCount val="13"/>
                <c:pt idx="0">
                  <c:v>2025-02</c:v>
                </c:pt>
                <c:pt idx="1">
                  <c:v>2025-03</c:v>
                </c:pt>
                <c:pt idx="2">
                  <c:v>2025-04</c:v>
                </c:pt>
                <c:pt idx="3">
                  <c:v>2025-05</c:v>
                </c:pt>
                <c:pt idx="4">
                  <c:v>2025-06</c:v>
                </c:pt>
                <c:pt idx="5">
                  <c:v>2025-07</c:v>
                </c:pt>
                <c:pt idx="6">
                  <c:v>2025-08</c:v>
                </c:pt>
                <c:pt idx="7">
                  <c:v>2025-09</c:v>
                </c:pt>
                <c:pt idx="8">
                  <c:v>2025-10</c:v>
                </c:pt>
                <c:pt idx="9">
                  <c:v>2025-11</c:v>
                </c:pt>
                <c:pt idx="10">
                  <c:v>2025-12</c:v>
                </c:pt>
                <c:pt idx="11">
                  <c:v>2026-01</c:v>
                </c:pt>
                <c:pt idx="12">
                  <c:v>2026-02</c:v>
                </c:pt>
              </c:strCache>
            </c:strRef>
          </c:cat>
          <c:val>
            <c:numRef>
              <c:f>'Monthly Summary'!$B$4:$B$16</c:f>
              <c:numCache>
                <c:formatCode>#,##0</c:formatCode>
                <c:ptCount val="13"/>
                <c:pt idx="0">
                  <c:v>7841818</c:v>
                </c:pt>
                <c:pt idx="1">
                  <c:v>79293348</c:v>
                </c:pt>
                <c:pt idx="2">
                  <c:v>81470630</c:v>
                </c:pt>
                <c:pt idx="3">
                  <c:v>85155819</c:v>
                </c:pt>
                <c:pt idx="4">
                  <c:v>81037117</c:v>
                </c:pt>
                <c:pt idx="5">
                  <c:v>81914502</c:v>
                </c:pt>
                <c:pt idx="6">
                  <c:v>81824777</c:v>
                </c:pt>
                <c:pt idx="7">
                  <c:v>82688899</c:v>
                </c:pt>
                <c:pt idx="8">
                  <c:v>93860361</c:v>
                </c:pt>
                <c:pt idx="9">
                  <c:v>109950579</c:v>
                </c:pt>
                <c:pt idx="10">
                  <c:v>116206240</c:v>
                </c:pt>
                <c:pt idx="11">
                  <c:v>122846116</c:v>
                </c:pt>
                <c:pt idx="12">
                  <c:v>102119984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EE-EF4F-BADC-DA2C43787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968461"/>
        <c:axId val="24569041"/>
      </c:barChart>
      <c:catAx>
        <c:axId val="469684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4569041"/>
        <c:crosses val="autoZero"/>
        <c:auto val="1"/>
        <c:lblAlgn val="ctr"/>
        <c:lblOffset val="100"/>
        <c:noMultiLvlLbl val="0"/>
      </c:catAx>
      <c:valAx>
        <c:axId val="245690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Rows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696846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Cumulative Row Growth — EvtEvent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Summary'!$F$3</c:f>
              <c:strCache>
                <c:ptCount val="1"/>
                <c:pt idx="0">
                  <c:v>Cumulative Rows</c:v>
                </c:pt>
              </c:strCache>
            </c:strRef>
          </c:tx>
          <c:spPr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'Monthly Summary'!$A$4:$A$16</c:f>
              <c:strCache>
                <c:ptCount val="13"/>
                <c:pt idx="0">
                  <c:v>2025-02</c:v>
                </c:pt>
                <c:pt idx="1">
                  <c:v>2025-03</c:v>
                </c:pt>
                <c:pt idx="2">
                  <c:v>2025-04</c:v>
                </c:pt>
                <c:pt idx="3">
                  <c:v>2025-05</c:v>
                </c:pt>
                <c:pt idx="4">
                  <c:v>2025-06</c:v>
                </c:pt>
                <c:pt idx="5">
                  <c:v>2025-07</c:v>
                </c:pt>
                <c:pt idx="6">
                  <c:v>2025-08</c:v>
                </c:pt>
                <c:pt idx="7">
                  <c:v>2025-09</c:v>
                </c:pt>
                <c:pt idx="8">
                  <c:v>2025-10</c:v>
                </c:pt>
                <c:pt idx="9">
                  <c:v>2025-11</c:v>
                </c:pt>
                <c:pt idx="10">
                  <c:v>2025-12</c:v>
                </c:pt>
                <c:pt idx="11">
                  <c:v>2026-01</c:v>
                </c:pt>
                <c:pt idx="12">
                  <c:v>2026-02</c:v>
                </c:pt>
              </c:strCache>
            </c:strRef>
          </c:cat>
          <c:val>
            <c:numRef>
              <c:f>'Monthly Summary'!$F$4:$F$16</c:f>
              <c:numCache>
                <c:formatCode>#,##0</c:formatCode>
                <c:ptCount val="13"/>
                <c:pt idx="0">
                  <c:v>7841818</c:v>
                </c:pt>
                <c:pt idx="1">
                  <c:v>87135166</c:v>
                </c:pt>
                <c:pt idx="2">
                  <c:v>168605796</c:v>
                </c:pt>
                <c:pt idx="3">
                  <c:v>253761615</c:v>
                </c:pt>
                <c:pt idx="4">
                  <c:v>334798732</c:v>
                </c:pt>
                <c:pt idx="5">
                  <c:v>416713234</c:v>
                </c:pt>
                <c:pt idx="6">
                  <c:v>498538011</c:v>
                </c:pt>
                <c:pt idx="7">
                  <c:v>581226910</c:v>
                </c:pt>
                <c:pt idx="8">
                  <c:v>675087271</c:v>
                </c:pt>
                <c:pt idx="9">
                  <c:v>785037850</c:v>
                </c:pt>
                <c:pt idx="10">
                  <c:v>901244090</c:v>
                </c:pt>
                <c:pt idx="11">
                  <c:v>1024090206</c:v>
                </c:pt>
                <c:pt idx="12">
                  <c:v>1126210190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19-F24F-B4E6-897188404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13920"/>
        <c:axId val="92383066"/>
      </c:lineChart>
      <c:catAx>
        <c:axId val="9139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2383066"/>
        <c:crosses val="autoZero"/>
        <c:auto val="1"/>
        <c:lblAlgn val="ctr"/>
        <c:lblOffset val="100"/>
        <c:noMultiLvlLbl val="0"/>
      </c:catAx>
      <c:valAx>
        <c:axId val="923830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Cumulative Rows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139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Daily Row Volume with Moving Averages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Velocity'!$C$3</c:f>
              <c:strCache>
                <c:ptCount val="1"/>
                <c:pt idx="0">
                  <c:v>Row Count</c:v>
                </c:pt>
              </c:strCache>
            </c:strRef>
          </c:tx>
          <c:spPr>
            <a:ln w="10080">
              <a:solidFill>
                <a:srgbClr val="B4C7E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0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'Daily Velocity'!$A$4:$A$369</c:f>
              <c:numCache>
                <c:formatCode>yyyy\-mm\-dd</c:formatCode>
                <c:ptCount val="366"/>
                <c:pt idx="0">
                  <c:v>45714</c:v>
                </c:pt>
                <c:pt idx="1">
                  <c:v>45715</c:v>
                </c:pt>
                <c:pt idx="2">
                  <c:v>45716</c:v>
                </c:pt>
                <c:pt idx="3">
                  <c:v>45717</c:v>
                </c:pt>
                <c:pt idx="4">
                  <c:v>45718</c:v>
                </c:pt>
                <c:pt idx="5">
                  <c:v>45719</c:v>
                </c:pt>
                <c:pt idx="6">
                  <c:v>45720</c:v>
                </c:pt>
                <c:pt idx="7">
                  <c:v>45721</c:v>
                </c:pt>
                <c:pt idx="8">
                  <c:v>45722</c:v>
                </c:pt>
                <c:pt idx="9">
                  <c:v>45723</c:v>
                </c:pt>
                <c:pt idx="10">
                  <c:v>45724</c:v>
                </c:pt>
                <c:pt idx="11">
                  <c:v>45725</c:v>
                </c:pt>
                <c:pt idx="12">
                  <c:v>45726</c:v>
                </c:pt>
                <c:pt idx="13">
                  <c:v>45727</c:v>
                </c:pt>
                <c:pt idx="14">
                  <c:v>45728</c:v>
                </c:pt>
                <c:pt idx="15">
                  <c:v>45729</c:v>
                </c:pt>
                <c:pt idx="16">
                  <c:v>45730</c:v>
                </c:pt>
                <c:pt idx="17">
                  <c:v>45731</c:v>
                </c:pt>
                <c:pt idx="18">
                  <c:v>45732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45738</c:v>
                </c:pt>
                <c:pt idx="25">
                  <c:v>45739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45745</c:v>
                </c:pt>
                <c:pt idx="32">
                  <c:v>45746</c:v>
                </c:pt>
                <c:pt idx="33">
                  <c:v>45747</c:v>
                </c:pt>
                <c:pt idx="34">
                  <c:v>45748</c:v>
                </c:pt>
                <c:pt idx="35">
                  <c:v>45749</c:v>
                </c:pt>
                <c:pt idx="36">
                  <c:v>45750</c:v>
                </c:pt>
                <c:pt idx="37">
                  <c:v>45751</c:v>
                </c:pt>
                <c:pt idx="38">
                  <c:v>45752</c:v>
                </c:pt>
                <c:pt idx="39">
                  <c:v>45753</c:v>
                </c:pt>
                <c:pt idx="40">
                  <c:v>45754</c:v>
                </c:pt>
                <c:pt idx="41">
                  <c:v>45755</c:v>
                </c:pt>
                <c:pt idx="42">
                  <c:v>45756</c:v>
                </c:pt>
                <c:pt idx="43">
                  <c:v>45757</c:v>
                </c:pt>
                <c:pt idx="44">
                  <c:v>45758</c:v>
                </c:pt>
                <c:pt idx="45">
                  <c:v>45759</c:v>
                </c:pt>
                <c:pt idx="46">
                  <c:v>45760</c:v>
                </c:pt>
                <c:pt idx="47">
                  <c:v>45761</c:v>
                </c:pt>
                <c:pt idx="48">
                  <c:v>45762</c:v>
                </c:pt>
                <c:pt idx="49">
                  <c:v>45763</c:v>
                </c:pt>
                <c:pt idx="50">
                  <c:v>45764</c:v>
                </c:pt>
                <c:pt idx="51">
                  <c:v>45765</c:v>
                </c:pt>
                <c:pt idx="52">
                  <c:v>45766</c:v>
                </c:pt>
                <c:pt idx="53">
                  <c:v>45767</c:v>
                </c:pt>
                <c:pt idx="54">
                  <c:v>45768</c:v>
                </c:pt>
                <c:pt idx="55">
                  <c:v>45769</c:v>
                </c:pt>
                <c:pt idx="56">
                  <c:v>45770</c:v>
                </c:pt>
                <c:pt idx="57">
                  <c:v>45771</c:v>
                </c:pt>
                <c:pt idx="58">
                  <c:v>45772</c:v>
                </c:pt>
                <c:pt idx="59">
                  <c:v>45773</c:v>
                </c:pt>
                <c:pt idx="60">
                  <c:v>45774</c:v>
                </c:pt>
                <c:pt idx="61">
                  <c:v>45775</c:v>
                </c:pt>
                <c:pt idx="62">
                  <c:v>45776</c:v>
                </c:pt>
                <c:pt idx="63">
                  <c:v>45777</c:v>
                </c:pt>
                <c:pt idx="64">
                  <c:v>45778</c:v>
                </c:pt>
                <c:pt idx="65">
                  <c:v>45779</c:v>
                </c:pt>
                <c:pt idx="66">
                  <c:v>45780</c:v>
                </c:pt>
                <c:pt idx="67">
                  <c:v>45781</c:v>
                </c:pt>
                <c:pt idx="68">
                  <c:v>45782</c:v>
                </c:pt>
                <c:pt idx="69">
                  <c:v>45783</c:v>
                </c:pt>
                <c:pt idx="70">
                  <c:v>45784</c:v>
                </c:pt>
                <c:pt idx="71">
                  <c:v>45785</c:v>
                </c:pt>
                <c:pt idx="72">
                  <c:v>45786</c:v>
                </c:pt>
                <c:pt idx="73">
                  <c:v>45787</c:v>
                </c:pt>
                <c:pt idx="74">
                  <c:v>45788</c:v>
                </c:pt>
                <c:pt idx="75">
                  <c:v>45789</c:v>
                </c:pt>
                <c:pt idx="76">
                  <c:v>45790</c:v>
                </c:pt>
                <c:pt idx="77">
                  <c:v>45791</c:v>
                </c:pt>
                <c:pt idx="78">
                  <c:v>45792</c:v>
                </c:pt>
                <c:pt idx="79">
                  <c:v>45793</c:v>
                </c:pt>
                <c:pt idx="80">
                  <c:v>45794</c:v>
                </c:pt>
                <c:pt idx="81">
                  <c:v>45795</c:v>
                </c:pt>
                <c:pt idx="82">
                  <c:v>45796</c:v>
                </c:pt>
                <c:pt idx="83">
                  <c:v>45797</c:v>
                </c:pt>
                <c:pt idx="84">
                  <c:v>45798</c:v>
                </c:pt>
                <c:pt idx="85">
                  <c:v>45799</c:v>
                </c:pt>
                <c:pt idx="86">
                  <c:v>45800</c:v>
                </c:pt>
                <c:pt idx="87">
                  <c:v>45801</c:v>
                </c:pt>
                <c:pt idx="88">
                  <c:v>45802</c:v>
                </c:pt>
                <c:pt idx="89">
                  <c:v>45803</c:v>
                </c:pt>
                <c:pt idx="90">
                  <c:v>45804</c:v>
                </c:pt>
                <c:pt idx="91">
                  <c:v>45805</c:v>
                </c:pt>
                <c:pt idx="92">
                  <c:v>45806</c:v>
                </c:pt>
                <c:pt idx="93">
                  <c:v>45807</c:v>
                </c:pt>
                <c:pt idx="94">
                  <c:v>45808</c:v>
                </c:pt>
                <c:pt idx="95">
                  <c:v>45809</c:v>
                </c:pt>
                <c:pt idx="96">
                  <c:v>45810</c:v>
                </c:pt>
                <c:pt idx="97">
                  <c:v>45811</c:v>
                </c:pt>
                <c:pt idx="98">
                  <c:v>45812</c:v>
                </c:pt>
                <c:pt idx="99">
                  <c:v>45813</c:v>
                </c:pt>
                <c:pt idx="100">
                  <c:v>45814</c:v>
                </c:pt>
                <c:pt idx="101">
                  <c:v>45815</c:v>
                </c:pt>
                <c:pt idx="102">
                  <c:v>45816</c:v>
                </c:pt>
                <c:pt idx="103">
                  <c:v>45817</c:v>
                </c:pt>
                <c:pt idx="104">
                  <c:v>45818</c:v>
                </c:pt>
                <c:pt idx="105">
                  <c:v>45819</c:v>
                </c:pt>
                <c:pt idx="106">
                  <c:v>45820</c:v>
                </c:pt>
                <c:pt idx="107">
                  <c:v>45821</c:v>
                </c:pt>
                <c:pt idx="108">
                  <c:v>45822</c:v>
                </c:pt>
                <c:pt idx="109">
                  <c:v>45823</c:v>
                </c:pt>
                <c:pt idx="110">
                  <c:v>45824</c:v>
                </c:pt>
                <c:pt idx="111">
                  <c:v>45825</c:v>
                </c:pt>
                <c:pt idx="112">
                  <c:v>45826</c:v>
                </c:pt>
                <c:pt idx="113">
                  <c:v>45827</c:v>
                </c:pt>
                <c:pt idx="114">
                  <c:v>45828</c:v>
                </c:pt>
                <c:pt idx="115">
                  <c:v>45829</c:v>
                </c:pt>
                <c:pt idx="116">
                  <c:v>45830</c:v>
                </c:pt>
                <c:pt idx="117">
                  <c:v>45831</c:v>
                </c:pt>
                <c:pt idx="118">
                  <c:v>45832</c:v>
                </c:pt>
                <c:pt idx="119">
                  <c:v>45833</c:v>
                </c:pt>
                <c:pt idx="120">
                  <c:v>45834</c:v>
                </c:pt>
                <c:pt idx="121">
                  <c:v>45835</c:v>
                </c:pt>
                <c:pt idx="122">
                  <c:v>45836</c:v>
                </c:pt>
                <c:pt idx="123">
                  <c:v>45837</c:v>
                </c:pt>
                <c:pt idx="124">
                  <c:v>45838</c:v>
                </c:pt>
                <c:pt idx="125">
                  <c:v>45839</c:v>
                </c:pt>
                <c:pt idx="126">
                  <c:v>45840</c:v>
                </c:pt>
                <c:pt idx="127">
                  <c:v>45841</c:v>
                </c:pt>
                <c:pt idx="128">
                  <c:v>45842</c:v>
                </c:pt>
                <c:pt idx="129">
                  <c:v>45843</c:v>
                </c:pt>
                <c:pt idx="130">
                  <c:v>45844</c:v>
                </c:pt>
                <c:pt idx="131">
                  <c:v>45845</c:v>
                </c:pt>
                <c:pt idx="132">
                  <c:v>45846</c:v>
                </c:pt>
                <c:pt idx="133">
                  <c:v>45847</c:v>
                </c:pt>
                <c:pt idx="134">
                  <c:v>45848</c:v>
                </c:pt>
                <c:pt idx="135">
                  <c:v>45849</c:v>
                </c:pt>
                <c:pt idx="136">
                  <c:v>45850</c:v>
                </c:pt>
                <c:pt idx="137">
                  <c:v>45851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45857</c:v>
                </c:pt>
                <c:pt idx="144">
                  <c:v>45858</c:v>
                </c:pt>
                <c:pt idx="145">
                  <c:v>45859</c:v>
                </c:pt>
                <c:pt idx="146">
                  <c:v>45860</c:v>
                </c:pt>
                <c:pt idx="147">
                  <c:v>45861</c:v>
                </c:pt>
                <c:pt idx="148">
                  <c:v>45862</c:v>
                </c:pt>
                <c:pt idx="149">
                  <c:v>45863</c:v>
                </c:pt>
                <c:pt idx="150">
                  <c:v>45864</c:v>
                </c:pt>
                <c:pt idx="151">
                  <c:v>45865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45871</c:v>
                </c:pt>
                <c:pt idx="158">
                  <c:v>45872</c:v>
                </c:pt>
                <c:pt idx="159">
                  <c:v>45873</c:v>
                </c:pt>
                <c:pt idx="160">
                  <c:v>45874</c:v>
                </c:pt>
                <c:pt idx="161">
                  <c:v>45875</c:v>
                </c:pt>
                <c:pt idx="162">
                  <c:v>45876</c:v>
                </c:pt>
                <c:pt idx="163">
                  <c:v>45877</c:v>
                </c:pt>
                <c:pt idx="164">
                  <c:v>45878</c:v>
                </c:pt>
                <c:pt idx="165">
                  <c:v>45879</c:v>
                </c:pt>
                <c:pt idx="166">
                  <c:v>45880</c:v>
                </c:pt>
                <c:pt idx="167">
                  <c:v>45881</c:v>
                </c:pt>
                <c:pt idx="168">
                  <c:v>45882</c:v>
                </c:pt>
                <c:pt idx="169">
                  <c:v>45883</c:v>
                </c:pt>
                <c:pt idx="170">
                  <c:v>45884</c:v>
                </c:pt>
                <c:pt idx="171">
                  <c:v>45885</c:v>
                </c:pt>
                <c:pt idx="172">
                  <c:v>45886</c:v>
                </c:pt>
                <c:pt idx="173">
                  <c:v>45887</c:v>
                </c:pt>
                <c:pt idx="174">
                  <c:v>45888</c:v>
                </c:pt>
                <c:pt idx="175">
                  <c:v>45889</c:v>
                </c:pt>
                <c:pt idx="176">
                  <c:v>45890</c:v>
                </c:pt>
                <c:pt idx="177">
                  <c:v>45891</c:v>
                </c:pt>
                <c:pt idx="178">
                  <c:v>45892</c:v>
                </c:pt>
                <c:pt idx="179">
                  <c:v>45893</c:v>
                </c:pt>
                <c:pt idx="180">
                  <c:v>45894</c:v>
                </c:pt>
                <c:pt idx="181">
                  <c:v>45895</c:v>
                </c:pt>
                <c:pt idx="182">
                  <c:v>45896</c:v>
                </c:pt>
                <c:pt idx="183">
                  <c:v>45897</c:v>
                </c:pt>
                <c:pt idx="184">
                  <c:v>45898</c:v>
                </c:pt>
                <c:pt idx="185">
                  <c:v>45899</c:v>
                </c:pt>
                <c:pt idx="186">
                  <c:v>45900</c:v>
                </c:pt>
                <c:pt idx="187">
                  <c:v>45901</c:v>
                </c:pt>
                <c:pt idx="188">
                  <c:v>45902</c:v>
                </c:pt>
                <c:pt idx="189">
                  <c:v>45903</c:v>
                </c:pt>
                <c:pt idx="190">
                  <c:v>45904</c:v>
                </c:pt>
                <c:pt idx="191">
                  <c:v>45905</c:v>
                </c:pt>
                <c:pt idx="192">
                  <c:v>45906</c:v>
                </c:pt>
                <c:pt idx="193">
                  <c:v>45907</c:v>
                </c:pt>
                <c:pt idx="194">
                  <c:v>45908</c:v>
                </c:pt>
                <c:pt idx="195">
                  <c:v>45909</c:v>
                </c:pt>
                <c:pt idx="196">
                  <c:v>45910</c:v>
                </c:pt>
                <c:pt idx="197">
                  <c:v>45911</c:v>
                </c:pt>
                <c:pt idx="198">
                  <c:v>45912</c:v>
                </c:pt>
                <c:pt idx="199">
                  <c:v>45913</c:v>
                </c:pt>
                <c:pt idx="200">
                  <c:v>45914</c:v>
                </c:pt>
                <c:pt idx="201">
                  <c:v>45915</c:v>
                </c:pt>
                <c:pt idx="202">
                  <c:v>45916</c:v>
                </c:pt>
                <c:pt idx="203">
                  <c:v>45917</c:v>
                </c:pt>
                <c:pt idx="204">
                  <c:v>45918</c:v>
                </c:pt>
                <c:pt idx="205">
                  <c:v>45919</c:v>
                </c:pt>
                <c:pt idx="206">
                  <c:v>45920</c:v>
                </c:pt>
                <c:pt idx="207">
                  <c:v>45921</c:v>
                </c:pt>
                <c:pt idx="208">
                  <c:v>45922</c:v>
                </c:pt>
                <c:pt idx="209">
                  <c:v>45923</c:v>
                </c:pt>
                <c:pt idx="210">
                  <c:v>45924</c:v>
                </c:pt>
                <c:pt idx="211">
                  <c:v>45925</c:v>
                </c:pt>
                <c:pt idx="212">
                  <c:v>45926</c:v>
                </c:pt>
                <c:pt idx="213">
                  <c:v>45927</c:v>
                </c:pt>
                <c:pt idx="214">
                  <c:v>45928</c:v>
                </c:pt>
                <c:pt idx="215">
                  <c:v>45929</c:v>
                </c:pt>
                <c:pt idx="216">
                  <c:v>45930</c:v>
                </c:pt>
                <c:pt idx="217">
                  <c:v>45931</c:v>
                </c:pt>
                <c:pt idx="218">
                  <c:v>45932</c:v>
                </c:pt>
                <c:pt idx="219">
                  <c:v>45933</c:v>
                </c:pt>
                <c:pt idx="220">
                  <c:v>45934</c:v>
                </c:pt>
                <c:pt idx="221">
                  <c:v>45935</c:v>
                </c:pt>
                <c:pt idx="222">
                  <c:v>45936</c:v>
                </c:pt>
                <c:pt idx="223">
                  <c:v>45937</c:v>
                </c:pt>
                <c:pt idx="224">
                  <c:v>45938</c:v>
                </c:pt>
                <c:pt idx="225">
                  <c:v>45939</c:v>
                </c:pt>
                <c:pt idx="226">
                  <c:v>45940</c:v>
                </c:pt>
                <c:pt idx="227">
                  <c:v>45941</c:v>
                </c:pt>
                <c:pt idx="228">
                  <c:v>45942</c:v>
                </c:pt>
                <c:pt idx="229">
                  <c:v>45943</c:v>
                </c:pt>
                <c:pt idx="230">
                  <c:v>45944</c:v>
                </c:pt>
                <c:pt idx="231">
                  <c:v>45945</c:v>
                </c:pt>
                <c:pt idx="232">
                  <c:v>45946</c:v>
                </c:pt>
                <c:pt idx="233">
                  <c:v>45947</c:v>
                </c:pt>
                <c:pt idx="234">
                  <c:v>45948</c:v>
                </c:pt>
                <c:pt idx="235">
                  <c:v>45949</c:v>
                </c:pt>
                <c:pt idx="236">
                  <c:v>45950</c:v>
                </c:pt>
                <c:pt idx="237">
                  <c:v>45951</c:v>
                </c:pt>
                <c:pt idx="238">
                  <c:v>45952</c:v>
                </c:pt>
                <c:pt idx="239">
                  <c:v>45953</c:v>
                </c:pt>
                <c:pt idx="240">
                  <c:v>45954</c:v>
                </c:pt>
                <c:pt idx="241">
                  <c:v>45955</c:v>
                </c:pt>
                <c:pt idx="242">
                  <c:v>45956</c:v>
                </c:pt>
                <c:pt idx="243">
                  <c:v>45957</c:v>
                </c:pt>
                <c:pt idx="244">
                  <c:v>45958</c:v>
                </c:pt>
                <c:pt idx="245">
                  <c:v>45959</c:v>
                </c:pt>
                <c:pt idx="246">
                  <c:v>45960</c:v>
                </c:pt>
                <c:pt idx="247">
                  <c:v>45961</c:v>
                </c:pt>
                <c:pt idx="248">
                  <c:v>45962</c:v>
                </c:pt>
                <c:pt idx="249">
                  <c:v>45963</c:v>
                </c:pt>
                <c:pt idx="250">
                  <c:v>45964</c:v>
                </c:pt>
                <c:pt idx="251">
                  <c:v>45965</c:v>
                </c:pt>
                <c:pt idx="252">
                  <c:v>45966</c:v>
                </c:pt>
                <c:pt idx="253">
                  <c:v>45967</c:v>
                </c:pt>
                <c:pt idx="254">
                  <c:v>45968</c:v>
                </c:pt>
                <c:pt idx="255">
                  <c:v>45969</c:v>
                </c:pt>
                <c:pt idx="256">
                  <c:v>45970</c:v>
                </c:pt>
                <c:pt idx="257">
                  <c:v>45971</c:v>
                </c:pt>
                <c:pt idx="258">
                  <c:v>45972</c:v>
                </c:pt>
                <c:pt idx="259">
                  <c:v>45973</c:v>
                </c:pt>
                <c:pt idx="260">
                  <c:v>45974</c:v>
                </c:pt>
                <c:pt idx="261">
                  <c:v>45975</c:v>
                </c:pt>
                <c:pt idx="262">
                  <c:v>45976</c:v>
                </c:pt>
                <c:pt idx="263">
                  <c:v>45977</c:v>
                </c:pt>
                <c:pt idx="264">
                  <c:v>45978</c:v>
                </c:pt>
                <c:pt idx="265">
                  <c:v>45979</c:v>
                </c:pt>
                <c:pt idx="266">
                  <c:v>45980</c:v>
                </c:pt>
                <c:pt idx="267">
                  <c:v>45981</c:v>
                </c:pt>
                <c:pt idx="268">
                  <c:v>45982</c:v>
                </c:pt>
                <c:pt idx="269">
                  <c:v>45983</c:v>
                </c:pt>
                <c:pt idx="270">
                  <c:v>45984</c:v>
                </c:pt>
                <c:pt idx="271">
                  <c:v>45985</c:v>
                </c:pt>
                <c:pt idx="272">
                  <c:v>45986</c:v>
                </c:pt>
                <c:pt idx="273">
                  <c:v>45987</c:v>
                </c:pt>
                <c:pt idx="274">
                  <c:v>45988</c:v>
                </c:pt>
                <c:pt idx="275">
                  <c:v>45989</c:v>
                </c:pt>
                <c:pt idx="276">
                  <c:v>45990</c:v>
                </c:pt>
                <c:pt idx="277">
                  <c:v>45991</c:v>
                </c:pt>
                <c:pt idx="278">
                  <c:v>45992</c:v>
                </c:pt>
                <c:pt idx="279">
                  <c:v>45993</c:v>
                </c:pt>
                <c:pt idx="280">
                  <c:v>45994</c:v>
                </c:pt>
                <c:pt idx="281">
                  <c:v>45995</c:v>
                </c:pt>
                <c:pt idx="282">
                  <c:v>45996</c:v>
                </c:pt>
                <c:pt idx="283">
                  <c:v>45997</c:v>
                </c:pt>
                <c:pt idx="284">
                  <c:v>45998</c:v>
                </c:pt>
                <c:pt idx="285">
                  <c:v>45999</c:v>
                </c:pt>
                <c:pt idx="286">
                  <c:v>46000</c:v>
                </c:pt>
                <c:pt idx="287">
                  <c:v>46001</c:v>
                </c:pt>
                <c:pt idx="288">
                  <c:v>46002</c:v>
                </c:pt>
                <c:pt idx="289">
                  <c:v>46003</c:v>
                </c:pt>
                <c:pt idx="290">
                  <c:v>46004</c:v>
                </c:pt>
                <c:pt idx="291">
                  <c:v>46005</c:v>
                </c:pt>
                <c:pt idx="292">
                  <c:v>46006</c:v>
                </c:pt>
                <c:pt idx="293">
                  <c:v>46007</c:v>
                </c:pt>
                <c:pt idx="294">
                  <c:v>46008</c:v>
                </c:pt>
                <c:pt idx="295">
                  <c:v>46009</c:v>
                </c:pt>
                <c:pt idx="296">
                  <c:v>46010</c:v>
                </c:pt>
                <c:pt idx="297">
                  <c:v>46011</c:v>
                </c:pt>
                <c:pt idx="298">
                  <c:v>46012</c:v>
                </c:pt>
                <c:pt idx="299">
                  <c:v>46013</c:v>
                </c:pt>
                <c:pt idx="300">
                  <c:v>46014</c:v>
                </c:pt>
                <c:pt idx="301">
                  <c:v>46015</c:v>
                </c:pt>
                <c:pt idx="302">
                  <c:v>46016</c:v>
                </c:pt>
                <c:pt idx="303">
                  <c:v>46017</c:v>
                </c:pt>
                <c:pt idx="304">
                  <c:v>46018</c:v>
                </c:pt>
                <c:pt idx="305">
                  <c:v>46019</c:v>
                </c:pt>
                <c:pt idx="306">
                  <c:v>46020</c:v>
                </c:pt>
                <c:pt idx="307">
                  <c:v>46021</c:v>
                </c:pt>
                <c:pt idx="308">
                  <c:v>46022</c:v>
                </c:pt>
                <c:pt idx="309">
                  <c:v>46023</c:v>
                </c:pt>
                <c:pt idx="310">
                  <c:v>46024</c:v>
                </c:pt>
                <c:pt idx="311">
                  <c:v>46025</c:v>
                </c:pt>
                <c:pt idx="312">
                  <c:v>46026</c:v>
                </c:pt>
                <c:pt idx="313">
                  <c:v>46027</c:v>
                </c:pt>
                <c:pt idx="314">
                  <c:v>46028</c:v>
                </c:pt>
                <c:pt idx="315">
                  <c:v>46029</c:v>
                </c:pt>
                <c:pt idx="316">
                  <c:v>46030</c:v>
                </c:pt>
                <c:pt idx="317">
                  <c:v>46031</c:v>
                </c:pt>
                <c:pt idx="318">
                  <c:v>46032</c:v>
                </c:pt>
                <c:pt idx="319">
                  <c:v>46033</c:v>
                </c:pt>
                <c:pt idx="320">
                  <c:v>46034</c:v>
                </c:pt>
                <c:pt idx="321">
                  <c:v>46035</c:v>
                </c:pt>
                <c:pt idx="322">
                  <c:v>46036</c:v>
                </c:pt>
                <c:pt idx="323">
                  <c:v>46037</c:v>
                </c:pt>
                <c:pt idx="324">
                  <c:v>46038</c:v>
                </c:pt>
                <c:pt idx="325">
                  <c:v>46039</c:v>
                </c:pt>
                <c:pt idx="326">
                  <c:v>46040</c:v>
                </c:pt>
                <c:pt idx="327">
                  <c:v>46041</c:v>
                </c:pt>
                <c:pt idx="328">
                  <c:v>46042</c:v>
                </c:pt>
                <c:pt idx="329">
                  <c:v>46043</c:v>
                </c:pt>
                <c:pt idx="330">
                  <c:v>46044</c:v>
                </c:pt>
                <c:pt idx="331">
                  <c:v>46045</c:v>
                </c:pt>
                <c:pt idx="332">
                  <c:v>46046</c:v>
                </c:pt>
                <c:pt idx="333">
                  <c:v>46047</c:v>
                </c:pt>
                <c:pt idx="334">
                  <c:v>46048</c:v>
                </c:pt>
                <c:pt idx="335">
                  <c:v>46049</c:v>
                </c:pt>
                <c:pt idx="336">
                  <c:v>46050</c:v>
                </c:pt>
                <c:pt idx="337">
                  <c:v>46051</c:v>
                </c:pt>
                <c:pt idx="338">
                  <c:v>46052</c:v>
                </c:pt>
                <c:pt idx="339">
                  <c:v>46053</c:v>
                </c:pt>
                <c:pt idx="340">
                  <c:v>46054</c:v>
                </c:pt>
                <c:pt idx="341">
                  <c:v>46055</c:v>
                </c:pt>
                <c:pt idx="342">
                  <c:v>46056</c:v>
                </c:pt>
                <c:pt idx="343">
                  <c:v>46057</c:v>
                </c:pt>
                <c:pt idx="344">
                  <c:v>46058</c:v>
                </c:pt>
                <c:pt idx="345">
                  <c:v>46059</c:v>
                </c:pt>
                <c:pt idx="346">
                  <c:v>46060</c:v>
                </c:pt>
                <c:pt idx="347">
                  <c:v>46061</c:v>
                </c:pt>
                <c:pt idx="348">
                  <c:v>46062</c:v>
                </c:pt>
                <c:pt idx="349">
                  <c:v>46063</c:v>
                </c:pt>
                <c:pt idx="350">
                  <c:v>46064</c:v>
                </c:pt>
                <c:pt idx="351">
                  <c:v>46065</c:v>
                </c:pt>
                <c:pt idx="352">
                  <c:v>46066</c:v>
                </c:pt>
                <c:pt idx="353">
                  <c:v>46067</c:v>
                </c:pt>
                <c:pt idx="354">
                  <c:v>46068</c:v>
                </c:pt>
                <c:pt idx="355">
                  <c:v>46069</c:v>
                </c:pt>
                <c:pt idx="356">
                  <c:v>46070</c:v>
                </c:pt>
                <c:pt idx="357">
                  <c:v>46071</c:v>
                </c:pt>
                <c:pt idx="358">
                  <c:v>46072</c:v>
                </c:pt>
                <c:pt idx="359">
                  <c:v>46073</c:v>
                </c:pt>
                <c:pt idx="360">
                  <c:v>46074</c:v>
                </c:pt>
                <c:pt idx="361">
                  <c:v>46075</c:v>
                </c:pt>
                <c:pt idx="362">
                  <c:v>46076</c:v>
                </c:pt>
                <c:pt idx="363">
                  <c:v>46077</c:v>
                </c:pt>
                <c:pt idx="364">
                  <c:v>46078</c:v>
                </c:pt>
                <c:pt idx="365">
                  <c:v>46079</c:v>
                </c:pt>
              </c:numCache>
            </c:numRef>
          </c:cat>
          <c:val>
            <c:numRef>
              <c:f>'Daily Velocity'!$C$4:$C$369</c:f>
              <c:numCache>
                <c:formatCode>#,##0</c:formatCode>
                <c:ptCount val="366"/>
                <c:pt idx="0">
                  <c:v>2907530</c:v>
                </c:pt>
                <c:pt idx="1">
                  <c:v>2937615</c:v>
                </c:pt>
                <c:pt idx="2">
                  <c:v>1996673</c:v>
                </c:pt>
                <c:pt idx="3">
                  <c:v>1250591</c:v>
                </c:pt>
                <c:pt idx="4">
                  <c:v>2352405</c:v>
                </c:pt>
                <c:pt idx="5">
                  <c:v>3197873</c:v>
                </c:pt>
                <c:pt idx="6">
                  <c:v>3236332</c:v>
                </c:pt>
                <c:pt idx="7">
                  <c:v>3054050</c:v>
                </c:pt>
                <c:pt idx="8">
                  <c:v>3033483</c:v>
                </c:pt>
                <c:pt idx="9">
                  <c:v>2114616</c:v>
                </c:pt>
                <c:pt idx="10">
                  <c:v>1457678</c:v>
                </c:pt>
                <c:pt idx="11">
                  <c:v>2486755</c:v>
                </c:pt>
                <c:pt idx="12">
                  <c:v>3213051</c:v>
                </c:pt>
                <c:pt idx="13">
                  <c:v>3260796</c:v>
                </c:pt>
                <c:pt idx="14">
                  <c:v>3068046</c:v>
                </c:pt>
                <c:pt idx="15">
                  <c:v>2943392</c:v>
                </c:pt>
                <c:pt idx="16">
                  <c:v>1785178</c:v>
                </c:pt>
                <c:pt idx="17">
                  <c:v>1508307</c:v>
                </c:pt>
                <c:pt idx="18">
                  <c:v>2370945</c:v>
                </c:pt>
                <c:pt idx="19">
                  <c:v>3226337</c:v>
                </c:pt>
                <c:pt idx="20">
                  <c:v>3260363</c:v>
                </c:pt>
                <c:pt idx="21">
                  <c:v>3030522</c:v>
                </c:pt>
                <c:pt idx="22">
                  <c:v>2950559</c:v>
                </c:pt>
                <c:pt idx="23">
                  <c:v>2039354</c:v>
                </c:pt>
                <c:pt idx="24">
                  <c:v>1507476</c:v>
                </c:pt>
                <c:pt idx="25">
                  <c:v>1951130</c:v>
                </c:pt>
                <c:pt idx="26">
                  <c:v>3261638</c:v>
                </c:pt>
                <c:pt idx="27">
                  <c:v>3234662</c:v>
                </c:pt>
                <c:pt idx="28">
                  <c:v>2914887</c:v>
                </c:pt>
                <c:pt idx="29">
                  <c:v>2793137</c:v>
                </c:pt>
                <c:pt idx="30">
                  <c:v>1962120</c:v>
                </c:pt>
                <c:pt idx="31">
                  <c:v>1507461</c:v>
                </c:pt>
                <c:pt idx="32">
                  <c:v>2178796</c:v>
                </c:pt>
                <c:pt idx="33">
                  <c:v>3141408</c:v>
                </c:pt>
                <c:pt idx="34">
                  <c:v>3216682</c:v>
                </c:pt>
                <c:pt idx="35">
                  <c:v>3089688</c:v>
                </c:pt>
                <c:pt idx="36">
                  <c:v>3045916</c:v>
                </c:pt>
                <c:pt idx="37">
                  <c:v>2019818</c:v>
                </c:pt>
                <c:pt idx="38">
                  <c:v>1438644</c:v>
                </c:pt>
                <c:pt idx="39">
                  <c:v>2398328</c:v>
                </c:pt>
                <c:pt idx="40">
                  <c:v>3272218</c:v>
                </c:pt>
                <c:pt idx="41">
                  <c:v>3349875</c:v>
                </c:pt>
                <c:pt idx="42">
                  <c:v>3073009</c:v>
                </c:pt>
                <c:pt idx="43">
                  <c:v>3041083</c:v>
                </c:pt>
                <c:pt idx="44">
                  <c:v>1988045</c:v>
                </c:pt>
                <c:pt idx="45">
                  <c:v>1346092</c:v>
                </c:pt>
                <c:pt idx="46">
                  <c:v>2450056</c:v>
                </c:pt>
                <c:pt idx="47">
                  <c:v>3330272</c:v>
                </c:pt>
                <c:pt idx="48">
                  <c:v>3329167</c:v>
                </c:pt>
                <c:pt idx="49">
                  <c:v>3269592</c:v>
                </c:pt>
                <c:pt idx="50">
                  <c:v>3445833</c:v>
                </c:pt>
                <c:pt idx="51">
                  <c:v>1937766</c:v>
                </c:pt>
                <c:pt idx="52">
                  <c:v>1564552</c:v>
                </c:pt>
                <c:pt idx="53">
                  <c:v>2275029</c:v>
                </c:pt>
                <c:pt idx="54">
                  <c:v>3149195</c:v>
                </c:pt>
                <c:pt idx="55">
                  <c:v>3204000</c:v>
                </c:pt>
                <c:pt idx="56">
                  <c:v>3142257</c:v>
                </c:pt>
                <c:pt idx="57">
                  <c:v>3077372</c:v>
                </c:pt>
                <c:pt idx="58">
                  <c:v>2197313</c:v>
                </c:pt>
                <c:pt idx="59">
                  <c:v>1519935</c:v>
                </c:pt>
                <c:pt idx="60">
                  <c:v>2265815</c:v>
                </c:pt>
                <c:pt idx="61">
                  <c:v>3138942</c:v>
                </c:pt>
                <c:pt idx="62">
                  <c:v>3390360</c:v>
                </c:pt>
                <c:pt idx="63">
                  <c:v>3503776</c:v>
                </c:pt>
                <c:pt idx="64">
                  <c:v>3446841</c:v>
                </c:pt>
                <c:pt idx="65">
                  <c:v>2128508</c:v>
                </c:pt>
                <c:pt idx="66">
                  <c:v>1598699</c:v>
                </c:pt>
                <c:pt idx="67">
                  <c:v>2507622</c:v>
                </c:pt>
                <c:pt idx="68">
                  <c:v>3441639</c:v>
                </c:pt>
                <c:pt idx="69">
                  <c:v>3481246</c:v>
                </c:pt>
                <c:pt idx="70">
                  <c:v>3553828</c:v>
                </c:pt>
                <c:pt idx="71">
                  <c:v>3747505</c:v>
                </c:pt>
                <c:pt idx="72">
                  <c:v>2429854</c:v>
                </c:pt>
                <c:pt idx="73">
                  <c:v>1601148</c:v>
                </c:pt>
                <c:pt idx="74">
                  <c:v>2262267</c:v>
                </c:pt>
                <c:pt idx="75">
                  <c:v>3512309</c:v>
                </c:pt>
                <c:pt idx="76">
                  <c:v>3569054</c:v>
                </c:pt>
                <c:pt idx="77">
                  <c:v>3763177</c:v>
                </c:pt>
                <c:pt idx="78">
                  <c:v>3364753</c:v>
                </c:pt>
                <c:pt idx="79">
                  <c:v>2047594</c:v>
                </c:pt>
                <c:pt idx="80">
                  <c:v>1683293</c:v>
                </c:pt>
                <c:pt idx="81">
                  <c:v>2338753</c:v>
                </c:pt>
                <c:pt idx="82">
                  <c:v>3477703</c:v>
                </c:pt>
                <c:pt idx="83">
                  <c:v>3531332</c:v>
                </c:pt>
                <c:pt idx="84">
                  <c:v>3323006</c:v>
                </c:pt>
                <c:pt idx="85">
                  <c:v>3407862</c:v>
                </c:pt>
                <c:pt idx="86">
                  <c:v>2029227</c:v>
                </c:pt>
                <c:pt idx="87">
                  <c:v>1645436</c:v>
                </c:pt>
                <c:pt idx="88">
                  <c:v>2170773</c:v>
                </c:pt>
                <c:pt idx="89">
                  <c:v>1024258</c:v>
                </c:pt>
                <c:pt idx="90">
                  <c:v>3506081</c:v>
                </c:pt>
                <c:pt idx="91">
                  <c:v>3364858</c:v>
                </c:pt>
                <c:pt idx="92">
                  <c:v>3493969</c:v>
                </c:pt>
                <c:pt idx="93">
                  <c:v>2017393</c:v>
                </c:pt>
                <c:pt idx="94">
                  <c:v>1685831</c:v>
                </c:pt>
                <c:pt idx="95">
                  <c:v>2396076</c:v>
                </c:pt>
                <c:pt idx="96">
                  <c:v>3429127</c:v>
                </c:pt>
                <c:pt idx="97">
                  <c:v>3396590</c:v>
                </c:pt>
                <c:pt idx="98">
                  <c:v>3369663</c:v>
                </c:pt>
                <c:pt idx="99">
                  <c:v>3426213</c:v>
                </c:pt>
                <c:pt idx="100">
                  <c:v>2049880</c:v>
                </c:pt>
                <c:pt idx="101">
                  <c:v>1640418</c:v>
                </c:pt>
                <c:pt idx="102">
                  <c:v>2369031</c:v>
                </c:pt>
                <c:pt idx="103">
                  <c:v>3479225</c:v>
                </c:pt>
                <c:pt idx="104">
                  <c:v>3317487</c:v>
                </c:pt>
                <c:pt idx="105">
                  <c:v>3401605</c:v>
                </c:pt>
                <c:pt idx="106">
                  <c:v>3079232</c:v>
                </c:pt>
                <c:pt idx="107">
                  <c:v>1930308</c:v>
                </c:pt>
                <c:pt idx="108">
                  <c:v>1609971</c:v>
                </c:pt>
                <c:pt idx="109">
                  <c:v>2246232</c:v>
                </c:pt>
                <c:pt idx="110">
                  <c:v>3146224</c:v>
                </c:pt>
                <c:pt idx="111">
                  <c:v>3367771</c:v>
                </c:pt>
                <c:pt idx="112">
                  <c:v>3194270</c:v>
                </c:pt>
                <c:pt idx="113">
                  <c:v>3103713</c:v>
                </c:pt>
                <c:pt idx="114">
                  <c:v>1720192</c:v>
                </c:pt>
                <c:pt idx="115">
                  <c:v>1559881</c:v>
                </c:pt>
                <c:pt idx="116">
                  <c:v>2295462</c:v>
                </c:pt>
                <c:pt idx="117">
                  <c:v>3166579</c:v>
                </c:pt>
                <c:pt idx="118">
                  <c:v>3205898</c:v>
                </c:pt>
                <c:pt idx="119">
                  <c:v>3146672</c:v>
                </c:pt>
                <c:pt idx="120">
                  <c:v>3066184</c:v>
                </c:pt>
                <c:pt idx="121">
                  <c:v>1838802</c:v>
                </c:pt>
                <c:pt idx="122">
                  <c:v>1483684</c:v>
                </c:pt>
                <c:pt idx="123">
                  <c:v>2422056</c:v>
                </c:pt>
                <c:pt idx="124">
                  <c:v>3178671</c:v>
                </c:pt>
                <c:pt idx="125">
                  <c:v>3151641</c:v>
                </c:pt>
                <c:pt idx="126">
                  <c:v>3122476</c:v>
                </c:pt>
                <c:pt idx="127">
                  <c:v>2804700</c:v>
                </c:pt>
                <c:pt idx="128">
                  <c:v>1166657</c:v>
                </c:pt>
                <c:pt idx="129">
                  <c:v>1627139</c:v>
                </c:pt>
                <c:pt idx="130">
                  <c:v>2018642</c:v>
                </c:pt>
                <c:pt idx="131">
                  <c:v>3169610</c:v>
                </c:pt>
                <c:pt idx="132">
                  <c:v>3573411</c:v>
                </c:pt>
                <c:pt idx="133">
                  <c:v>3088038</c:v>
                </c:pt>
                <c:pt idx="134">
                  <c:v>2977961</c:v>
                </c:pt>
                <c:pt idx="135">
                  <c:v>1698839</c:v>
                </c:pt>
                <c:pt idx="136">
                  <c:v>1580710</c:v>
                </c:pt>
                <c:pt idx="137">
                  <c:v>2356403</c:v>
                </c:pt>
                <c:pt idx="138">
                  <c:v>3272340</c:v>
                </c:pt>
                <c:pt idx="139">
                  <c:v>3309799</c:v>
                </c:pt>
                <c:pt idx="140">
                  <c:v>3113333</c:v>
                </c:pt>
                <c:pt idx="141">
                  <c:v>3053138</c:v>
                </c:pt>
                <c:pt idx="142">
                  <c:v>1791622</c:v>
                </c:pt>
                <c:pt idx="143">
                  <c:v>1433656</c:v>
                </c:pt>
                <c:pt idx="144">
                  <c:v>2292707</c:v>
                </c:pt>
                <c:pt idx="145">
                  <c:v>3178201</c:v>
                </c:pt>
                <c:pt idx="146">
                  <c:v>3117630</c:v>
                </c:pt>
                <c:pt idx="147">
                  <c:v>3120125</c:v>
                </c:pt>
                <c:pt idx="148">
                  <c:v>3105297</c:v>
                </c:pt>
                <c:pt idx="149">
                  <c:v>1872562</c:v>
                </c:pt>
                <c:pt idx="150">
                  <c:v>1455875</c:v>
                </c:pt>
                <c:pt idx="151">
                  <c:v>2509568</c:v>
                </c:pt>
                <c:pt idx="152">
                  <c:v>3321526</c:v>
                </c:pt>
                <c:pt idx="153">
                  <c:v>3345736</c:v>
                </c:pt>
                <c:pt idx="154">
                  <c:v>3136249</c:v>
                </c:pt>
                <c:pt idx="155">
                  <c:v>3148911</c:v>
                </c:pt>
                <c:pt idx="156">
                  <c:v>2023987</c:v>
                </c:pt>
                <c:pt idx="157">
                  <c:v>1484815</c:v>
                </c:pt>
                <c:pt idx="158">
                  <c:v>2466427</c:v>
                </c:pt>
                <c:pt idx="159">
                  <c:v>3334400</c:v>
                </c:pt>
                <c:pt idx="160">
                  <c:v>3246672</c:v>
                </c:pt>
                <c:pt idx="161">
                  <c:v>3255849</c:v>
                </c:pt>
                <c:pt idx="162">
                  <c:v>3262632</c:v>
                </c:pt>
                <c:pt idx="163">
                  <c:v>2000501</c:v>
                </c:pt>
                <c:pt idx="164">
                  <c:v>1521872</c:v>
                </c:pt>
                <c:pt idx="165">
                  <c:v>2456769</c:v>
                </c:pt>
                <c:pt idx="166">
                  <c:v>3361886</c:v>
                </c:pt>
                <c:pt idx="167">
                  <c:v>3389225</c:v>
                </c:pt>
                <c:pt idx="168">
                  <c:v>3209317</c:v>
                </c:pt>
                <c:pt idx="169">
                  <c:v>3346066</c:v>
                </c:pt>
                <c:pt idx="170">
                  <c:v>1918519</c:v>
                </c:pt>
                <c:pt idx="171">
                  <c:v>1586434</c:v>
                </c:pt>
                <c:pt idx="172">
                  <c:v>2419507</c:v>
                </c:pt>
                <c:pt idx="173">
                  <c:v>3389499</c:v>
                </c:pt>
                <c:pt idx="174">
                  <c:v>3215276</c:v>
                </c:pt>
                <c:pt idx="175">
                  <c:v>3111127</c:v>
                </c:pt>
                <c:pt idx="176">
                  <c:v>3074762</c:v>
                </c:pt>
                <c:pt idx="177">
                  <c:v>1768893</c:v>
                </c:pt>
                <c:pt idx="178">
                  <c:v>1536066</c:v>
                </c:pt>
                <c:pt idx="179">
                  <c:v>2576694</c:v>
                </c:pt>
                <c:pt idx="180">
                  <c:v>3319040</c:v>
                </c:pt>
                <c:pt idx="181">
                  <c:v>3435280</c:v>
                </c:pt>
                <c:pt idx="182">
                  <c:v>3218109</c:v>
                </c:pt>
                <c:pt idx="183">
                  <c:v>3194342</c:v>
                </c:pt>
                <c:pt idx="184">
                  <c:v>1885045</c:v>
                </c:pt>
                <c:pt idx="185">
                  <c:v>1534214</c:v>
                </c:pt>
                <c:pt idx="186">
                  <c:v>2281552</c:v>
                </c:pt>
                <c:pt idx="187">
                  <c:v>1192959</c:v>
                </c:pt>
                <c:pt idx="188">
                  <c:v>3403494</c:v>
                </c:pt>
                <c:pt idx="189">
                  <c:v>3356439</c:v>
                </c:pt>
                <c:pt idx="190">
                  <c:v>3318489</c:v>
                </c:pt>
                <c:pt idx="191">
                  <c:v>1964848</c:v>
                </c:pt>
                <c:pt idx="192">
                  <c:v>1565541</c:v>
                </c:pt>
                <c:pt idx="193">
                  <c:v>2638187</c:v>
                </c:pt>
                <c:pt idx="194">
                  <c:v>3440425</c:v>
                </c:pt>
                <c:pt idx="195">
                  <c:v>3641440</c:v>
                </c:pt>
                <c:pt idx="196">
                  <c:v>3671630</c:v>
                </c:pt>
                <c:pt idx="197">
                  <c:v>3663534</c:v>
                </c:pt>
                <c:pt idx="198">
                  <c:v>1820236</c:v>
                </c:pt>
                <c:pt idx="199">
                  <c:v>1511269</c:v>
                </c:pt>
                <c:pt idx="200">
                  <c:v>2621485</c:v>
                </c:pt>
                <c:pt idx="201">
                  <c:v>3439972</c:v>
                </c:pt>
                <c:pt idx="202">
                  <c:v>3385654</c:v>
                </c:pt>
                <c:pt idx="203">
                  <c:v>3576693</c:v>
                </c:pt>
                <c:pt idx="204">
                  <c:v>3181391</c:v>
                </c:pt>
                <c:pt idx="205">
                  <c:v>1882101</c:v>
                </c:pt>
                <c:pt idx="206">
                  <c:v>1517299</c:v>
                </c:pt>
                <c:pt idx="207">
                  <c:v>2452672</c:v>
                </c:pt>
                <c:pt idx="208">
                  <c:v>3229391</c:v>
                </c:pt>
                <c:pt idx="209">
                  <c:v>3266934</c:v>
                </c:pt>
                <c:pt idx="210">
                  <c:v>3360624</c:v>
                </c:pt>
                <c:pt idx="211">
                  <c:v>3323209</c:v>
                </c:pt>
                <c:pt idx="212">
                  <c:v>1981622</c:v>
                </c:pt>
                <c:pt idx="213">
                  <c:v>1521398</c:v>
                </c:pt>
                <c:pt idx="214">
                  <c:v>2345313</c:v>
                </c:pt>
                <c:pt idx="215">
                  <c:v>3055439</c:v>
                </c:pt>
                <c:pt idx="216">
                  <c:v>3359211</c:v>
                </c:pt>
                <c:pt idx="217">
                  <c:v>3397397</c:v>
                </c:pt>
                <c:pt idx="218">
                  <c:v>3097838</c:v>
                </c:pt>
                <c:pt idx="219">
                  <c:v>1830067</c:v>
                </c:pt>
                <c:pt idx="220">
                  <c:v>1508585</c:v>
                </c:pt>
                <c:pt idx="221">
                  <c:v>2492968</c:v>
                </c:pt>
                <c:pt idx="222">
                  <c:v>3257105</c:v>
                </c:pt>
                <c:pt idx="223">
                  <c:v>3463835</c:v>
                </c:pt>
                <c:pt idx="224">
                  <c:v>3481639</c:v>
                </c:pt>
                <c:pt idx="225">
                  <c:v>3350701</c:v>
                </c:pt>
                <c:pt idx="226">
                  <c:v>1935208</c:v>
                </c:pt>
                <c:pt idx="227">
                  <c:v>1580311</c:v>
                </c:pt>
                <c:pt idx="228">
                  <c:v>2516309</c:v>
                </c:pt>
                <c:pt idx="229">
                  <c:v>3334529</c:v>
                </c:pt>
                <c:pt idx="230">
                  <c:v>3580269</c:v>
                </c:pt>
                <c:pt idx="231">
                  <c:v>3371483</c:v>
                </c:pt>
                <c:pt idx="232">
                  <c:v>3560694</c:v>
                </c:pt>
                <c:pt idx="233">
                  <c:v>1932931</c:v>
                </c:pt>
                <c:pt idx="234">
                  <c:v>1275385</c:v>
                </c:pt>
                <c:pt idx="235">
                  <c:v>2691752</c:v>
                </c:pt>
                <c:pt idx="236">
                  <c:v>3476334</c:v>
                </c:pt>
                <c:pt idx="237">
                  <c:v>3306658</c:v>
                </c:pt>
                <c:pt idx="238">
                  <c:v>3643536</c:v>
                </c:pt>
                <c:pt idx="239">
                  <c:v>3312676</c:v>
                </c:pt>
                <c:pt idx="240">
                  <c:v>3110717</c:v>
                </c:pt>
                <c:pt idx="241">
                  <c:v>2004265</c:v>
                </c:pt>
                <c:pt idx="242">
                  <c:v>3252432</c:v>
                </c:pt>
                <c:pt idx="243">
                  <c:v>4247668</c:v>
                </c:pt>
                <c:pt idx="244">
                  <c:v>4300087</c:v>
                </c:pt>
                <c:pt idx="245">
                  <c:v>4744359</c:v>
                </c:pt>
                <c:pt idx="246">
                  <c:v>4049749</c:v>
                </c:pt>
                <c:pt idx="247">
                  <c:v>2752874</c:v>
                </c:pt>
                <c:pt idx="248">
                  <c:v>1917900</c:v>
                </c:pt>
                <c:pt idx="249">
                  <c:v>3556361</c:v>
                </c:pt>
                <c:pt idx="250">
                  <c:v>4522633</c:v>
                </c:pt>
                <c:pt idx="251">
                  <c:v>4424012</c:v>
                </c:pt>
                <c:pt idx="252">
                  <c:v>4298326</c:v>
                </c:pt>
                <c:pt idx="253">
                  <c:v>4800163</c:v>
                </c:pt>
                <c:pt idx="254">
                  <c:v>4429114</c:v>
                </c:pt>
                <c:pt idx="255">
                  <c:v>2280987</c:v>
                </c:pt>
                <c:pt idx="256">
                  <c:v>3692905</c:v>
                </c:pt>
                <c:pt idx="257">
                  <c:v>4597191</c:v>
                </c:pt>
                <c:pt idx="258">
                  <c:v>4410752</c:v>
                </c:pt>
                <c:pt idx="259">
                  <c:v>3953416</c:v>
                </c:pt>
                <c:pt idx="260">
                  <c:v>4305035</c:v>
                </c:pt>
                <c:pt idx="261">
                  <c:v>4099751</c:v>
                </c:pt>
                <c:pt idx="262">
                  <c:v>2235168</c:v>
                </c:pt>
                <c:pt idx="263">
                  <c:v>3929392</c:v>
                </c:pt>
                <c:pt idx="264">
                  <c:v>4783157</c:v>
                </c:pt>
                <c:pt idx="265">
                  <c:v>4582127</c:v>
                </c:pt>
                <c:pt idx="266">
                  <c:v>4498950</c:v>
                </c:pt>
                <c:pt idx="267">
                  <c:v>4218325</c:v>
                </c:pt>
                <c:pt idx="268">
                  <c:v>3504357</c:v>
                </c:pt>
                <c:pt idx="269">
                  <c:v>1819803</c:v>
                </c:pt>
                <c:pt idx="270">
                  <c:v>3254389</c:v>
                </c:pt>
                <c:pt idx="271">
                  <c:v>4206007</c:v>
                </c:pt>
                <c:pt idx="272">
                  <c:v>4127664</c:v>
                </c:pt>
                <c:pt idx="273">
                  <c:v>4354258</c:v>
                </c:pt>
                <c:pt idx="274">
                  <c:v>1958069</c:v>
                </c:pt>
                <c:pt idx="275">
                  <c:v>2122297</c:v>
                </c:pt>
                <c:pt idx="276">
                  <c:v>1853998</c:v>
                </c:pt>
                <c:pt idx="277">
                  <c:v>3214072</c:v>
                </c:pt>
                <c:pt idx="278">
                  <c:v>4195875</c:v>
                </c:pt>
                <c:pt idx="279">
                  <c:v>4758493</c:v>
                </c:pt>
                <c:pt idx="280">
                  <c:v>4879857</c:v>
                </c:pt>
                <c:pt idx="281">
                  <c:v>4794773</c:v>
                </c:pt>
                <c:pt idx="282">
                  <c:v>2905408</c:v>
                </c:pt>
                <c:pt idx="283">
                  <c:v>1949156</c:v>
                </c:pt>
                <c:pt idx="284">
                  <c:v>3496845</c:v>
                </c:pt>
                <c:pt idx="285">
                  <c:v>5031084</c:v>
                </c:pt>
                <c:pt idx="286">
                  <c:v>5136258</c:v>
                </c:pt>
                <c:pt idx="287">
                  <c:v>4595341</c:v>
                </c:pt>
                <c:pt idx="288">
                  <c:v>4609952</c:v>
                </c:pt>
                <c:pt idx="289">
                  <c:v>2779969</c:v>
                </c:pt>
                <c:pt idx="290">
                  <c:v>1827550</c:v>
                </c:pt>
                <c:pt idx="291">
                  <c:v>3933962</c:v>
                </c:pt>
                <c:pt idx="292">
                  <c:v>4698112</c:v>
                </c:pt>
                <c:pt idx="293">
                  <c:v>4951631</c:v>
                </c:pt>
                <c:pt idx="294">
                  <c:v>4723500</c:v>
                </c:pt>
                <c:pt idx="295">
                  <c:v>4742389</c:v>
                </c:pt>
                <c:pt idx="296">
                  <c:v>2727382</c:v>
                </c:pt>
                <c:pt idx="297">
                  <c:v>2135605</c:v>
                </c:pt>
                <c:pt idx="298">
                  <c:v>3493264</c:v>
                </c:pt>
                <c:pt idx="299">
                  <c:v>4405623</c:v>
                </c:pt>
                <c:pt idx="300">
                  <c:v>4495071</c:v>
                </c:pt>
                <c:pt idx="301">
                  <c:v>2369797</c:v>
                </c:pt>
                <c:pt idx="302">
                  <c:v>1962904</c:v>
                </c:pt>
                <c:pt idx="303">
                  <c:v>2512244</c:v>
                </c:pt>
                <c:pt idx="304">
                  <c:v>2181656</c:v>
                </c:pt>
                <c:pt idx="305">
                  <c:v>4081758</c:v>
                </c:pt>
                <c:pt idx="306">
                  <c:v>4689216</c:v>
                </c:pt>
                <c:pt idx="307">
                  <c:v>4699824</c:v>
                </c:pt>
                <c:pt idx="308">
                  <c:v>2441741</c:v>
                </c:pt>
                <c:pt idx="309">
                  <c:v>1943551</c:v>
                </c:pt>
                <c:pt idx="310">
                  <c:v>3350589</c:v>
                </c:pt>
                <c:pt idx="311">
                  <c:v>2154073</c:v>
                </c:pt>
                <c:pt idx="312">
                  <c:v>3695905</c:v>
                </c:pt>
                <c:pt idx="313">
                  <c:v>5217831</c:v>
                </c:pt>
                <c:pt idx="314">
                  <c:v>5327459</c:v>
                </c:pt>
                <c:pt idx="315">
                  <c:v>5221217</c:v>
                </c:pt>
                <c:pt idx="316">
                  <c:v>5152016</c:v>
                </c:pt>
                <c:pt idx="317">
                  <c:v>3980213</c:v>
                </c:pt>
                <c:pt idx="318">
                  <c:v>1843441</c:v>
                </c:pt>
                <c:pt idx="319">
                  <c:v>3862803</c:v>
                </c:pt>
                <c:pt idx="320">
                  <c:v>4843494</c:v>
                </c:pt>
                <c:pt idx="321">
                  <c:v>5245107</c:v>
                </c:pt>
                <c:pt idx="322">
                  <c:v>4939243</c:v>
                </c:pt>
                <c:pt idx="323">
                  <c:v>4991496</c:v>
                </c:pt>
                <c:pt idx="324">
                  <c:v>3030825</c:v>
                </c:pt>
                <c:pt idx="325">
                  <c:v>2340686</c:v>
                </c:pt>
                <c:pt idx="326">
                  <c:v>3921633</c:v>
                </c:pt>
                <c:pt idx="327">
                  <c:v>5068727</c:v>
                </c:pt>
                <c:pt idx="328">
                  <c:v>5092829</c:v>
                </c:pt>
                <c:pt idx="329">
                  <c:v>4597939</c:v>
                </c:pt>
                <c:pt idx="330">
                  <c:v>4453274</c:v>
                </c:pt>
                <c:pt idx="331">
                  <c:v>2776381</c:v>
                </c:pt>
                <c:pt idx="332">
                  <c:v>2167996</c:v>
                </c:pt>
                <c:pt idx="333">
                  <c:v>3670308</c:v>
                </c:pt>
                <c:pt idx="334">
                  <c:v>4915798</c:v>
                </c:pt>
                <c:pt idx="335">
                  <c:v>4970736</c:v>
                </c:pt>
                <c:pt idx="336">
                  <c:v>4605813</c:v>
                </c:pt>
                <c:pt idx="337">
                  <c:v>4724403</c:v>
                </c:pt>
                <c:pt idx="338">
                  <c:v>2734258</c:v>
                </c:pt>
                <c:pt idx="339">
                  <c:v>2006072</c:v>
                </c:pt>
                <c:pt idx="340">
                  <c:v>3825083</c:v>
                </c:pt>
                <c:pt idx="341">
                  <c:v>4972404</c:v>
                </c:pt>
                <c:pt idx="342">
                  <c:v>5109935</c:v>
                </c:pt>
                <c:pt idx="343">
                  <c:v>4739935</c:v>
                </c:pt>
                <c:pt idx="344">
                  <c:v>4636373</c:v>
                </c:pt>
                <c:pt idx="345">
                  <c:v>2903760</c:v>
                </c:pt>
                <c:pt idx="346">
                  <c:v>1867565</c:v>
                </c:pt>
                <c:pt idx="347">
                  <c:v>3471980</c:v>
                </c:pt>
                <c:pt idx="348">
                  <c:v>4703706</c:v>
                </c:pt>
                <c:pt idx="349">
                  <c:v>4919377</c:v>
                </c:pt>
                <c:pt idx="350">
                  <c:v>4766286</c:v>
                </c:pt>
                <c:pt idx="351">
                  <c:v>4798004</c:v>
                </c:pt>
                <c:pt idx="352">
                  <c:v>2898665</c:v>
                </c:pt>
                <c:pt idx="353">
                  <c:v>1857040</c:v>
                </c:pt>
                <c:pt idx="354">
                  <c:v>3776866</c:v>
                </c:pt>
                <c:pt idx="355">
                  <c:v>4816016</c:v>
                </c:pt>
                <c:pt idx="356">
                  <c:v>4870475</c:v>
                </c:pt>
                <c:pt idx="357">
                  <c:v>4757647</c:v>
                </c:pt>
                <c:pt idx="358">
                  <c:v>4796771</c:v>
                </c:pt>
                <c:pt idx="359">
                  <c:v>2991948</c:v>
                </c:pt>
                <c:pt idx="360">
                  <c:v>2236911</c:v>
                </c:pt>
                <c:pt idx="361">
                  <c:v>3409595</c:v>
                </c:pt>
                <c:pt idx="362">
                  <c:v>4726602</c:v>
                </c:pt>
                <c:pt idx="363">
                  <c:v>4975720</c:v>
                </c:pt>
                <c:pt idx="364">
                  <c:v>4622233</c:v>
                </c:pt>
                <c:pt idx="365">
                  <c:v>669087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9E4-3C4E-9B6B-B29A7CE63F60}"/>
            </c:ext>
          </c:extLst>
        </c:ser>
        <c:ser>
          <c:idx val="1"/>
          <c:order val="1"/>
          <c:tx>
            <c:strRef>
              <c:f>'Daily Velocity'!$D$3</c:f>
              <c:strCache>
                <c:ptCount val="1"/>
                <c:pt idx="0">
                  <c:v>7-Day Moving Avg</c:v>
                </c:pt>
              </c:strCache>
            </c:strRef>
          </c:tx>
          <c:spPr>
            <a:ln w="21960">
              <a:solidFill>
                <a:srgbClr val="2F549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'Daily Velocity'!$A$4:$A$369</c:f>
              <c:numCache>
                <c:formatCode>yyyy\-mm\-dd</c:formatCode>
                <c:ptCount val="366"/>
                <c:pt idx="0">
                  <c:v>45714</c:v>
                </c:pt>
                <c:pt idx="1">
                  <c:v>45715</c:v>
                </c:pt>
                <c:pt idx="2">
                  <c:v>45716</c:v>
                </c:pt>
                <c:pt idx="3">
                  <c:v>45717</c:v>
                </c:pt>
                <c:pt idx="4">
                  <c:v>45718</c:v>
                </c:pt>
                <c:pt idx="5">
                  <c:v>45719</c:v>
                </c:pt>
                <c:pt idx="6">
                  <c:v>45720</c:v>
                </c:pt>
                <c:pt idx="7">
                  <c:v>45721</c:v>
                </c:pt>
                <c:pt idx="8">
                  <c:v>45722</c:v>
                </c:pt>
                <c:pt idx="9">
                  <c:v>45723</c:v>
                </c:pt>
                <c:pt idx="10">
                  <c:v>45724</c:v>
                </c:pt>
                <c:pt idx="11">
                  <c:v>45725</c:v>
                </c:pt>
                <c:pt idx="12">
                  <c:v>45726</c:v>
                </c:pt>
                <c:pt idx="13">
                  <c:v>45727</c:v>
                </c:pt>
                <c:pt idx="14">
                  <c:v>45728</c:v>
                </c:pt>
                <c:pt idx="15">
                  <c:v>45729</c:v>
                </c:pt>
                <c:pt idx="16">
                  <c:v>45730</c:v>
                </c:pt>
                <c:pt idx="17">
                  <c:v>45731</c:v>
                </c:pt>
                <c:pt idx="18">
                  <c:v>45732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45738</c:v>
                </c:pt>
                <c:pt idx="25">
                  <c:v>45739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45745</c:v>
                </c:pt>
                <c:pt idx="32">
                  <c:v>45746</c:v>
                </c:pt>
                <c:pt idx="33">
                  <c:v>45747</c:v>
                </c:pt>
                <c:pt idx="34">
                  <c:v>45748</c:v>
                </c:pt>
                <c:pt idx="35">
                  <c:v>45749</c:v>
                </c:pt>
                <c:pt idx="36">
                  <c:v>45750</c:v>
                </c:pt>
                <c:pt idx="37">
                  <c:v>45751</c:v>
                </c:pt>
                <c:pt idx="38">
                  <c:v>45752</c:v>
                </c:pt>
                <c:pt idx="39">
                  <c:v>45753</c:v>
                </c:pt>
                <c:pt idx="40">
                  <c:v>45754</c:v>
                </c:pt>
                <c:pt idx="41">
                  <c:v>45755</c:v>
                </c:pt>
                <c:pt idx="42">
                  <c:v>45756</c:v>
                </c:pt>
                <c:pt idx="43">
                  <c:v>45757</c:v>
                </c:pt>
                <c:pt idx="44">
                  <c:v>45758</c:v>
                </c:pt>
                <c:pt idx="45">
                  <c:v>45759</c:v>
                </c:pt>
                <c:pt idx="46">
                  <c:v>45760</c:v>
                </c:pt>
                <c:pt idx="47">
                  <c:v>45761</c:v>
                </c:pt>
                <c:pt idx="48">
                  <c:v>45762</c:v>
                </c:pt>
                <c:pt idx="49">
                  <c:v>45763</c:v>
                </c:pt>
                <c:pt idx="50">
                  <c:v>45764</c:v>
                </c:pt>
                <c:pt idx="51">
                  <c:v>45765</c:v>
                </c:pt>
                <c:pt idx="52">
                  <c:v>45766</c:v>
                </c:pt>
                <c:pt idx="53">
                  <c:v>45767</c:v>
                </c:pt>
                <c:pt idx="54">
                  <c:v>45768</c:v>
                </c:pt>
                <c:pt idx="55">
                  <c:v>45769</c:v>
                </c:pt>
                <c:pt idx="56">
                  <c:v>45770</c:v>
                </c:pt>
                <c:pt idx="57">
                  <c:v>45771</c:v>
                </c:pt>
                <c:pt idx="58">
                  <c:v>45772</c:v>
                </c:pt>
                <c:pt idx="59">
                  <c:v>45773</c:v>
                </c:pt>
                <c:pt idx="60">
                  <c:v>45774</c:v>
                </c:pt>
                <c:pt idx="61">
                  <c:v>45775</c:v>
                </c:pt>
                <c:pt idx="62">
                  <c:v>45776</c:v>
                </c:pt>
                <c:pt idx="63">
                  <c:v>45777</c:v>
                </c:pt>
                <c:pt idx="64">
                  <c:v>45778</c:v>
                </c:pt>
                <c:pt idx="65">
                  <c:v>45779</c:v>
                </c:pt>
                <c:pt idx="66">
                  <c:v>45780</c:v>
                </c:pt>
                <c:pt idx="67">
                  <c:v>45781</c:v>
                </c:pt>
                <c:pt idx="68">
                  <c:v>45782</c:v>
                </c:pt>
                <c:pt idx="69">
                  <c:v>45783</c:v>
                </c:pt>
                <c:pt idx="70">
                  <c:v>45784</c:v>
                </c:pt>
                <c:pt idx="71">
                  <c:v>45785</c:v>
                </c:pt>
                <c:pt idx="72">
                  <c:v>45786</c:v>
                </c:pt>
                <c:pt idx="73">
                  <c:v>45787</c:v>
                </c:pt>
                <c:pt idx="74">
                  <c:v>45788</c:v>
                </c:pt>
                <c:pt idx="75">
                  <c:v>45789</c:v>
                </c:pt>
                <c:pt idx="76">
                  <c:v>45790</c:v>
                </c:pt>
                <c:pt idx="77">
                  <c:v>45791</c:v>
                </c:pt>
                <c:pt idx="78">
                  <c:v>45792</c:v>
                </c:pt>
                <c:pt idx="79">
                  <c:v>45793</c:v>
                </c:pt>
                <c:pt idx="80">
                  <c:v>45794</c:v>
                </c:pt>
                <c:pt idx="81">
                  <c:v>45795</c:v>
                </c:pt>
                <c:pt idx="82">
                  <c:v>45796</c:v>
                </c:pt>
                <c:pt idx="83">
                  <c:v>45797</c:v>
                </c:pt>
                <c:pt idx="84">
                  <c:v>45798</c:v>
                </c:pt>
                <c:pt idx="85">
                  <c:v>45799</c:v>
                </c:pt>
                <c:pt idx="86">
                  <c:v>45800</c:v>
                </c:pt>
                <c:pt idx="87">
                  <c:v>45801</c:v>
                </c:pt>
                <c:pt idx="88">
                  <c:v>45802</c:v>
                </c:pt>
                <c:pt idx="89">
                  <c:v>45803</c:v>
                </c:pt>
                <c:pt idx="90">
                  <c:v>45804</c:v>
                </c:pt>
                <c:pt idx="91">
                  <c:v>45805</c:v>
                </c:pt>
                <c:pt idx="92">
                  <c:v>45806</c:v>
                </c:pt>
                <c:pt idx="93">
                  <c:v>45807</c:v>
                </c:pt>
                <c:pt idx="94">
                  <c:v>45808</c:v>
                </c:pt>
                <c:pt idx="95">
                  <c:v>45809</c:v>
                </c:pt>
                <c:pt idx="96">
                  <c:v>45810</c:v>
                </c:pt>
                <c:pt idx="97">
                  <c:v>45811</c:v>
                </c:pt>
                <c:pt idx="98">
                  <c:v>45812</c:v>
                </c:pt>
                <c:pt idx="99">
                  <c:v>45813</c:v>
                </c:pt>
                <c:pt idx="100">
                  <c:v>45814</c:v>
                </c:pt>
                <c:pt idx="101">
                  <c:v>45815</c:v>
                </c:pt>
                <c:pt idx="102">
                  <c:v>45816</c:v>
                </c:pt>
                <c:pt idx="103">
                  <c:v>45817</c:v>
                </c:pt>
                <c:pt idx="104">
                  <c:v>45818</c:v>
                </c:pt>
                <c:pt idx="105">
                  <c:v>45819</c:v>
                </c:pt>
                <c:pt idx="106">
                  <c:v>45820</c:v>
                </c:pt>
                <c:pt idx="107">
                  <c:v>45821</c:v>
                </c:pt>
                <c:pt idx="108">
                  <c:v>45822</c:v>
                </c:pt>
                <c:pt idx="109">
                  <c:v>45823</c:v>
                </c:pt>
                <c:pt idx="110">
                  <c:v>45824</c:v>
                </c:pt>
                <c:pt idx="111">
                  <c:v>45825</c:v>
                </c:pt>
                <c:pt idx="112">
                  <c:v>45826</c:v>
                </c:pt>
                <c:pt idx="113">
                  <c:v>45827</c:v>
                </c:pt>
                <c:pt idx="114">
                  <c:v>45828</c:v>
                </c:pt>
                <c:pt idx="115">
                  <c:v>45829</c:v>
                </c:pt>
                <c:pt idx="116">
                  <c:v>45830</c:v>
                </c:pt>
                <c:pt idx="117">
                  <c:v>45831</c:v>
                </c:pt>
                <c:pt idx="118">
                  <c:v>45832</c:v>
                </c:pt>
                <c:pt idx="119">
                  <c:v>45833</c:v>
                </c:pt>
                <c:pt idx="120">
                  <c:v>45834</c:v>
                </c:pt>
                <c:pt idx="121">
                  <c:v>45835</c:v>
                </c:pt>
                <c:pt idx="122">
                  <c:v>45836</c:v>
                </c:pt>
                <c:pt idx="123">
                  <c:v>45837</c:v>
                </c:pt>
                <c:pt idx="124">
                  <c:v>45838</c:v>
                </c:pt>
                <c:pt idx="125">
                  <c:v>45839</c:v>
                </c:pt>
                <c:pt idx="126">
                  <c:v>45840</c:v>
                </c:pt>
                <c:pt idx="127">
                  <c:v>45841</c:v>
                </c:pt>
                <c:pt idx="128">
                  <c:v>45842</c:v>
                </c:pt>
                <c:pt idx="129">
                  <c:v>45843</c:v>
                </c:pt>
                <c:pt idx="130">
                  <c:v>45844</c:v>
                </c:pt>
                <c:pt idx="131">
                  <c:v>45845</c:v>
                </c:pt>
                <c:pt idx="132">
                  <c:v>45846</c:v>
                </c:pt>
                <c:pt idx="133">
                  <c:v>45847</c:v>
                </c:pt>
                <c:pt idx="134">
                  <c:v>45848</c:v>
                </c:pt>
                <c:pt idx="135">
                  <c:v>45849</c:v>
                </c:pt>
                <c:pt idx="136">
                  <c:v>45850</c:v>
                </c:pt>
                <c:pt idx="137">
                  <c:v>45851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45857</c:v>
                </c:pt>
                <c:pt idx="144">
                  <c:v>45858</c:v>
                </c:pt>
                <c:pt idx="145">
                  <c:v>45859</c:v>
                </c:pt>
                <c:pt idx="146">
                  <c:v>45860</c:v>
                </c:pt>
                <c:pt idx="147">
                  <c:v>45861</c:v>
                </c:pt>
                <c:pt idx="148">
                  <c:v>45862</c:v>
                </c:pt>
                <c:pt idx="149">
                  <c:v>45863</c:v>
                </c:pt>
                <c:pt idx="150">
                  <c:v>45864</c:v>
                </c:pt>
                <c:pt idx="151">
                  <c:v>45865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45871</c:v>
                </c:pt>
                <c:pt idx="158">
                  <c:v>45872</c:v>
                </c:pt>
                <c:pt idx="159">
                  <c:v>45873</c:v>
                </c:pt>
                <c:pt idx="160">
                  <c:v>45874</c:v>
                </c:pt>
                <c:pt idx="161">
                  <c:v>45875</c:v>
                </c:pt>
                <c:pt idx="162">
                  <c:v>45876</c:v>
                </c:pt>
                <c:pt idx="163">
                  <c:v>45877</c:v>
                </c:pt>
                <c:pt idx="164">
                  <c:v>45878</c:v>
                </c:pt>
                <c:pt idx="165">
                  <c:v>45879</c:v>
                </c:pt>
                <c:pt idx="166">
                  <c:v>45880</c:v>
                </c:pt>
                <c:pt idx="167">
                  <c:v>45881</c:v>
                </c:pt>
                <c:pt idx="168">
                  <c:v>45882</c:v>
                </c:pt>
                <c:pt idx="169">
                  <c:v>45883</c:v>
                </c:pt>
                <c:pt idx="170">
                  <c:v>45884</c:v>
                </c:pt>
                <c:pt idx="171">
                  <c:v>45885</c:v>
                </c:pt>
                <c:pt idx="172">
                  <c:v>45886</c:v>
                </c:pt>
                <c:pt idx="173">
                  <c:v>45887</c:v>
                </c:pt>
                <c:pt idx="174">
                  <c:v>45888</c:v>
                </c:pt>
                <c:pt idx="175">
                  <c:v>45889</c:v>
                </c:pt>
                <c:pt idx="176">
                  <c:v>45890</c:v>
                </c:pt>
                <c:pt idx="177">
                  <c:v>45891</c:v>
                </c:pt>
                <c:pt idx="178">
                  <c:v>45892</c:v>
                </c:pt>
                <c:pt idx="179">
                  <c:v>45893</c:v>
                </c:pt>
                <c:pt idx="180">
                  <c:v>45894</c:v>
                </c:pt>
                <c:pt idx="181">
                  <c:v>45895</c:v>
                </c:pt>
                <c:pt idx="182">
                  <c:v>45896</c:v>
                </c:pt>
                <c:pt idx="183">
                  <c:v>45897</c:v>
                </c:pt>
                <c:pt idx="184">
                  <c:v>45898</c:v>
                </c:pt>
                <c:pt idx="185">
                  <c:v>45899</c:v>
                </c:pt>
                <c:pt idx="186">
                  <c:v>45900</c:v>
                </c:pt>
                <c:pt idx="187">
                  <c:v>45901</c:v>
                </c:pt>
                <c:pt idx="188">
                  <c:v>45902</c:v>
                </c:pt>
                <c:pt idx="189">
                  <c:v>45903</c:v>
                </c:pt>
                <c:pt idx="190">
                  <c:v>45904</c:v>
                </c:pt>
                <c:pt idx="191">
                  <c:v>45905</c:v>
                </c:pt>
                <c:pt idx="192">
                  <c:v>45906</c:v>
                </c:pt>
                <c:pt idx="193">
                  <c:v>45907</c:v>
                </c:pt>
                <c:pt idx="194">
                  <c:v>45908</c:v>
                </c:pt>
                <c:pt idx="195">
                  <c:v>45909</c:v>
                </c:pt>
                <c:pt idx="196">
                  <c:v>45910</c:v>
                </c:pt>
                <c:pt idx="197">
                  <c:v>45911</c:v>
                </c:pt>
                <c:pt idx="198">
                  <c:v>45912</c:v>
                </c:pt>
                <c:pt idx="199">
                  <c:v>45913</c:v>
                </c:pt>
                <c:pt idx="200">
                  <c:v>45914</c:v>
                </c:pt>
                <c:pt idx="201">
                  <c:v>45915</c:v>
                </c:pt>
                <c:pt idx="202">
                  <c:v>45916</c:v>
                </c:pt>
                <c:pt idx="203">
                  <c:v>45917</c:v>
                </c:pt>
                <c:pt idx="204">
                  <c:v>45918</c:v>
                </c:pt>
                <c:pt idx="205">
                  <c:v>45919</c:v>
                </c:pt>
                <c:pt idx="206">
                  <c:v>45920</c:v>
                </c:pt>
                <c:pt idx="207">
                  <c:v>45921</c:v>
                </c:pt>
                <c:pt idx="208">
                  <c:v>45922</c:v>
                </c:pt>
                <c:pt idx="209">
                  <c:v>45923</c:v>
                </c:pt>
                <c:pt idx="210">
                  <c:v>45924</c:v>
                </c:pt>
                <c:pt idx="211">
                  <c:v>45925</c:v>
                </c:pt>
                <c:pt idx="212">
                  <c:v>45926</c:v>
                </c:pt>
                <c:pt idx="213">
                  <c:v>45927</c:v>
                </c:pt>
                <c:pt idx="214">
                  <c:v>45928</c:v>
                </c:pt>
                <c:pt idx="215">
                  <c:v>45929</c:v>
                </c:pt>
                <c:pt idx="216">
                  <c:v>45930</c:v>
                </c:pt>
                <c:pt idx="217">
                  <c:v>45931</c:v>
                </c:pt>
                <c:pt idx="218">
                  <c:v>45932</c:v>
                </c:pt>
                <c:pt idx="219">
                  <c:v>45933</c:v>
                </c:pt>
                <c:pt idx="220">
                  <c:v>45934</c:v>
                </c:pt>
                <c:pt idx="221">
                  <c:v>45935</c:v>
                </c:pt>
                <c:pt idx="222">
                  <c:v>45936</c:v>
                </c:pt>
                <c:pt idx="223">
                  <c:v>45937</c:v>
                </c:pt>
                <c:pt idx="224">
                  <c:v>45938</c:v>
                </c:pt>
                <c:pt idx="225">
                  <c:v>45939</c:v>
                </c:pt>
                <c:pt idx="226">
                  <c:v>45940</c:v>
                </c:pt>
                <c:pt idx="227">
                  <c:v>45941</c:v>
                </c:pt>
                <c:pt idx="228">
                  <c:v>45942</c:v>
                </c:pt>
                <c:pt idx="229">
                  <c:v>45943</c:v>
                </c:pt>
                <c:pt idx="230">
                  <c:v>45944</c:v>
                </c:pt>
                <c:pt idx="231">
                  <c:v>45945</c:v>
                </c:pt>
                <c:pt idx="232">
                  <c:v>45946</c:v>
                </c:pt>
                <c:pt idx="233">
                  <c:v>45947</c:v>
                </c:pt>
                <c:pt idx="234">
                  <c:v>45948</c:v>
                </c:pt>
                <c:pt idx="235">
                  <c:v>45949</c:v>
                </c:pt>
                <c:pt idx="236">
                  <c:v>45950</c:v>
                </c:pt>
                <c:pt idx="237">
                  <c:v>45951</c:v>
                </c:pt>
                <c:pt idx="238">
                  <c:v>45952</c:v>
                </c:pt>
                <c:pt idx="239">
                  <c:v>45953</c:v>
                </c:pt>
                <c:pt idx="240">
                  <c:v>45954</c:v>
                </c:pt>
                <c:pt idx="241">
                  <c:v>45955</c:v>
                </c:pt>
                <c:pt idx="242">
                  <c:v>45956</c:v>
                </c:pt>
                <c:pt idx="243">
                  <c:v>45957</c:v>
                </c:pt>
                <c:pt idx="244">
                  <c:v>45958</c:v>
                </c:pt>
                <c:pt idx="245">
                  <c:v>45959</c:v>
                </c:pt>
                <c:pt idx="246">
                  <c:v>45960</c:v>
                </c:pt>
                <c:pt idx="247">
                  <c:v>45961</c:v>
                </c:pt>
                <c:pt idx="248">
                  <c:v>45962</c:v>
                </c:pt>
                <c:pt idx="249">
                  <c:v>45963</c:v>
                </c:pt>
                <c:pt idx="250">
                  <c:v>45964</c:v>
                </c:pt>
                <c:pt idx="251">
                  <c:v>45965</c:v>
                </c:pt>
                <c:pt idx="252">
                  <c:v>45966</c:v>
                </c:pt>
                <c:pt idx="253">
                  <c:v>45967</c:v>
                </c:pt>
                <c:pt idx="254">
                  <c:v>45968</c:v>
                </c:pt>
                <c:pt idx="255">
                  <c:v>45969</c:v>
                </c:pt>
                <c:pt idx="256">
                  <c:v>45970</c:v>
                </c:pt>
                <c:pt idx="257">
                  <c:v>45971</c:v>
                </c:pt>
                <c:pt idx="258">
                  <c:v>45972</c:v>
                </c:pt>
                <c:pt idx="259">
                  <c:v>45973</c:v>
                </c:pt>
                <c:pt idx="260">
                  <c:v>45974</c:v>
                </c:pt>
                <c:pt idx="261">
                  <c:v>45975</c:v>
                </c:pt>
                <c:pt idx="262">
                  <c:v>45976</c:v>
                </c:pt>
                <c:pt idx="263">
                  <c:v>45977</c:v>
                </c:pt>
                <c:pt idx="264">
                  <c:v>45978</c:v>
                </c:pt>
                <c:pt idx="265">
                  <c:v>45979</c:v>
                </c:pt>
                <c:pt idx="266">
                  <c:v>45980</c:v>
                </c:pt>
                <c:pt idx="267">
                  <c:v>45981</c:v>
                </c:pt>
                <c:pt idx="268">
                  <c:v>45982</c:v>
                </c:pt>
                <c:pt idx="269">
                  <c:v>45983</c:v>
                </c:pt>
                <c:pt idx="270">
                  <c:v>45984</c:v>
                </c:pt>
                <c:pt idx="271">
                  <c:v>45985</c:v>
                </c:pt>
                <c:pt idx="272">
                  <c:v>45986</c:v>
                </c:pt>
                <c:pt idx="273">
                  <c:v>45987</c:v>
                </c:pt>
                <c:pt idx="274">
                  <c:v>45988</c:v>
                </c:pt>
                <c:pt idx="275">
                  <c:v>45989</c:v>
                </c:pt>
                <c:pt idx="276">
                  <c:v>45990</c:v>
                </c:pt>
                <c:pt idx="277">
                  <c:v>45991</c:v>
                </c:pt>
                <c:pt idx="278">
                  <c:v>45992</c:v>
                </c:pt>
                <c:pt idx="279">
                  <c:v>45993</c:v>
                </c:pt>
                <c:pt idx="280">
                  <c:v>45994</c:v>
                </c:pt>
                <c:pt idx="281">
                  <c:v>45995</c:v>
                </c:pt>
                <c:pt idx="282">
                  <c:v>45996</c:v>
                </c:pt>
                <c:pt idx="283">
                  <c:v>45997</c:v>
                </c:pt>
                <c:pt idx="284">
                  <c:v>45998</c:v>
                </c:pt>
                <c:pt idx="285">
                  <c:v>45999</c:v>
                </c:pt>
                <c:pt idx="286">
                  <c:v>46000</c:v>
                </c:pt>
                <c:pt idx="287">
                  <c:v>46001</c:v>
                </c:pt>
                <c:pt idx="288">
                  <c:v>46002</c:v>
                </c:pt>
                <c:pt idx="289">
                  <c:v>46003</c:v>
                </c:pt>
                <c:pt idx="290">
                  <c:v>46004</c:v>
                </c:pt>
                <c:pt idx="291">
                  <c:v>46005</c:v>
                </c:pt>
                <c:pt idx="292">
                  <c:v>46006</c:v>
                </c:pt>
                <c:pt idx="293">
                  <c:v>46007</c:v>
                </c:pt>
                <c:pt idx="294">
                  <c:v>46008</c:v>
                </c:pt>
                <c:pt idx="295">
                  <c:v>46009</c:v>
                </c:pt>
                <c:pt idx="296">
                  <c:v>46010</c:v>
                </c:pt>
                <c:pt idx="297">
                  <c:v>46011</c:v>
                </c:pt>
                <c:pt idx="298">
                  <c:v>46012</c:v>
                </c:pt>
                <c:pt idx="299">
                  <c:v>46013</c:v>
                </c:pt>
                <c:pt idx="300">
                  <c:v>46014</c:v>
                </c:pt>
                <c:pt idx="301">
                  <c:v>46015</c:v>
                </c:pt>
                <c:pt idx="302">
                  <c:v>46016</c:v>
                </c:pt>
                <c:pt idx="303">
                  <c:v>46017</c:v>
                </c:pt>
                <c:pt idx="304">
                  <c:v>46018</c:v>
                </c:pt>
                <c:pt idx="305">
                  <c:v>46019</c:v>
                </c:pt>
                <c:pt idx="306">
                  <c:v>46020</c:v>
                </c:pt>
                <c:pt idx="307">
                  <c:v>46021</c:v>
                </c:pt>
                <c:pt idx="308">
                  <c:v>46022</c:v>
                </c:pt>
                <c:pt idx="309">
                  <c:v>46023</c:v>
                </c:pt>
                <c:pt idx="310">
                  <c:v>46024</c:v>
                </c:pt>
                <c:pt idx="311">
                  <c:v>46025</c:v>
                </c:pt>
                <c:pt idx="312">
                  <c:v>46026</c:v>
                </c:pt>
                <c:pt idx="313">
                  <c:v>46027</c:v>
                </c:pt>
                <c:pt idx="314">
                  <c:v>46028</c:v>
                </c:pt>
                <c:pt idx="315">
                  <c:v>46029</c:v>
                </c:pt>
                <c:pt idx="316">
                  <c:v>46030</c:v>
                </c:pt>
                <c:pt idx="317">
                  <c:v>46031</c:v>
                </c:pt>
                <c:pt idx="318">
                  <c:v>46032</c:v>
                </c:pt>
                <c:pt idx="319">
                  <c:v>46033</c:v>
                </c:pt>
                <c:pt idx="320">
                  <c:v>46034</c:v>
                </c:pt>
                <c:pt idx="321">
                  <c:v>46035</c:v>
                </c:pt>
                <c:pt idx="322">
                  <c:v>46036</c:v>
                </c:pt>
                <c:pt idx="323">
                  <c:v>46037</c:v>
                </c:pt>
                <c:pt idx="324">
                  <c:v>46038</c:v>
                </c:pt>
                <c:pt idx="325">
                  <c:v>46039</c:v>
                </c:pt>
                <c:pt idx="326">
                  <c:v>46040</c:v>
                </c:pt>
                <c:pt idx="327">
                  <c:v>46041</c:v>
                </c:pt>
                <c:pt idx="328">
                  <c:v>46042</c:v>
                </c:pt>
                <c:pt idx="329">
                  <c:v>46043</c:v>
                </c:pt>
                <c:pt idx="330">
                  <c:v>46044</c:v>
                </c:pt>
                <c:pt idx="331">
                  <c:v>46045</c:v>
                </c:pt>
                <c:pt idx="332">
                  <c:v>46046</c:v>
                </c:pt>
                <c:pt idx="333">
                  <c:v>46047</c:v>
                </c:pt>
                <c:pt idx="334">
                  <c:v>46048</c:v>
                </c:pt>
                <c:pt idx="335">
                  <c:v>46049</c:v>
                </c:pt>
                <c:pt idx="336">
                  <c:v>46050</c:v>
                </c:pt>
                <c:pt idx="337">
                  <c:v>46051</c:v>
                </c:pt>
                <c:pt idx="338">
                  <c:v>46052</c:v>
                </c:pt>
                <c:pt idx="339">
                  <c:v>46053</c:v>
                </c:pt>
                <c:pt idx="340">
                  <c:v>46054</c:v>
                </c:pt>
                <c:pt idx="341">
                  <c:v>46055</c:v>
                </c:pt>
                <c:pt idx="342">
                  <c:v>46056</c:v>
                </c:pt>
                <c:pt idx="343">
                  <c:v>46057</c:v>
                </c:pt>
                <c:pt idx="344">
                  <c:v>46058</c:v>
                </c:pt>
                <c:pt idx="345">
                  <c:v>46059</c:v>
                </c:pt>
                <c:pt idx="346">
                  <c:v>46060</c:v>
                </c:pt>
                <c:pt idx="347">
                  <c:v>46061</c:v>
                </c:pt>
                <c:pt idx="348">
                  <c:v>46062</c:v>
                </c:pt>
                <c:pt idx="349">
                  <c:v>46063</c:v>
                </c:pt>
                <c:pt idx="350">
                  <c:v>46064</c:v>
                </c:pt>
                <c:pt idx="351">
                  <c:v>46065</c:v>
                </c:pt>
                <c:pt idx="352">
                  <c:v>46066</c:v>
                </c:pt>
                <c:pt idx="353">
                  <c:v>46067</c:v>
                </c:pt>
                <c:pt idx="354">
                  <c:v>46068</c:v>
                </c:pt>
                <c:pt idx="355">
                  <c:v>46069</c:v>
                </c:pt>
                <c:pt idx="356">
                  <c:v>46070</c:v>
                </c:pt>
                <c:pt idx="357">
                  <c:v>46071</c:v>
                </c:pt>
                <c:pt idx="358">
                  <c:v>46072</c:v>
                </c:pt>
                <c:pt idx="359">
                  <c:v>46073</c:v>
                </c:pt>
                <c:pt idx="360">
                  <c:v>46074</c:v>
                </c:pt>
                <c:pt idx="361">
                  <c:v>46075</c:v>
                </c:pt>
                <c:pt idx="362">
                  <c:v>46076</c:v>
                </c:pt>
                <c:pt idx="363">
                  <c:v>46077</c:v>
                </c:pt>
                <c:pt idx="364">
                  <c:v>46078</c:v>
                </c:pt>
                <c:pt idx="365">
                  <c:v>46079</c:v>
                </c:pt>
              </c:numCache>
            </c:numRef>
          </c:cat>
          <c:val>
            <c:numRef>
              <c:f>'Daily Velocity'!$D$4:$D$369</c:f>
              <c:numCache>
                <c:formatCode>#,##0</c:formatCode>
                <c:ptCount val="366"/>
                <c:pt idx="6">
                  <c:v>2554145.5714285714</c:v>
                </c:pt>
                <c:pt idx="7">
                  <c:v>2575077</c:v>
                </c:pt>
                <c:pt idx="8">
                  <c:v>2588772.4285714286</c:v>
                </c:pt>
                <c:pt idx="9">
                  <c:v>2605621.4285714286</c:v>
                </c:pt>
                <c:pt idx="10">
                  <c:v>2635205.2857142859</c:v>
                </c:pt>
                <c:pt idx="11">
                  <c:v>2654398.1428571427</c:v>
                </c:pt>
                <c:pt idx="12">
                  <c:v>2656566.4285714286</c:v>
                </c:pt>
                <c:pt idx="13">
                  <c:v>2660061.2857142859</c:v>
                </c:pt>
                <c:pt idx="14">
                  <c:v>2662060.7142857141</c:v>
                </c:pt>
                <c:pt idx="15">
                  <c:v>2649190.5714285714</c:v>
                </c:pt>
                <c:pt idx="16">
                  <c:v>2602128</c:v>
                </c:pt>
                <c:pt idx="17">
                  <c:v>2609360.7142857141</c:v>
                </c:pt>
                <c:pt idx="18">
                  <c:v>2592816.4285714286</c:v>
                </c:pt>
                <c:pt idx="19">
                  <c:v>2594714.4285714286</c:v>
                </c:pt>
                <c:pt idx="20">
                  <c:v>2594652.5714285714</c:v>
                </c:pt>
                <c:pt idx="21">
                  <c:v>2589292</c:v>
                </c:pt>
                <c:pt idx="22">
                  <c:v>2590315.8571428573</c:v>
                </c:pt>
                <c:pt idx="23">
                  <c:v>2626626.7142857141</c:v>
                </c:pt>
                <c:pt idx="24">
                  <c:v>2626508</c:v>
                </c:pt>
                <c:pt idx="25">
                  <c:v>2566534.4285714286</c:v>
                </c:pt>
                <c:pt idx="26">
                  <c:v>2571577.4285714286</c:v>
                </c:pt>
                <c:pt idx="27">
                  <c:v>2567905.8571428573</c:v>
                </c:pt>
                <c:pt idx="28">
                  <c:v>2551386.5714285714</c:v>
                </c:pt>
                <c:pt idx="29">
                  <c:v>2528897.7142857141</c:v>
                </c:pt>
                <c:pt idx="30">
                  <c:v>2517864.2857142859</c:v>
                </c:pt>
                <c:pt idx="31">
                  <c:v>2517862.1428571427</c:v>
                </c:pt>
                <c:pt idx="32">
                  <c:v>2550385.8571428573</c:v>
                </c:pt>
                <c:pt idx="33">
                  <c:v>2533210.1428571427</c:v>
                </c:pt>
                <c:pt idx="34">
                  <c:v>2530641.5714285714</c:v>
                </c:pt>
                <c:pt idx="35">
                  <c:v>2555613.1428571427</c:v>
                </c:pt>
                <c:pt idx="36">
                  <c:v>2591724.4285714286</c:v>
                </c:pt>
                <c:pt idx="37">
                  <c:v>2599967</c:v>
                </c:pt>
                <c:pt idx="38">
                  <c:v>2590136</c:v>
                </c:pt>
                <c:pt idx="39">
                  <c:v>2621497.7142857141</c:v>
                </c:pt>
                <c:pt idx="40">
                  <c:v>2640184.8571428573</c:v>
                </c:pt>
                <c:pt idx="41">
                  <c:v>2659212.4285714286</c:v>
                </c:pt>
                <c:pt idx="42">
                  <c:v>2656829.7142857141</c:v>
                </c:pt>
                <c:pt idx="43">
                  <c:v>2656139.2857142859</c:v>
                </c:pt>
                <c:pt idx="44">
                  <c:v>2651600.2857142859</c:v>
                </c:pt>
                <c:pt idx="45">
                  <c:v>2638378.5714285714</c:v>
                </c:pt>
                <c:pt idx="46">
                  <c:v>2645768.2857142859</c:v>
                </c:pt>
                <c:pt idx="47">
                  <c:v>2654061.7142857141</c:v>
                </c:pt>
                <c:pt idx="48">
                  <c:v>2651103.4285714286</c:v>
                </c:pt>
                <c:pt idx="49">
                  <c:v>2679186.7142857141</c:v>
                </c:pt>
                <c:pt idx="50">
                  <c:v>2737008.1428571427</c:v>
                </c:pt>
                <c:pt idx="51">
                  <c:v>2729825.4285714286</c:v>
                </c:pt>
                <c:pt idx="52">
                  <c:v>2761034</c:v>
                </c:pt>
                <c:pt idx="53">
                  <c:v>2736030.1428571427</c:v>
                </c:pt>
                <c:pt idx="54">
                  <c:v>2710162</c:v>
                </c:pt>
                <c:pt idx="55">
                  <c:v>2692281</c:v>
                </c:pt>
                <c:pt idx="56">
                  <c:v>2674090.2857142859</c:v>
                </c:pt>
                <c:pt idx="57">
                  <c:v>2621453</c:v>
                </c:pt>
                <c:pt idx="58">
                  <c:v>2658531.1428571427</c:v>
                </c:pt>
                <c:pt idx="59">
                  <c:v>2652157.2857142859</c:v>
                </c:pt>
                <c:pt idx="60">
                  <c:v>2650841</c:v>
                </c:pt>
                <c:pt idx="61">
                  <c:v>2649376.2857142859</c:v>
                </c:pt>
                <c:pt idx="62">
                  <c:v>2675999.1428571427</c:v>
                </c:pt>
                <c:pt idx="63">
                  <c:v>2727644.7142857141</c:v>
                </c:pt>
                <c:pt idx="64">
                  <c:v>2780426</c:v>
                </c:pt>
                <c:pt idx="65">
                  <c:v>2770596.7142857141</c:v>
                </c:pt>
                <c:pt idx="66">
                  <c:v>2781848.7142857141</c:v>
                </c:pt>
                <c:pt idx="67">
                  <c:v>2816392.5714285714</c:v>
                </c:pt>
                <c:pt idx="68">
                  <c:v>2859635</c:v>
                </c:pt>
                <c:pt idx="69">
                  <c:v>2872618.7142857141</c:v>
                </c:pt>
                <c:pt idx="70">
                  <c:v>2879769</c:v>
                </c:pt>
                <c:pt idx="71">
                  <c:v>2922721</c:v>
                </c:pt>
                <c:pt idx="72">
                  <c:v>2965770.4285714286</c:v>
                </c:pt>
                <c:pt idx="73">
                  <c:v>2966120.2857142859</c:v>
                </c:pt>
                <c:pt idx="74">
                  <c:v>2931069.5714285714</c:v>
                </c:pt>
                <c:pt idx="75">
                  <c:v>2941165.2857142859</c:v>
                </c:pt>
                <c:pt idx="76">
                  <c:v>2953709.2857142859</c:v>
                </c:pt>
                <c:pt idx="77">
                  <c:v>2983616.2857142859</c:v>
                </c:pt>
                <c:pt idx="78">
                  <c:v>2928937.4285714286</c:v>
                </c:pt>
                <c:pt idx="79">
                  <c:v>2874328.8571428573</c:v>
                </c:pt>
                <c:pt idx="80">
                  <c:v>2886063.8571428573</c:v>
                </c:pt>
                <c:pt idx="81">
                  <c:v>2896990.4285714286</c:v>
                </c:pt>
                <c:pt idx="82">
                  <c:v>2892046.7142857141</c:v>
                </c:pt>
                <c:pt idx="83">
                  <c:v>2886657.8571428573</c:v>
                </c:pt>
                <c:pt idx="84">
                  <c:v>2823776.2857142859</c:v>
                </c:pt>
                <c:pt idx="85">
                  <c:v>2829934.7142857141</c:v>
                </c:pt>
                <c:pt idx="86">
                  <c:v>2827310.8571428573</c:v>
                </c:pt>
                <c:pt idx="87">
                  <c:v>2821902.7142857141</c:v>
                </c:pt>
                <c:pt idx="88">
                  <c:v>2797905.5714285714</c:v>
                </c:pt>
                <c:pt idx="89">
                  <c:v>2447413.4285714286</c:v>
                </c:pt>
                <c:pt idx="90">
                  <c:v>2443806.1428571427</c:v>
                </c:pt>
                <c:pt idx="91">
                  <c:v>2449785</c:v>
                </c:pt>
                <c:pt idx="92">
                  <c:v>2462086</c:v>
                </c:pt>
                <c:pt idx="93">
                  <c:v>2460395.4285714286</c:v>
                </c:pt>
                <c:pt idx="94">
                  <c:v>2466166.1428571427</c:v>
                </c:pt>
                <c:pt idx="95">
                  <c:v>2498352.2857142859</c:v>
                </c:pt>
                <c:pt idx="96">
                  <c:v>2841905</c:v>
                </c:pt>
                <c:pt idx="97">
                  <c:v>2826263.4285714286</c:v>
                </c:pt>
                <c:pt idx="98">
                  <c:v>2826949.8571428573</c:v>
                </c:pt>
                <c:pt idx="99">
                  <c:v>2817270.4285714286</c:v>
                </c:pt>
                <c:pt idx="100">
                  <c:v>2821911.4285714286</c:v>
                </c:pt>
                <c:pt idx="101">
                  <c:v>2815423.8571428573</c:v>
                </c:pt>
                <c:pt idx="102">
                  <c:v>2811560.2857142859</c:v>
                </c:pt>
                <c:pt idx="103">
                  <c:v>2818717.1428571427</c:v>
                </c:pt>
                <c:pt idx="104">
                  <c:v>2807416.7142857141</c:v>
                </c:pt>
                <c:pt idx="105">
                  <c:v>2811979.8571428573</c:v>
                </c:pt>
                <c:pt idx="106">
                  <c:v>2762411.1428571427</c:v>
                </c:pt>
                <c:pt idx="107">
                  <c:v>2745329.4285714286</c:v>
                </c:pt>
                <c:pt idx="108">
                  <c:v>2740979.8571428573</c:v>
                </c:pt>
                <c:pt idx="109">
                  <c:v>2723437.1428571427</c:v>
                </c:pt>
                <c:pt idx="110">
                  <c:v>2675865.5714285714</c:v>
                </c:pt>
                <c:pt idx="111">
                  <c:v>2683049</c:v>
                </c:pt>
                <c:pt idx="112">
                  <c:v>2653429.7142857141</c:v>
                </c:pt>
                <c:pt idx="113">
                  <c:v>2656927</c:v>
                </c:pt>
                <c:pt idx="114">
                  <c:v>2626910.4285714286</c:v>
                </c:pt>
                <c:pt idx="115">
                  <c:v>2619754.7142857141</c:v>
                </c:pt>
                <c:pt idx="116">
                  <c:v>2626787.5714285714</c:v>
                </c:pt>
                <c:pt idx="117">
                  <c:v>2629695.4285714286</c:v>
                </c:pt>
                <c:pt idx="118">
                  <c:v>2606570.7142857141</c:v>
                </c:pt>
                <c:pt idx="119">
                  <c:v>2599771</c:v>
                </c:pt>
                <c:pt idx="120">
                  <c:v>2594409.7142857141</c:v>
                </c:pt>
                <c:pt idx="121">
                  <c:v>2611354</c:v>
                </c:pt>
                <c:pt idx="122">
                  <c:v>2600468.7142857141</c:v>
                </c:pt>
                <c:pt idx="123">
                  <c:v>2618553.5714285714</c:v>
                </c:pt>
                <c:pt idx="124">
                  <c:v>2620281</c:v>
                </c:pt>
                <c:pt idx="125">
                  <c:v>2612530</c:v>
                </c:pt>
                <c:pt idx="126">
                  <c:v>2609073.4285714286</c:v>
                </c:pt>
                <c:pt idx="127">
                  <c:v>2571718.5714285714</c:v>
                </c:pt>
                <c:pt idx="128">
                  <c:v>2475697.8571428573</c:v>
                </c:pt>
                <c:pt idx="129">
                  <c:v>2496191.4285714286</c:v>
                </c:pt>
                <c:pt idx="130">
                  <c:v>2438560.8571428573</c:v>
                </c:pt>
                <c:pt idx="131">
                  <c:v>2437266.4285714286</c:v>
                </c:pt>
                <c:pt idx="132">
                  <c:v>2497519.2857142859</c:v>
                </c:pt>
                <c:pt idx="133">
                  <c:v>2492599.5714285714</c:v>
                </c:pt>
                <c:pt idx="134">
                  <c:v>2517351.1428571427</c:v>
                </c:pt>
                <c:pt idx="135">
                  <c:v>2593377.1428571427</c:v>
                </c:pt>
                <c:pt idx="136">
                  <c:v>2586744.4285714286</c:v>
                </c:pt>
                <c:pt idx="137">
                  <c:v>2634996</c:v>
                </c:pt>
                <c:pt idx="138">
                  <c:v>2649671.7142857141</c:v>
                </c:pt>
                <c:pt idx="139">
                  <c:v>2612012.8571428573</c:v>
                </c:pt>
                <c:pt idx="140">
                  <c:v>2615626.4285714286</c:v>
                </c:pt>
                <c:pt idx="141">
                  <c:v>2626366</c:v>
                </c:pt>
                <c:pt idx="142">
                  <c:v>2639620.7142857141</c:v>
                </c:pt>
                <c:pt idx="143">
                  <c:v>2618613</c:v>
                </c:pt>
                <c:pt idx="144">
                  <c:v>2609513.5714285714</c:v>
                </c:pt>
                <c:pt idx="145">
                  <c:v>2596065.1428571427</c:v>
                </c:pt>
                <c:pt idx="146">
                  <c:v>2568612.4285714286</c:v>
                </c:pt>
                <c:pt idx="147">
                  <c:v>2569582.7142857141</c:v>
                </c:pt>
                <c:pt idx="148">
                  <c:v>2577034</c:v>
                </c:pt>
                <c:pt idx="149">
                  <c:v>2588596.8571428573</c:v>
                </c:pt>
                <c:pt idx="150">
                  <c:v>2591771</c:v>
                </c:pt>
                <c:pt idx="151">
                  <c:v>2622751.1428571427</c:v>
                </c:pt>
                <c:pt idx="152">
                  <c:v>2643226.1428571427</c:v>
                </c:pt>
                <c:pt idx="153">
                  <c:v>2675812.7142857141</c:v>
                </c:pt>
                <c:pt idx="154">
                  <c:v>2678116.1428571427</c:v>
                </c:pt>
                <c:pt idx="155">
                  <c:v>2684346.7142857141</c:v>
                </c:pt>
                <c:pt idx="156">
                  <c:v>2705978.8571428573</c:v>
                </c:pt>
                <c:pt idx="157">
                  <c:v>2710113.1428571427</c:v>
                </c:pt>
                <c:pt idx="158">
                  <c:v>2703950.1428571427</c:v>
                </c:pt>
                <c:pt idx="159">
                  <c:v>2705789.2857142859</c:v>
                </c:pt>
                <c:pt idx="160">
                  <c:v>2691637.2857142859</c:v>
                </c:pt>
                <c:pt idx="161">
                  <c:v>2708723</c:v>
                </c:pt>
                <c:pt idx="162">
                  <c:v>2724968.8571428573</c:v>
                </c:pt>
                <c:pt idx="163">
                  <c:v>2721613.7142857141</c:v>
                </c:pt>
                <c:pt idx="164">
                  <c:v>2726907.5714285714</c:v>
                </c:pt>
                <c:pt idx="165">
                  <c:v>2725527.8571428573</c:v>
                </c:pt>
                <c:pt idx="166">
                  <c:v>2729454.4285714286</c:v>
                </c:pt>
                <c:pt idx="167">
                  <c:v>2749819.1428571427</c:v>
                </c:pt>
                <c:pt idx="168">
                  <c:v>2743171.7142857141</c:v>
                </c:pt>
                <c:pt idx="169">
                  <c:v>2755090.8571428573</c:v>
                </c:pt>
                <c:pt idx="170">
                  <c:v>2743379.1428571427</c:v>
                </c:pt>
                <c:pt idx="171">
                  <c:v>2752602.2857142859</c:v>
                </c:pt>
                <c:pt idx="172">
                  <c:v>2747279.1428571427</c:v>
                </c:pt>
                <c:pt idx="173">
                  <c:v>2751223.8571428573</c:v>
                </c:pt>
                <c:pt idx="174">
                  <c:v>2726374</c:v>
                </c:pt>
                <c:pt idx="175">
                  <c:v>2712346.8571428573</c:v>
                </c:pt>
                <c:pt idx="176">
                  <c:v>2673589.1428571427</c:v>
                </c:pt>
                <c:pt idx="177">
                  <c:v>2652214</c:v>
                </c:pt>
                <c:pt idx="178">
                  <c:v>2645018.5714285714</c:v>
                </c:pt>
                <c:pt idx="179">
                  <c:v>2667473.8571428573</c:v>
                </c:pt>
                <c:pt idx="180">
                  <c:v>2657408.2857142859</c:v>
                </c:pt>
                <c:pt idx="181">
                  <c:v>2688837.4285714286</c:v>
                </c:pt>
                <c:pt idx="182">
                  <c:v>2704120.5714285714</c:v>
                </c:pt>
                <c:pt idx="183">
                  <c:v>2721203.4285714286</c:v>
                </c:pt>
                <c:pt idx="184">
                  <c:v>2737796.5714285714</c:v>
                </c:pt>
                <c:pt idx="185">
                  <c:v>2737532</c:v>
                </c:pt>
                <c:pt idx="186">
                  <c:v>2695368.8571428573</c:v>
                </c:pt>
                <c:pt idx="187">
                  <c:v>2391643</c:v>
                </c:pt>
                <c:pt idx="188">
                  <c:v>2387102.1428571427</c:v>
                </c:pt>
                <c:pt idx="189">
                  <c:v>2406863.5714285714</c:v>
                </c:pt>
                <c:pt idx="190">
                  <c:v>2424598.8571428573</c:v>
                </c:pt>
                <c:pt idx="191">
                  <c:v>2435999.2857142859</c:v>
                </c:pt>
                <c:pt idx="192">
                  <c:v>2440474.5714285714</c:v>
                </c:pt>
                <c:pt idx="193">
                  <c:v>2491422.4285714286</c:v>
                </c:pt>
                <c:pt idx="194">
                  <c:v>2812489</c:v>
                </c:pt>
                <c:pt idx="195">
                  <c:v>2846481.2857142859</c:v>
                </c:pt>
                <c:pt idx="196">
                  <c:v>2891508.5714285714</c:v>
                </c:pt>
                <c:pt idx="197">
                  <c:v>2940800.7142857141</c:v>
                </c:pt>
                <c:pt idx="198">
                  <c:v>2920141.8571428573</c:v>
                </c:pt>
                <c:pt idx="199">
                  <c:v>2912388.7142857141</c:v>
                </c:pt>
                <c:pt idx="200">
                  <c:v>2910002.7142857141</c:v>
                </c:pt>
                <c:pt idx="201">
                  <c:v>2909938</c:v>
                </c:pt>
                <c:pt idx="202">
                  <c:v>2873397.1428571427</c:v>
                </c:pt>
                <c:pt idx="203">
                  <c:v>2859834.7142857141</c:v>
                </c:pt>
                <c:pt idx="204">
                  <c:v>2790957.1428571427</c:v>
                </c:pt>
                <c:pt idx="205">
                  <c:v>2799795</c:v>
                </c:pt>
                <c:pt idx="206">
                  <c:v>2800656.4285714286</c:v>
                </c:pt>
                <c:pt idx="207">
                  <c:v>2776540.2857142859</c:v>
                </c:pt>
                <c:pt idx="208">
                  <c:v>2746457.2857142859</c:v>
                </c:pt>
                <c:pt idx="209">
                  <c:v>2729497.2857142859</c:v>
                </c:pt>
                <c:pt idx="210">
                  <c:v>2698630.2857142859</c:v>
                </c:pt>
                <c:pt idx="211">
                  <c:v>2718890</c:v>
                </c:pt>
                <c:pt idx="212">
                  <c:v>2733107.2857142859</c:v>
                </c:pt>
                <c:pt idx="213">
                  <c:v>2733692.8571428573</c:v>
                </c:pt>
                <c:pt idx="214">
                  <c:v>2718355.8571428573</c:v>
                </c:pt>
                <c:pt idx="215">
                  <c:v>2693505.5714285714</c:v>
                </c:pt>
                <c:pt idx="216">
                  <c:v>2706688</c:v>
                </c:pt>
                <c:pt idx="217">
                  <c:v>2711941.2857142859</c:v>
                </c:pt>
                <c:pt idx="218">
                  <c:v>2679745.4285714286</c:v>
                </c:pt>
                <c:pt idx="219">
                  <c:v>2658094.7142857141</c:v>
                </c:pt>
                <c:pt idx="220">
                  <c:v>2656264.2857142859</c:v>
                </c:pt>
                <c:pt idx="221">
                  <c:v>2677357.8571428573</c:v>
                </c:pt>
                <c:pt idx="222">
                  <c:v>2706167.2857142859</c:v>
                </c:pt>
                <c:pt idx="223">
                  <c:v>2721113.5714285714</c:v>
                </c:pt>
                <c:pt idx="224">
                  <c:v>2733148.1428571427</c:v>
                </c:pt>
                <c:pt idx="225">
                  <c:v>2769271.4285714286</c:v>
                </c:pt>
                <c:pt idx="226">
                  <c:v>2784291.5714285714</c:v>
                </c:pt>
                <c:pt idx="227">
                  <c:v>2794538.1428571427</c:v>
                </c:pt>
                <c:pt idx="228">
                  <c:v>2797872.5714285714</c:v>
                </c:pt>
                <c:pt idx="229">
                  <c:v>2808933.1428571427</c:v>
                </c:pt>
                <c:pt idx="230">
                  <c:v>2825566.5714285714</c:v>
                </c:pt>
                <c:pt idx="231">
                  <c:v>2809830</c:v>
                </c:pt>
                <c:pt idx="232">
                  <c:v>2839829</c:v>
                </c:pt>
                <c:pt idx="233">
                  <c:v>2839503.7142857141</c:v>
                </c:pt>
                <c:pt idx="234">
                  <c:v>2795942.8571428573</c:v>
                </c:pt>
                <c:pt idx="235">
                  <c:v>2821006.1428571427</c:v>
                </c:pt>
                <c:pt idx="236">
                  <c:v>2841264</c:v>
                </c:pt>
                <c:pt idx="237">
                  <c:v>2802176.7142857141</c:v>
                </c:pt>
                <c:pt idx="238">
                  <c:v>2841041.4285714286</c:v>
                </c:pt>
                <c:pt idx="239">
                  <c:v>2805610.2857142859</c:v>
                </c:pt>
                <c:pt idx="240">
                  <c:v>2973865.4285714286</c:v>
                </c:pt>
                <c:pt idx="241">
                  <c:v>3077991.1428571427</c:v>
                </c:pt>
                <c:pt idx="242">
                  <c:v>3158088.2857142859</c:v>
                </c:pt>
                <c:pt idx="243">
                  <c:v>3268278.8571428573</c:v>
                </c:pt>
                <c:pt idx="244">
                  <c:v>3410197.2857142859</c:v>
                </c:pt>
                <c:pt idx="245">
                  <c:v>3567457.7142857141</c:v>
                </c:pt>
                <c:pt idx="246">
                  <c:v>3672753.8571428573</c:v>
                </c:pt>
                <c:pt idx="247">
                  <c:v>3621633.4285714286</c:v>
                </c:pt>
                <c:pt idx="248">
                  <c:v>3609295.5714285714</c:v>
                </c:pt>
                <c:pt idx="249">
                  <c:v>3652714</c:v>
                </c:pt>
                <c:pt idx="250">
                  <c:v>3691994.7142857141</c:v>
                </c:pt>
                <c:pt idx="251">
                  <c:v>3709698.2857142859</c:v>
                </c:pt>
                <c:pt idx="252">
                  <c:v>3645979.2857142859</c:v>
                </c:pt>
                <c:pt idx="253">
                  <c:v>3753181.2857142859</c:v>
                </c:pt>
                <c:pt idx="254">
                  <c:v>3992644.1428571427</c:v>
                </c:pt>
                <c:pt idx="255">
                  <c:v>4044513.7142857141</c:v>
                </c:pt>
                <c:pt idx="256">
                  <c:v>4064020</c:v>
                </c:pt>
                <c:pt idx="257">
                  <c:v>4074671.1428571427</c:v>
                </c:pt>
                <c:pt idx="258">
                  <c:v>4072776.8571428573</c:v>
                </c:pt>
                <c:pt idx="259">
                  <c:v>4023504</c:v>
                </c:pt>
                <c:pt idx="260">
                  <c:v>3952771.4285714286</c:v>
                </c:pt>
                <c:pt idx="261">
                  <c:v>3905719.5714285714</c:v>
                </c:pt>
                <c:pt idx="262">
                  <c:v>3899174</c:v>
                </c:pt>
                <c:pt idx="263">
                  <c:v>3932957.8571428573</c:v>
                </c:pt>
                <c:pt idx="264">
                  <c:v>3959524.4285714286</c:v>
                </c:pt>
                <c:pt idx="265">
                  <c:v>3984006.5714285714</c:v>
                </c:pt>
                <c:pt idx="266">
                  <c:v>4061940</c:v>
                </c:pt>
                <c:pt idx="267">
                  <c:v>4049552.8571428573</c:v>
                </c:pt>
                <c:pt idx="268">
                  <c:v>3964496.5714285714</c:v>
                </c:pt>
                <c:pt idx="269">
                  <c:v>3905158.7142857141</c:v>
                </c:pt>
                <c:pt idx="270">
                  <c:v>3808729.7142857141</c:v>
                </c:pt>
                <c:pt idx="271">
                  <c:v>3726279.7142857141</c:v>
                </c:pt>
                <c:pt idx="272">
                  <c:v>3661356.4285714286</c:v>
                </c:pt>
                <c:pt idx="273">
                  <c:v>3640686.1428571427</c:v>
                </c:pt>
                <c:pt idx="274">
                  <c:v>3317792.4285714286</c:v>
                </c:pt>
                <c:pt idx="275">
                  <c:v>3120355.2857142859</c:v>
                </c:pt>
                <c:pt idx="276">
                  <c:v>3125240.2857142859</c:v>
                </c:pt>
                <c:pt idx="277">
                  <c:v>3119480.7142857141</c:v>
                </c:pt>
                <c:pt idx="278">
                  <c:v>3118033.2857142859</c:v>
                </c:pt>
                <c:pt idx="279">
                  <c:v>3208151.7142857141</c:v>
                </c:pt>
                <c:pt idx="280">
                  <c:v>3283237.2857142859</c:v>
                </c:pt>
                <c:pt idx="281">
                  <c:v>3688480.7142857141</c:v>
                </c:pt>
                <c:pt idx="282">
                  <c:v>3800353.7142857141</c:v>
                </c:pt>
                <c:pt idx="283">
                  <c:v>3813947.7142857141</c:v>
                </c:pt>
                <c:pt idx="284">
                  <c:v>3854343.8571428573</c:v>
                </c:pt>
                <c:pt idx="285">
                  <c:v>3973659.4285714286</c:v>
                </c:pt>
                <c:pt idx="286">
                  <c:v>4027625.8571428573</c:v>
                </c:pt>
                <c:pt idx="287">
                  <c:v>3986980.7142857141</c:v>
                </c:pt>
                <c:pt idx="288">
                  <c:v>3960577.7142857141</c:v>
                </c:pt>
                <c:pt idx="289">
                  <c:v>3942657.8571428573</c:v>
                </c:pt>
                <c:pt idx="290">
                  <c:v>3925285.5714285714</c:v>
                </c:pt>
                <c:pt idx="291">
                  <c:v>3987730.8571428573</c:v>
                </c:pt>
                <c:pt idx="292">
                  <c:v>3940163.4285714286</c:v>
                </c:pt>
                <c:pt idx="293">
                  <c:v>3913788.1428571427</c:v>
                </c:pt>
                <c:pt idx="294">
                  <c:v>3932096.5714285714</c:v>
                </c:pt>
                <c:pt idx="295">
                  <c:v>3951016.1428571427</c:v>
                </c:pt>
                <c:pt idx="296">
                  <c:v>3943503.7142857141</c:v>
                </c:pt>
                <c:pt idx="297">
                  <c:v>3987511.5714285714</c:v>
                </c:pt>
                <c:pt idx="298">
                  <c:v>3924554.7142857141</c:v>
                </c:pt>
                <c:pt idx="299">
                  <c:v>3882770.5714285714</c:v>
                </c:pt>
                <c:pt idx="300">
                  <c:v>3817547.7142857141</c:v>
                </c:pt>
                <c:pt idx="301">
                  <c:v>3481304.4285714286</c:v>
                </c:pt>
                <c:pt idx="302">
                  <c:v>3084235.1428571427</c:v>
                </c:pt>
                <c:pt idx="303">
                  <c:v>3053501.1428571427</c:v>
                </c:pt>
                <c:pt idx="304">
                  <c:v>3060079.8571428573</c:v>
                </c:pt>
                <c:pt idx="305">
                  <c:v>3144150.4285714286</c:v>
                </c:pt>
                <c:pt idx="306">
                  <c:v>3184663.7142857141</c:v>
                </c:pt>
                <c:pt idx="307">
                  <c:v>3213914.1428571427</c:v>
                </c:pt>
                <c:pt idx="308">
                  <c:v>3224191.8571428573</c:v>
                </c:pt>
                <c:pt idx="309">
                  <c:v>3221427.1428571427</c:v>
                </c:pt>
                <c:pt idx="310">
                  <c:v>3341190.7142857141</c:v>
                </c:pt>
                <c:pt idx="311">
                  <c:v>3337250.2857142859</c:v>
                </c:pt>
                <c:pt idx="312">
                  <c:v>3282128.4285714286</c:v>
                </c:pt>
                <c:pt idx="313">
                  <c:v>3357644.8571428573</c:v>
                </c:pt>
                <c:pt idx="314">
                  <c:v>3447307</c:v>
                </c:pt>
                <c:pt idx="315">
                  <c:v>3844375</c:v>
                </c:pt>
                <c:pt idx="316">
                  <c:v>4302727.1428571427</c:v>
                </c:pt>
                <c:pt idx="317">
                  <c:v>4392673.4285714282</c:v>
                </c:pt>
                <c:pt idx="318">
                  <c:v>4348297.4285714282</c:v>
                </c:pt>
                <c:pt idx="319">
                  <c:v>4372140</c:v>
                </c:pt>
                <c:pt idx="320">
                  <c:v>4318663.2857142854</c:v>
                </c:pt>
                <c:pt idx="321">
                  <c:v>4306898.7142857146</c:v>
                </c:pt>
                <c:pt idx="322">
                  <c:v>4266616.7142857146</c:v>
                </c:pt>
                <c:pt idx="323">
                  <c:v>4243685.2857142854</c:v>
                </c:pt>
                <c:pt idx="324">
                  <c:v>4108058.4285714286</c:v>
                </c:pt>
                <c:pt idx="325">
                  <c:v>4179093.4285714286</c:v>
                </c:pt>
                <c:pt idx="326">
                  <c:v>4187497.7142857141</c:v>
                </c:pt>
                <c:pt idx="327">
                  <c:v>4219673.8571428573</c:v>
                </c:pt>
                <c:pt idx="328">
                  <c:v>4197919.8571428573</c:v>
                </c:pt>
                <c:pt idx="329">
                  <c:v>4149162.1428571427</c:v>
                </c:pt>
                <c:pt idx="330">
                  <c:v>4072273.2857142859</c:v>
                </c:pt>
                <c:pt idx="331">
                  <c:v>4035924.1428571427</c:v>
                </c:pt>
                <c:pt idx="332">
                  <c:v>4011254.1428571427</c:v>
                </c:pt>
                <c:pt idx="333">
                  <c:v>3975350.5714285714</c:v>
                </c:pt>
                <c:pt idx="334">
                  <c:v>3953503.5714285714</c:v>
                </c:pt>
                <c:pt idx="335">
                  <c:v>3936061.7142857141</c:v>
                </c:pt>
                <c:pt idx="336">
                  <c:v>3937186.5714285714</c:v>
                </c:pt>
                <c:pt idx="337">
                  <c:v>3975919.2857142859</c:v>
                </c:pt>
                <c:pt idx="338">
                  <c:v>3969901.7142857141</c:v>
                </c:pt>
                <c:pt idx="339">
                  <c:v>3946769.7142857141</c:v>
                </c:pt>
                <c:pt idx="340">
                  <c:v>3968880.4285714286</c:v>
                </c:pt>
                <c:pt idx="341">
                  <c:v>3976967</c:v>
                </c:pt>
                <c:pt idx="342">
                  <c:v>3996852.5714285714</c:v>
                </c:pt>
                <c:pt idx="343">
                  <c:v>4016012.8571428573</c:v>
                </c:pt>
                <c:pt idx="344">
                  <c:v>4003437.1428571427</c:v>
                </c:pt>
                <c:pt idx="345">
                  <c:v>4027651.7142857141</c:v>
                </c:pt>
                <c:pt idx="346">
                  <c:v>4007865</c:v>
                </c:pt>
                <c:pt idx="347">
                  <c:v>3957421.7142857141</c:v>
                </c:pt>
                <c:pt idx="348">
                  <c:v>3919036.2857142859</c:v>
                </c:pt>
                <c:pt idx="349">
                  <c:v>3891813.7142857141</c:v>
                </c:pt>
                <c:pt idx="350">
                  <c:v>3895578.1428571427</c:v>
                </c:pt>
                <c:pt idx="351">
                  <c:v>3918668.2857142859</c:v>
                </c:pt>
                <c:pt idx="352">
                  <c:v>3917940.4285714286</c:v>
                </c:pt>
                <c:pt idx="353">
                  <c:v>3916436.8571428573</c:v>
                </c:pt>
                <c:pt idx="354">
                  <c:v>3959992</c:v>
                </c:pt>
                <c:pt idx="355">
                  <c:v>3976036.2857142859</c:v>
                </c:pt>
                <c:pt idx="356">
                  <c:v>3969050.2857142859</c:v>
                </c:pt>
                <c:pt idx="357">
                  <c:v>3967816.1428571427</c:v>
                </c:pt>
                <c:pt idx="358">
                  <c:v>3967640</c:v>
                </c:pt>
                <c:pt idx="359">
                  <c:v>3980966.1428571427</c:v>
                </c:pt>
                <c:pt idx="360">
                  <c:v>4035233.4285714286</c:v>
                </c:pt>
                <c:pt idx="361">
                  <c:v>3982766.1428571427</c:v>
                </c:pt>
                <c:pt idx="362">
                  <c:v>3969992.7142857141</c:v>
                </c:pt>
                <c:pt idx="363">
                  <c:v>3985027.7142857141</c:v>
                </c:pt>
                <c:pt idx="364">
                  <c:v>3965682.8571428573</c:v>
                </c:pt>
                <c:pt idx="365">
                  <c:v>3376013.7142857141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9E4-3C4E-9B6B-B29A7CE63F60}"/>
            </c:ext>
          </c:extLst>
        </c:ser>
        <c:ser>
          <c:idx val="2"/>
          <c:order val="2"/>
          <c:tx>
            <c:strRef>
              <c:f>'Daily Velocity'!$E$3</c:f>
              <c:strCache>
                <c:ptCount val="1"/>
                <c:pt idx="0">
                  <c:v>30-Day Moving Avg</c:v>
                </c:pt>
              </c:strCache>
            </c:strRef>
          </c:tx>
          <c:spPr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'Daily Velocity'!$A$4:$A$369</c:f>
              <c:numCache>
                <c:formatCode>yyyy\-mm\-dd</c:formatCode>
                <c:ptCount val="366"/>
                <c:pt idx="0">
                  <c:v>45714</c:v>
                </c:pt>
                <c:pt idx="1">
                  <c:v>45715</c:v>
                </c:pt>
                <c:pt idx="2">
                  <c:v>45716</c:v>
                </c:pt>
                <c:pt idx="3">
                  <c:v>45717</c:v>
                </c:pt>
                <c:pt idx="4">
                  <c:v>45718</c:v>
                </c:pt>
                <c:pt idx="5">
                  <c:v>45719</c:v>
                </c:pt>
                <c:pt idx="6">
                  <c:v>45720</c:v>
                </c:pt>
                <c:pt idx="7">
                  <c:v>45721</c:v>
                </c:pt>
                <c:pt idx="8">
                  <c:v>45722</c:v>
                </c:pt>
                <c:pt idx="9">
                  <c:v>45723</c:v>
                </c:pt>
                <c:pt idx="10">
                  <c:v>45724</c:v>
                </c:pt>
                <c:pt idx="11">
                  <c:v>45725</c:v>
                </c:pt>
                <c:pt idx="12">
                  <c:v>45726</c:v>
                </c:pt>
                <c:pt idx="13">
                  <c:v>45727</c:v>
                </c:pt>
                <c:pt idx="14">
                  <c:v>45728</c:v>
                </c:pt>
                <c:pt idx="15">
                  <c:v>45729</c:v>
                </c:pt>
                <c:pt idx="16">
                  <c:v>45730</c:v>
                </c:pt>
                <c:pt idx="17">
                  <c:v>45731</c:v>
                </c:pt>
                <c:pt idx="18">
                  <c:v>45732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45738</c:v>
                </c:pt>
                <c:pt idx="25">
                  <c:v>45739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45745</c:v>
                </c:pt>
                <c:pt idx="32">
                  <c:v>45746</c:v>
                </c:pt>
                <c:pt idx="33">
                  <c:v>45747</c:v>
                </c:pt>
                <c:pt idx="34">
                  <c:v>45748</c:v>
                </c:pt>
                <c:pt idx="35">
                  <c:v>45749</c:v>
                </c:pt>
                <c:pt idx="36">
                  <c:v>45750</c:v>
                </c:pt>
                <c:pt idx="37">
                  <c:v>45751</c:v>
                </c:pt>
                <c:pt idx="38">
                  <c:v>45752</c:v>
                </c:pt>
                <c:pt idx="39">
                  <c:v>45753</c:v>
                </c:pt>
                <c:pt idx="40">
                  <c:v>45754</c:v>
                </c:pt>
                <c:pt idx="41">
                  <c:v>45755</c:v>
                </c:pt>
                <c:pt idx="42">
                  <c:v>45756</c:v>
                </c:pt>
                <c:pt idx="43">
                  <c:v>45757</c:v>
                </c:pt>
                <c:pt idx="44">
                  <c:v>45758</c:v>
                </c:pt>
                <c:pt idx="45">
                  <c:v>45759</c:v>
                </c:pt>
                <c:pt idx="46">
                  <c:v>45760</c:v>
                </c:pt>
                <c:pt idx="47">
                  <c:v>45761</c:v>
                </c:pt>
                <c:pt idx="48">
                  <c:v>45762</c:v>
                </c:pt>
                <c:pt idx="49">
                  <c:v>45763</c:v>
                </c:pt>
                <c:pt idx="50">
                  <c:v>45764</c:v>
                </c:pt>
                <c:pt idx="51">
                  <c:v>45765</c:v>
                </c:pt>
                <c:pt idx="52">
                  <c:v>45766</c:v>
                </c:pt>
                <c:pt idx="53">
                  <c:v>45767</c:v>
                </c:pt>
                <c:pt idx="54">
                  <c:v>45768</c:v>
                </c:pt>
                <c:pt idx="55">
                  <c:v>45769</c:v>
                </c:pt>
                <c:pt idx="56">
                  <c:v>45770</c:v>
                </c:pt>
                <c:pt idx="57">
                  <c:v>45771</c:v>
                </c:pt>
                <c:pt idx="58">
                  <c:v>45772</c:v>
                </c:pt>
                <c:pt idx="59">
                  <c:v>45773</c:v>
                </c:pt>
                <c:pt idx="60">
                  <c:v>45774</c:v>
                </c:pt>
                <c:pt idx="61">
                  <c:v>45775</c:v>
                </c:pt>
                <c:pt idx="62">
                  <c:v>45776</c:v>
                </c:pt>
                <c:pt idx="63">
                  <c:v>45777</c:v>
                </c:pt>
                <c:pt idx="64">
                  <c:v>45778</c:v>
                </c:pt>
                <c:pt idx="65">
                  <c:v>45779</c:v>
                </c:pt>
                <c:pt idx="66">
                  <c:v>45780</c:v>
                </c:pt>
                <c:pt idx="67">
                  <c:v>45781</c:v>
                </c:pt>
                <c:pt idx="68">
                  <c:v>45782</c:v>
                </c:pt>
                <c:pt idx="69">
                  <c:v>45783</c:v>
                </c:pt>
                <c:pt idx="70">
                  <c:v>45784</c:v>
                </c:pt>
                <c:pt idx="71">
                  <c:v>45785</c:v>
                </c:pt>
                <c:pt idx="72">
                  <c:v>45786</c:v>
                </c:pt>
                <c:pt idx="73">
                  <c:v>45787</c:v>
                </c:pt>
                <c:pt idx="74">
                  <c:v>45788</c:v>
                </c:pt>
                <c:pt idx="75">
                  <c:v>45789</c:v>
                </c:pt>
                <c:pt idx="76">
                  <c:v>45790</c:v>
                </c:pt>
                <c:pt idx="77">
                  <c:v>45791</c:v>
                </c:pt>
                <c:pt idx="78">
                  <c:v>45792</c:v>
                </c:pt>
                <c:pt idx="79">
                  <c:v>45793</c:v>
                </c:pt>
                <c:pt idx="80">
                  <c:v>45794</c:v>
                </c:pt>
                <c:pt idx="81">
                  <c:v>45795</c:v>
                </c:pt>
                <c:pt idx="82">
                  <c:v>45796</c:v>
                </c:pt>
                <c:pt idx="83">
                  <c:v>45797</c:v>
                </c:pt>
                <c:pt idx="84">
                  <c:v>45798</c:v>
                </c:pt>
                <c:pt idx="85">
                  <c:v>45799</c:v>
                </c:pt>
                <c:pt idx="86">
                  <c:v>45800</c:v>
                </c:pt>
                <c:pt idx="87">
                  <c:v>45801</c:v>
                </c:pt>
                <c:pt idx="88">
                  <c:v>45802</c:v>
                </c:pt>
                <c:pt idx="89">
                  <c:v>45803</c:v>
                </c:pt>
                <c:pt idx="90">
                  <c:v>45804</c:v>
                </c:pt>
                <c:pt idx="91">
                  <c:v>45805</c:v>
                </c:pt>
                <c:pt idx="92">
                  <c:v>45806</c:v>
                </c:pt>
                <c:pt idx="93">
                  <c:v>45807</c:v>
                </c:pt>
                <c:pt idx="94">
                  <c:v>45808</c:v>
                </c:pt>
                <c:pt idx="95">
                  <c:v>45809</c:v>
                </c:pt>
                <c:pt idx="96">
                  <c:v>45810</c:v>
                </c:pt>
                <c:pt idx="97">
                  <c:v>45811</c:v>
                </c:pt>
                <c:pt idx="98">
                  <c:v>45812</c:v>
                </c:pt>
                <c:pt idx="99">
                  <c:v>45813</c:v>
                </c:pt>
                <c:pt idx="100">
                  <c:v>45814</c:v>
                </c:pt>
                <c:pt idx="101">
                  <c:v>45815</c:v>
                </c:pt>
                <c:pt idx="102">
                  <c:v>45816</c:v>
                </c:pt>
                <c:pt idx="103">
                  <c:v>45817</c:v>
                </c:pt>
                <c:pt idx="104">
                  <c:v>45818</c:v>
                </c:pt>
                <c:pt idx="105">
                  <c:v>45819</c:v>
                </c:pt>
                <c:pt idx="106">
                  <c:v>45820</c:v>
                </c:pt>
                <c:pt idx="107">
                  <c:v>45821</c:v>
                </c:pt>
                <c:pt idx="108">
                  <c:v>45822</c:v>
                </c:pt>
                <c:pt idx="109">
                  <c:v>45823</c:v>
                </c:pt>
                <c:pt idx="110">
                  <c:v>45824</c:v>
                </c:pt>
                <c:pt idx="111">
                  <c:v>45825</c:v>
                </c:pt>
                <c:pt idx="112">
                  <c:v>45826</c:v>
                </c:pt>
                <c:pt idx="113">
                  <c:v>45827</c:v>
                </c:pt>
                <c:pt idx="114">
                  <c:v>45828</c:v>
                </c:pt>
                <c:pt idx="115">
                  <c:v>45829</c:v>
                </c:pt>
                <c:pt idx="116">
                  <c:v>45830</c:v>
                </c:pt>
                <c:pt idx="117">
                  <c:v>45831</c:v>
                </c:pt>
                <c:pt idx="118">
                  <c:v>45832</c:v>
                </c:pt>
                <c:pt idx="119">
                  <c:v>45833</c:v>
                </c:pt>
                <c:pt idx="120">
                  <c:v>45834</c:v>
                </c:pt>
                <c:pt idx="121">
                  <c:v>45835</c:v>
                </c:pt>
                <c:pt idx="122">
                  <c:v>45836</c:v>
                </c:pt>
                <c:pt idx="123">
                  <c:v>45837</c:v>
                </c:pt>
                <c:pt idx="124">
                  <c:v>45838</c:v>
                </c:pt>
                <c:pt idx="125">
                  <c:v>45839</c:v>
                </c:pt>
                <c:pt idx="126">
                  <c:v>45840</c:v>
                </c:pt>
                <c:pt idx="127">
                  <c:v>45841</c:v>
                </c:pt>
                <c:pt idx="128">
                  <c:v>45842</c:v>
                </c:pt>
                <c:pt idx="129">
                  <c:v>45843</c:v>
                </c:pt>
                <c:pt idx="130">
                  <c:v>45844</c:v>
                </c:pt>
                <c:pt idx="131">
                  <c:v>45845</c:v>
                </c:pt>
                <c:pt idx="132">
                  <c:v>45846</c:v>
                </c:pt>
                <c:pt idx="133">
                  <c:v>45847</c:v>
                </c:pt>
                <c:pt idx="134">
                  <c:v>45848</c:v>
                </c:pt>
                <c:pt idx="135">
                  <c:v>45849</c:v>
                </c:pt>
                <c:pt idx="136">
                  <c:v>45850</c:v>
                </c:pt>
                <c:pt idx="137">
                  <c:v>45851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45857</c:v>
                </c:pt>
                <c:pt idx="144">
                  <c:v>45858</c:v>
                </c:pt>
                <c:pt idx="145">
                  <c:v>45859</c:v>
                </c:pt>
                <c:pt idx="146">
                  <c:v>45860</c:v>
                </c:pt>
                <c:pt idx="147">
                  <c:v>45861</c:v>
                </c:pt>
                <c:pt idx="148">
                  <c:v>45862</c:v>
                </c:pt>
                <c:pt idx="149">
                  <c:v>45863</c:v>
                </c:pt>
                <c:pt idx="150">
                  <c:v>45864</c:v>
                </c:pt>
                <c:pt idx="151">
                  <c:v>45865</c:v>
                </c:pt>
                <c:pt idx="152">
                  <c:v>45866</c:v>
                </c:pt>
                <c:pt idx="153">
                  <c:v>45867</c:v>
                </c:pt>
                <c:pt idx="154">
                  <c:v>45868</c:v>
                </c:pt>
                <c:pt idx="155">
                  <c:v>45869</c:v>
                </c:pt>
                <c:pt idx="156">
                  <c:v>45870</c:v>
                </c:pt>
                <c:pt idx="157">
                  <c:v>45871</c:v>
                </c:pt>
                <c:pt idx="158">
                  <c:v>45872</c:v>
                </c:pt>
                <c:pt idx="159">
                  <c:v>45873</c:v>
                </c:pt>
                <c:pt idx="160">
                  <c:v>45874</c:v>
                </c:pt>
                <c:pt idx="161">
                  <c:v>45875</c:v>
                </c:pt>
                <c:pt idx="162">
                  <c:v>45876</c:v>
                </c:pt>
                <c:pt idx="163">
                  <c:v>45877</c:v>
                </c:pt>
                <c:pt idx="164">
                  <c:v>45878</c:v>
                </c:pt>
                <c:pt idx="165">
                  <c:v>45879</c:v>
                </c:pt>
                <c:pt idx="166">
                  <c:v>45880</c:v>
                </c:pt>
                <c:pt idx="167">
                  <c:v>45881</c:v>
                </c:pt>
                <c:pt idx="168">
                  <c:v>45882</c:v>
                </c:pt>
                <c:pt idx="169">
                  <c:v>45883</c:v>
                </c:pt>
                <c:pt idx="170">
                  <c:v>45884</c:v>
                </c:pt>
                <c:pt idx="171">
                  <c:v>45885</c:v>
                </c:pt>
                <c:pt idx="172">
                  <c:v>45886</c:v>
                </c:pt>
                <c:pt idx="173">
                  <c:v>45887</c:v>
                </c:pt>
                <c:pt idx="174">
                  <c:v>45888</c:v>
                </c:pt>
                <c:pt idx="175">
                  <c:v>45889</c:v>
                </c:pt>
                <c:pt idx="176">
                  <c:v>45890</c:v>
                </c:pt>
                <c:pt idx="177">
                  <c:v>45891</c:v>
                </c:pt>
                <c:pt idx="178">
                  <c:v>45892</c:v>
                </c:pt>
                <c:pt idx="179">
                  <c:v>45893</c:v>
                </c:pt>
                <c:pt idx="180">
                  <c:v>45894</c:v>
                </c:pt>
                <c:pt idx="181">
                  <c:v>45895</c:v>
                </c:pt>
                <c:pt idx="182">
                  <c:v>45896</c:v>
                </c:pt>
                <c:pt idx="183">
                  <c:v>45897</c:v>
                </c:pt>
                <c:pt idx="184">
                  <c:v>45898</c:v>
                </c:pt>
                <c:pt idx="185">
                  <c:v>45899</c:v>
                </c:pt>
                <c:pt idx="186">
                  <c:v>45900</c:v>
                </c:pt>
                <c:pt idx="187">
                  <c:v>45901</c:v>
                </c:pt>
                <c:pt idx="188">
                  <c:v>45902</c:v>
                </c:pt>
                <c:pt idx="189">
                  <c:v>45903</c:v>
                </c:pt>
                <c:pt idx="190">
                  <c:v>45904</c:v>
                </c:pt>
                <c:pt idx="191">
                  <c:v>45905</c:v>
                </c:pt>
                <c:pt idx="192">
                  <c:v>45906</c:v>
                </c:pt>
                <c:pt idx="193">
                  <c:v>45907</c:v>
                </c:pt>
                <c:pt idx="194">
                  <c:v>45908</c:v>
                </c:pt>
                <c:pt idx="195">
                  <c:v>45909</c:v>
                </c:pt>
                <c:pt idx="196">
                  <c:v>45910</c:v>
                </c:pt>
                <c:pt idx="197">
                  <c:v>45911</c:v>
                </c:pt>
                <c:pt idx="198">
                  <c:v>45912</c:v>
                </c:pt>
                <c:pt idx="199">
                  <c:v>45913</c:v>
                </c:pt>
                <c:pt idx="200">
                  <c:v>45914</c:v>
                </c:pt>
                <c:pt idx="201">
                  <c:v>45915</c:v>
                </c:pt>
                <c:pt idx="202">
                  <c:v>45916</c:v>
                </c:pt>
                <c:pt idx="203">
                  <c:v>45917</c:v>
                </c:pt>
                <c:pt idx="204">
                  <c:v>45918</c:v>
                </c:pt>
                <c:pt idx="205">
                  <c:v>45919</c:v>
                </c:pt>
                <c:pt idx="206">
                  <c:v>45920</c:v>
                </c:pt>
                <c:pt idx="207">
                  <c:v>45921</c:v>
                </c:pt>
                <c:pt idx="208">
                  <c:v>45922</c:v>
                </c:pt>
                <c:pt idx="209">
                  <c:v>45923</c:v>
                </c:pt>
                <c:pt idx="210">
                  <c:v>45924</c:v>
                </c:pt>
                <c:pt idx="211">
                  <c:v>45925</c:v>
                </c:pt>
                <c:pt idx="212">
                  <c:v>45926</c:v>
                </c:pt>
                <c:pt idx="213">
                  <c:v>45927</c:v>
                </c:pt>
                <c:pt idx="214">
                  <c:v>45928</c:v>
                </c:pt>
                <c:pt idx="215">
                  <c:v>45929</c:v>
                </c:pt>
                <c:pt idx="216">
                  <c:v>45930</c:v>
                </c:pt>
                <c:pt idx="217">
                  <c:v>45931</c:v>
                </c:pt>
                <c:pt idx="218">
                  <c:v>45932</c:v>
                </c:pt>
                <c:pt idx="219">
                  <c:v>45933</c:v>
                </c:pt>
                <c:pt idx="220">
                  <c:v>45934</c:v>
                </c:pt>
                <c:pt idx="221">
                  <c:v>45935</c:v>
                </c:pt>
                <c:pt idx="222">
                  <c:v>45936</c:v>
                </c:pt>
                <c:pt idx="223">
                  <c:v>45937</c:v>
                </c:pt>
                <c:pt idx="224">
                  <c:v>45938</c:v>
                </c:pt>
                <c:pt idx="225">
                  <c:v>45939</c:v>
                </c:pt>
                <c:pt idx="226">
                  <c:v>45940</c:v>
                </c:pt>
                <c:pt idx="227">
                  <c:v>45941</c:v>
                </c:pt>
                <c:pt idx="228">
                  <c:v>45942</c:v>
                </c:pt>
                <c:pt idx="229">
                  <c:v>45943</c:v>
                </c:pt>
                <c:pt idx="230">
                  <c:v>45944</c:v>
                </c:pt>
                <c:pt idx="231">
                  <c:v>45945</c:v>
                </c:pt>
                <c:pt idx="232">
                  <c:v>45946</c:v>
                </c:pt>
                <c:pt idx="233">
                  <c:v>45947</c:v>
                </c:pt>
                <c:pt idx="234">
                  <c:v>45948</c:v>
                </c:pt>
                <c:pt idx="235">
                  <c:v>45949</c:v>
                </c:pt>
                <c:pt idx="236">
                  <c:v>45950</c:v>
                </c:pt>
                <c:pt idx="237">
                  <c:v>45951</c:v>
                </c:pt>
                <c:pt idx="238">
                  <c:v>45952</c:v>
                </c:pt>
                <c:pt idx="239">
                  <c:v>45953</c:v>
                </c:pt>
                <c:pt idx="240">
                  <c:v>45954</c:v>
                </c:pt>
                <c:pt idx="241">
                  <c:v>45955</c:v>
                </c:pt>
                <c:pt idx="242">
                  <c:v>45956</c:v>
                </c:pt>
                <c:pt idx="243">
                  <c:v>45957</c:v>
                </c:pt>
                <c:pt idx="244">
                  <c:v>45958</c:v>
                </c:pt>
                <c:pt idx="245">
                  <c:v>45959</c:v>
                </c:pt>
                <c:pt idx="246">
                  <c:v>45960</c:v>
                </c:pt>
                <c:pt idx="247">
                  <c:v>45961</c:v>
                </c:pt>
                <c:pt idx="248">
                  <c:v>45962</c:v>
                </c:pt>
                <c:pt idx="249">
                  <c:v>45963</c:v>
                </c:pt>
                <c:pt idx="250">
                  <c:v>45964</c:v>
                </c:pt>
                <c:pt idx="251">
                  <c:v>45965</c:v>
                </c:pt>
                <c:pt idx="252">
                  <c:v>45966</c:v>
                </c:pt>
                <c:pt idx="253">
                  <c:v>45967</c:v>
                </c:pt>
                <c:pt idx="254">
                  <c:v>45968</c:v>
                </c:pt>
                <c:pt idx="255">
                  <c:v>45969</c:v>
                </c:pt>
                <c:pt idx="256">
                  <c:v>45970</c:v>
                </c:pt>
                <c:pt idx="257">
                  <c:v>45971</c:v>
                </c:pt>
                <c:pt idx="258">
                  <c:v>45972</c:v>
                </c:pt>
                <c:pt idx="259">
                  <c:v>45973</c:v>
                </c:pt>
                <c:pt idx="260">
                  <c:v>45974</c:v>
                </c:pt>
                <c:pt idx="261">
                  <c:v>45975</c:v>
                </c:pt>
                <c:pt idx="262">
                  <c:v>45976</c:v>
                </c:pt>
                <c:pt idx="263">
                  <c:v>45977</c:v>
                </c:pt>
                <c:pt idx="264">
                  <c:v>45978</c:v>
                </c:pt>
                <c:pt idx="265">
                  <c:v>45979</c:v>
                </c:pt>
                <c:pt idx="266">
                  <c:v>45980</c:v>
                </c:pt>
                <c:pt idx="267">
                  <c:v>45981</c:v>
                </c:pt>
                <c:pt idx="268">
                  <c:v>45982</c:v>
                </c:pt>
                <c:pt idx="269">
                  <c:v>45983</c:v>
                </c:pt>
                <c:pt idx="270">
                  <c:v>45984</c:v>
                </c:pt>
                <c:pt idx="271">
                  <c:v>45985</c:v>
                </c:pt>
                <c:pt idx="272">
                  <c:v>45986</c:v>
                </c:pt>
                <c:pt idx="273">
                  <c:v>45987</c:v>
                </c:pt>
                <c:pt idx="274">
                  <c:v>45988</c:v>
                </c:pt>
                <c:pt idx="275">
                  <c:v>45989</c:v>
                </c:pt>
                <c:pt idx="276">
                  <c:v>45990</c:v>
                </c:pt>
                <c:pt idx="277">
                  <c:v>45991</c:v>
                </c:pt>
                <c:pt idx="278">
                  <c:v>45992</c:v>
                </c:pt>
                <c:pt idx="279">
                  <c:v>45993</c:v>
                </c:pt>
                <c:pt idx="280">
                  <c:v>45994</c:v>
                </c:pt>
                <c:pt idx="281">
                  <c:v>45995</c:v>
                </c:pt>
                <c:pt idx="282">
                  <c:v>45996</c:v>
                </c:pt>
                <c:pt idx="283">
                  <c:v>45997</c:v>
                </c:pt>
                <c:pt idx="284">
                  <c:v>45998</c:v>
                </c:pt>
                <c:pt idx="285">
                  <c:v>45999</c:v>
                </c:pt>
                <c:pt idx="286">
                  <c:v>46000</c:v>
                </c:pt>
                <c:pt idx="287">
                  <c:v>46001</c:v>
                </c:pt>
                <c:pt idx="288">
                  <c:v>46002</c:v>
                </c:pt>
                <c:pt idx="289">
                  <c:v>46003</c:v>
                </c:pt>
                <c:pt idx="290">
                  <c:v>46004</c:v>
                </c:pt>
                <c:pt idx="291">
                  <c:v>46005</c:v>
                </c:pt>
                <c:pt idx="292">
                  <c:v>46006</c:v>
                </c:pt>
                <c:pt idx="293">
                  <c:v>46007</c:v>
                </c:pt>
                <c:pt idx="294">
                  <c:v>46008</c:v>
                </c:pt>
                <c:pt idx="295">
                  <c:v>46009</c:v>
                </c:pt>
                <c:pt idx="296">
                  <c:v>46010</c:v>
                </c:pt>
                <c:pt idx="297">
                  <c:v>46011</c:v>
                </c:pt>
                <c:pt idx="298">
                  <c:v>46012</c:v>
                </c:pt>
                <c:pt idx="299">
                  <c:v>46013</c:v>
                </c:pt>
                <c:pt idx="300">
                  <c:v>46014</c:v>
                </c:pt>
                <c:pt idx="301">
                  <c:v>46015</c:v>
                </c:pt>
                <c:pt idx="302">
                  <c:v>46016</c:v>
                </c:pt>
                <c:pt idx="303">
                  <c:v>46017</c:v>
                </c:pt>
                <c:pt idx="304">
                  <c:v>46018</c:v>
                </c:pt>
                <c:pt idx="305">
                  <c:v>46019</c:v>
                </c:pt>
                <c:pt idx="306">
                  <c:v>46020</c:v>
                </c:pt>
                <c:pt idx="307">
                  <c:v>46021</c:v>
                </c:pt>
                <c:pt idx="308">
                  <c:v>46022</c:v>
                </c:pt>
                <c:pt idx="309">
                  <c:v>46023</c:v>
                </c:pt>
                <c:pt idx="310">
                  <c:v>46024</c:v>
                </c:pt>
                <c:pt idx="311">
                  <c:v>46025</c:v>
                </c:pt>
                <c:pt idx="312">
                  <c:v>46026</c:v>
                </c:pt>
                <c:pt idx="313">
                  <c:v>46027</c:v>
                </c:pt>
                <c:pt idx="314">
                  <c:v>46028</c:v>
                </c:pt>
                <c:pt idx="315">
                  <c:v>46029</c:v>
                </c:pt>
                <c:pt idx="316">
                  <c:v>46030</c:v>
                </c:pt>
                <c:pt idx="317">
                  <c:v>46031</c:v>
                </c:pt>
                <c:pt idx="318">
                  <c:v>46032</c:v>
                </c:pt>
                <c:pt idx="319">
                  <c:v>46033</c:v>
                </c:pt>
                <c:pt idx="320">
                  <c:v>46034</c:v>
                </c:pt>
                <c:pt idx="321">
                  <c:v>46035</c:v>
                </c:pt>
                <c:pt idx="322">
                  <c:v>46036</c:v>
                </c:pt>
                <c:pt idx="323">
                  <c:v>46037</c:v>
                </c:pt>
                <c:pt idx="324">
                  <c:v>46038</c:v>
                </c:pt>
                <c:pt idx="325">
                  <c:v>46039</c:v>
                </c:pt>
                <c:pt idx="326">
                  <c:v>46040</c:v>
                </c:pt>
                <c:pt idx="327">
                  <c:v>46041</c:v>
                </c:pt>
                <c:pt idx="328">
                  <c:v>46042</c:v>
                </c:pt>
                <c:pt idx="329">
                  <c:v>46043</c:v>
                </c:pt>
                <c:pt idx="330">
                  <c:v>46044</c:v>
                </c:pt>
                <c:pt idx="331">
                  <c:v>46045</c:v>
                </c:pt>
                <c:pt idx="332">
                  <c:v>46046</c:v>
                </c:pt>
                <c:pt idx="333">
                  <c:v>46047</c:v>
                </c:pt>
                <c:pt idx="334">
                  <c:v>46048</c:v>
                </c:pt>
                <c:pt idx="335">
                  <c:v>46049</c:v>
                </c:pt>
                <c:pt idx="336">
                  <c:v>46050</c:v>
                </c:pt>
                <c:pt idx="337">
                  <c:v>46051</c:v>
                </c:pt>
                <c:pt idx="338">
                  <c:v>46052</c:v>
                </c:pt>
                <c:pt idx="339">
                  <c:v>46053</c:v>
                </c:pt>
                <c:pt idx="340">
                  <c:v>46054</c:v>
                </c:pt>
                <c:pt idx="341">
                  <c:v>46055</c:v>
                </c:pt>
                <c:pt idx="342">
                  <c:v>46056</c:v>
                </c:pt>
                <c:pt idx="343">
                  <c:v>46057</c:v>
                </c:pt>
                <c:pt idx="344">
                  <c:v>46058</c:v>
                </c:pt>
                <c:pt idx="345">
                  <c:v>46059</c:v>
                </c:pt>
                <c:pt idx="346">
                  <c:v>46060</c:v>
                </c:pt>
                <c:pt idx="347">
                  <c:v>46061</c:v>
                </c:pt>
                <c:pt idx="348">
                  <c:v>46062</c:v>
                </c:pt>
                <c:pt idx="349">
                  <c:v>46063</c:v>
                </c:pt>
                <c:pt idx="350">
                  <c:v>46064</c:v>
                </c:pt>
                <c:pt idx="351">
                  <c:v>46065</c:v>
                </c:pt>
                <c:pt idx="352">
                  <c:v>46066</c:v>
                </c:pt>
                <c:pt idx="353">
                  <c:v>46067</c:v>
                </c:pt>
                <c:pt idx="354">
                  <c:v>46068</c:v>
                </c:pt>
                <c:pt idx="355">
                  <c:v>46069</c:v>
                </c:pt>
                <c:pt idx="356">
                  <c:v>46070</c:v>
                </c:pt>
                <c:pt idx="357">
                  <c:v>46071</c:v>
                </c:pt>
                <c:pt idx="358">
                  <c:v>46072</c:v>
                </c:pt>
                <c:pt idx="359">
                  <c:v>46073</c:v>
                </c:pt>
                <c:pt idx="360">
                  <c:v>46074</c:v>
                </c:pt>
                <c:pt idx="361">
                  <c:v>46075</c:v>
                </c:pt>
                <c:pt idx="362">
                  <c:v>46076</c:v>
                </c:pt>
                <c:pt idx="363">
                  <c:v>46077</c:v>
                </c:pt>
                <c:pt idx="364">
                  <c:v>46078</c:v>
                </c:pt>
                <c:pt idx="365">
                  <c:v>46079</c:v>
                </c:pt>
              </c:numCache>
            </c:numRef>
          </c:cat>
          <c:val>
            <c:numRef>
              <c:f>'Daily Velocity'!$E$4:$E$369</c:f>
              <c:numCache>
                <c:formatCode>#,##0</c:formatCode>
                <c:ptCount val="366"/>
                <c:pt idx="29">
                  <c:v>2611512.7000000002</c:v>
                </c:pt>
                <c:pt idx="30">
                  <c:v>2579999.0333333332</c:v>
                </c:pt>
                <c:pt idx="31">
                  <c:v>2532327.2333333334</c:v>
                </c:pt>
                <c:pt idx="32">
                  <c:v>2538398</c:v>
                </c:pt>
                <c:pt idx="33">
                  <c:v>2601425.2333333334</c:v>
                </c:pt>
                <c:pt idx="34">
                  <c:v>2630234.4666666668</c:v>
                </c:pt>
                <c:pt idx="35">
                  <c:v>2626628.2999999998</c:v>
                </c:pt>
                <c:pt idx="36">
                  <c:v>2620281.1</c:v>
                </c:pt>
                <c:pt idx="37">
                  <c:v>2585806.7000000002</c:v>
                </c:pt>
                <c:pt idx="38">
                  <c:v>2532645.4</c:v>
                </c:pt>
                <c:pt idx="39">
                  <c:v>2542102.4666666668</c:v>
                </c:pt>
                <c:pt idx="40">
                  <c:v>2602587.1333333333</c:v>
                </c:pt>
                <c:pt idx="41">
                  <c:v>2631357.7999999998</c:v>
                </c:pt>
                <c:pt idx="42">
                  <c:v>2626689.7333333334</c:v>
                </c:pt>
                <c:pt idx="43">
                  <c:v>2619365.9666666668</c:v>
                </c:pt>
                <c:pt idx="44">
                  <c:v>2583365.9333333331</c:v>
                </c:pt>
                <c:pt idx="45">
                  <c:v>2530122.6</c:v>
                </c:pt>
                <c:pt idx="46">
                  <c:v>2552285.2000000002</c:v>
                </c:pt>
                <c:pt idx="47">
                  <c:v>2613017.3666666667</c:v>
                </c:pt>
                <c:pt idx="48">
                  <c:v>2644958.1</c:v>
                </c:pt>
                <c:pt idx="49">
                  <c:v>2646399.9333333331</c:v>
                </c:pt>
                <c:pt idx="50">
                  <c:v>2652582.2666666666</c:v>
                </c:pt>
                <c:pt idx="51">
                  <c:v>2616157.0666666669</c:v>
                </c:pt>
                <c:pt idx="52">
                  <c:v>2569956.8333333335</c:v>
                </c:pt>
                <c:pt idx="53">
                  <c:v>2577812.6666666665</c:v>
                </c:pt>
                <c:pt idx="54">
                  <c:v>2632536.6333333333</c:v>
                </c:pt>
                <c:pt idx="55">
                  <c:v>2674298.9666666668</c:v>
                </c:pt>
                <c:pt idx="56">
                  <c:v>2670319.6</c:v>
                </c:pt>
                <c:pt idx="57">
                  <c:v>2665076.6</c:v>
                </c:pt>
                <c:pt idx="58">
                  <c:v>2641157.4666666668</c:v>
                </c:pt>
                <c:pt idx="59">
                  <c:v>2598717.4</c:v>
                </c:pt>
                <c:pt idx="60">
                  <c:v>2608840.5666666669</c:v>
                </c:pt>
                <c:pt idx="61">
                  <c:v>2663223.2666666666</c:v>
                </c:pt>
                <c:pt idx="62">
                  <c:v>2703608.7333333334</c:v>
                </c:pt>
                <c:pt idx="63">
                  <c:v>2715687.6666666665</c:v>
                </c:pt>
                <c:pt idx="64">
                  <c:v>2723359.6333333333</c:v>
                </c:pt>
                <c:pt idx="65">
                  <c:v>2691320.3</c:v>
                </c:pt>
                <c:pt idx="66">
                  <c:v>2643079.7333333334</c:v>
                </c:pt>
                <c:pt idx="67">
                  <c:v>2659339.8666666667</c:v>
                </c:pt>
                <c:pt idx="68">
                  <c:v>2726106.3666666667</c:v>
                </c:pt>
                <c:pt idx="69">
                  <c:v>2762203.6333333333</c:v>
                </c:pt>
                <c:pt idx="70">
                  <c:v>2771590.6333333333</c:v>
                </c:pt>
                <c:pt idx="71">
                  <c:v>2784844.9666666668</c:v>
                </c:pt>
                <c:pt idx="72">
                  <c:v>2763406.4666666668</c:v>
                </c:pt>
                <c:pt idx="73">
                  <c:v>2715408.6333333333</c:v>
                </c:pt>
                <c:pt idx="74">
                  <c:v>2724549.3666666667</c:v>
                </c:pt>
                <c:pt idx="75">
                  <c:v>2796756.6</c:v>
                </c:pt>
                <c:pt idx="76">
                  <c:v>2834056.5333333332</c:v>
                </c:pt>
                <c:pt idx="77">
                  <c:v>2848486.7</c:v>
                </c:pt>
                <c:pt idx="78">
                  <c:v>2849672.9</c:v>
                </c:pt>
                <c:pt idx="79">
                  <c:v>2808939.6333333333</c:v>
                </c:pt>
                <c:pt idx="80">
                  <c:v>2750188.3</c:v>
                </c:pt>
                <c:pt idx="81">
                  <c:v>2763554.5333333332</c:v>
                </c:pt>
                <c:pt idx="82">
                  <c:v>2827326.2333333334</c:v>
                </c:pt>
                <c:pt idx="83">
                  <c:v>2869203</c:v>
                </c:pt>
                <c:pt idx="84">
                  <c:v>2874996.7</c:v>
                </c:pt>
                <c:pt idx="85">
                  <c:v>2881792.1</c:v>
                </c:pt>
                <c:pt idx="86">
                  <c:v>2844691.1</c:v>
                </c:pt>
                <c:pt idx="87">
                  <c:v>2796959.9</c:v>
                </c:pt>
                <c:pt idx="88">
                  <c:v>2796075.2333333334</c:v>
                </c:pt>
                <c:pt idx="89">
                  <c:v>2779552.6666666665</c:v>
                </c:pt>
                <c:pt idx="90">
                  <c:v>2820894.8666666667</c:v>
                </c:pt>
                <c:pt idx="91">
                  <c:v>2828425.4</c:v>
                </c:pt>
                <c:pt idx="92">
                  <c:v>2831879.0333333332</c:v>
                </c:pt>
                <c:pt idx="93">
                  <c:v>2782332.9333333331</c:v>
                </c:pt>
                <c:pt idx="94">
                  <c:v>2723632.6</c:v>
                </c:pt>
                <c:pt idx="95">
                  <c:v>2732551.5333333332</c:v>
                </c:pt>
                <c:pt idx="96">
                  <c:v>2793565.8</c:v>
                </c:pt>
                <c:pt idx="97">
                  <c:v>2823198.0666666669</c:v>
                </c:pt>
                <c:pt idx="98">
                  <c:v>2820798.8666666667</c:v>
                </c:pt>
                <c:pt idx="99">
                  <c:v>2818964.4333333331</c:v>
                </c:pt>
                <c:pt idx="100">
                  <c:v>2768832.8333333335</c:v>
                </c:pt>
                <c:pt idx="101">
                  <c:v>2698596.6</c:v>
                </c:pt>
                <c:pt idx="102">
                  <c:v>2696569.1666666665</c:v>
                </c:pt>
                <c:pt idx="103">
                  <c:v>2759171.7333333334</c:v>
                </c:pt>
                <c:pt idx="104">
                  <c:v>2794345.7333333334</c:v>
                </c:pt>
                <c:pt idx="105">
                  <c:v>2790655.6</c:v>
                </c:pt>
                <c:pt idx="106">
                  <c:v>2774328.2</c:v>
                </c:pt>
                <c:pt idx="107">
                  <c:v>2713232.5666666669</c:v>
                </c:pt>
                <c:pt idx="108">
                  <c:v>2654739.8333333335</c:v>
                </c:pt>
                <c:pt idx="109">
                  <c:v>2661361.1</c:v>
                </c:pt>
                <c:pt idx="110">
                  <c:v>2710125.4666666668</c:v>
                </c:pt>
                <c:pt idx="111">
                  <c:v>2744426.0666666669</c:v>
                </c:pt>
                <c:pt idx="112">
                  <c:v>2734978.3</c:v>
                </c:pt>
                <c:pt idx="113">
                  <c:v>2720724.3333333335</c:v>
                </c:pt>
                <c:pt idx="114">
                  <c:v>2667297.2000000002</c:v>
                </c:pt>
                <c:pt idx="115">
                  <c:v>2605697.8333333335</c:v>
                </c:pt>
                <c:pt idx="116">
                  <c:v>2614572.3333333335</c:v>
                </c:pt>
                <c:pt idx="117">
                  <c:v>2665277.1</c:v>
                </c:pt>
                <c:pt idx="118">
                  <c:v>2699781.2666666666</c:v>
                </c:pt>
                <c:pt idx="119">
                  <c:v>2770528.4</c:v>
                </c:pt>
                <c:pt idx="120">
                  <c:v>2755865.1666666665</c:v>
                </c:pt>
                <c:pt idx="121">
                  <c:v>2704996.6333333333</c:v>
                </c:pt>
                <c:pt idx="122">
                  <c:v>2637987.1333333333</c:v>
                </c:pt>
                <c:pt idx="123">
                  <c:v>2651475.9</c:v>
                </c:pt>
                <c:pt idx="124">
                  <c:v>2701237.2333333334</c:v>
                </c:pt>
                <c:pt idx="125">
                  <c:v>2726422.7333333334</c:v>
                </c:pt>
                <c:pt idx="126">
                  <c:v>2716201.0333333332</c:v>
                </c:pt>
                <c:pt idx="127">
                  <c:v>2696471.3666666667</c:v>
                </c:pt>
                <c:pt idx="128">
                  <c:v>2623037.8333333335</c:v>
                </c:pt>
                <c:pt idx="129">
                  <c:v>2563068.7000000002</c:v>
                </c:pt>
                <c:pt idx="130">
                  <c:v>2562027.4333333331</c:v>
                </c:pt>
                <c:pt idx="131">
                  <c:v>2613000.5</c:v>
                </c:pt>
                <c:pt idx="132">
                  <c:v>2653146.5</c:v>
                </c:pt>
                <c:pt idx="133">
                  <c:v>2640106.9333333331</c:v>
                </c:pt>
                <c:pt idx="134">
                  <c:v>2628789.4</c:v>
                </c:pt>
                <c:pt idx="135">
                  <c:v>2572030.5333333332</c:v>
                </c:pt>
                <c:pt idx="136">
                  <c:v>2522079.7999999998</c:v>
                </c:pt>
                <c:pt idx="137">
                  <c:v>2536282.9666666668</c:v>
                </c:pt>
                <c:pt idx="138">
                  <c:v>2591695.2666666666</c:v>
                </c:pt>
                <c:pt idx="139">
                  <c:v>2627147.5</c:v>
                </c:pt>
                <c:pt idx="140">
                  <c:v>2626051.1333333333</c:v>
                </c:pt>
                <c:pt idx="141">
                  <c:v>2615563.3666666667</c:v>
                </c:pt>
                <c:pt idx="142">
                  <c:v>2568808.4333333331</c:v>
                </c:pt>
                <c:pt idx="143">
                  <c:v>2513139.8666666667</c:v>
                </c:pt>
                <c:pt idx="144">
                  <c:v>2532223.7000000002</c:v>
                </c:pt>
                <c:pt idx="145">
                  <c:v>2586167.7000000002</c:v>
                </c:pt>
                <c:pt idx="146">
                  <c:v>2613573.2999999998</c:v>
                </c:pt>
                <c:pt idx="147">
                  <c:v>2612024.8333333335</c:v>
                </c:pt>
                <c:pt idx="148">
                  <c:v>2608671.4666666668</c:v>
                </c:pt>
                <c:pt idx="149">
                  <c:v>2566201.1333333333</c:v>
                </c:pt>
                <c:pt idx="150">
                  <c:v>2512524.1666666665</c:v>
                </c:pt>
                <c:pt idx="151">
                  <c:v>2534883.0333333332</c:v>
                </c:pt>
                <c:pt idx="152">
                  <c:v>2596144.4333333331</c:v>
                </c:pt>
                <c:pt idx="153">
                  <c:v>2626933.7666666666</c:v>
                </c:pt>
                <c:pt idx="154">
                  <c:v>2625519.7000000002</c:v>
                </c:pt>
                <c:pt idx="155">
                  <c:v>2625428.7000000002</c:v>
                </c:pt>
                <c:pt idx="156">
                  <c:v>2588812.4</c:v>
                </c:pt>
                <c:pt idx="157">
                  <c:v>2544816.2333333334</c:v>
                </c:pt>
                <c:pt idx="158">
                  <c:v>2588141.9</c:v>
                </c:pt>
                <c:pt idx="159">
                  <c:v>2645050.6</c:v>
                </c:pt>
                <c:pt idx="160">
                  <c:v>2685984.9333333331</c:v>
                </c:pt>
                <c:pt idx="161">
                  <c:v>2688859.5666666669</c:v>
                </c:pt>
                <c:pt idx="162">
                  <c:v>2678500.2666666666</c:v>
                </c:pt>
                <c:pt idx="163">
                  <c:v>2642249.0333333332</c:v>
                </c:pt>
                <c:pt idx="164">
                  <c:v>2593712.7333333334</c:v>
                </c:pt>
                <c:pt idx="165">
                  <c:v>2618977.0666666669</c:v>
                </c:pt>
                <c:pt idx="166">
                  <c:v>2678349.6</c:v>
                </c:pt>
                <c:pt idx="167">
                  <c:v>2712777</c:v>
                </c:pt>
                <c:pt idx="168">
                  <c:v>2710676.2333333334</c:v>
                </c:pt>
                <c:pt idx="169">
                  <c:v>2711885.1333333333</c:v>
                </c:pt>
                <c:pt idx="170">
                  <c:v>2672058</c:v>
                </c:pt>
                <c:pt idx="171">
                  <c:v>2623167.8666666667</c:v>
                </c:pt>
                <c:pt idx="172">
                  <c:v>2644097.3666666667</c:v>
                </c:pt>
                <c:pt idx="173">
                  <c:v>2709292.1333333333</c:v>
                </c:pt>
                <c:pt idx="174">
                  <c:v>2740044.4333333331</c:v>
                </c:pt>
                <c:pt idx="175">
                  <c:v>2737808.6333333333</c:v>
                </c:pt>
                <c:pt idx="176">
                  <c:v>2736379.7</c:v>
                </c:pt>
                <c:pt idx="177">
                  <c:v>2691338.6333333333</c:v>
                </c:pt>
                <c:pt idx="178">
                  <c:v>2639030.9333333331</c:v>
                </c:pt>
                <c:pt idx="179">
                  <c:v>2662502</c:v>
                </c:pt>
                <c:pt idx="180">
                  <c:v>2724607.5</c:v>
                </c:pt>
                <c:pt idx="181">
                  <c:v>2755464.5666666669</c:v>
                </c:pt>
                <c:pt idx="182">
                  <c:v>2752017.3333333335</c:v>
                </c:pt>
                <c:pt idx="183">
                  <c:v>2746970.8666666667</c:v>
                </c:pt>
                <c:pt idx="184">
                  <c:v>2705264.0666666669</c:v>
                </c:pt>
                <c:pt idx="185">
                  <c:v>2651440.8333333335</c:v>
                </c:pt>
                <c:pt idx="186">
                  <c:v>2660026.3333333335</c:v>
                </c:pt>
                <c:pt idx="187">
                  <c:v>2650297.7999999998</c:v>
                </c:pt>
                <c:pt idx="188">
                  <c:v>2681533.3666666667</c:v>
                </c:pt>
                <c:pt idx="189">
                  <c:v>2682268</c:v>
                </c:pt>
                <c:pt idx="190">
                  <c:v>2684661.9</c:v>
                </c:pt>
                <c:pt idx="191">
                  <c:v>2641628.5333333332</c:v>
                </c:pt>
                <c:pt idx="192">
                  <c:v>2585058.8333333335</c:v>
                </c:pt>
                <c:pt idx="193">
                  <c:v>2606315.0333333332</c:v>
                </c:pt>
                <c:pt idx="194">
                  <c:v>2670266.7999999998</c:v>
                </c:pt>
                <c:pt idx="195">
                  <c:v>2709755.8333333335</c:v>
                </c:pt>
                <c:pt idx="196">
                  <c:v>2720080.6333333333</c:v>
                </c:pt>
                <c:pt idx="197">
                  <c:v>2729224.2666666666</c:v>
                </c:pt>
                <c:pt idx="198">
                  <c:v>2682921.5666666669</c:v>
                </c:pt>
                <c:pt idx="199">
                  <c:v>2621761.6666666665</c:v>
                </c:pt>
                <c:pt idx="200">
                  <c:v>2645193.8666666667</c:v>
                </c:pt>
                <c:pt idx="201">
                  <c:v>2706978.4666666668</c:v>
                </c:pt>
                <c:pt idx="202">
                  <c:v>2739183.3666666667</c:v>
                </c:pt>
                <c:pt idx="203">
                  <c:v>2745423.1666666665</c:v>
                </c:pt>
                <c:pt idx="204">
                  <c:v>2744293.6666666665</c:v>
                </c:pt>
                <c:pt idx="205">
                  <c:v>2703326.1333333333</c:v>
                </c:pt>
                <c:pt idx="206">
                  <c:v>2651410.7000000002</c:v>
                </c:pt>
                <c:pt idx="207">
                  <c:v>2674203.3333333335</c:v>
                </c:pt>
                <c:pt idx="208">
                  <c:v>2730647.5</c:v>
                </c:pt>
                <c:pt idx="209">
                  <c:v>2753655.5</c:v>
                </c:pt>
                <c:pt idx="210">
                  <c:v>2755041.6333333333</c:v>
                </c:pt>
                <c:pt idx="211">
                  <c:v>2751305.9333333331</c:v>
                </c:pt>
                <c:pt idx="212">
                  <c:v>2710089.7</c:v>
                </c:pt>
                <c:pt idx="213">
                  <c:v>2654324.9</c:v>
                </c:pt>
                <c:pt idx="214">
                  <c:v>2669667.1666666665</c:v>
                </c:pt>
                <c:pt idx="215">
                  <c:v>2720374.6666666665</c:v>
                </c:pt>
                <c:pt idx="216">
                  <c:v>2756296.6333333333</c:v>
                </c:pt>
                <c:pt idx="217">
                  <c:v>2829777.9</c:v>
                </c:pt>
                <c:pt idx="218">
                  <c:v>2819589.3666666667</c:v>
                </c:pt>
                <c:pt idx="219">
                  <c:v>2768710.3</c:v>
                </c:pt>
                <c:pt idx="220">
                  <c:v>2708380.1666666665</c:v>
                </c:pt>
                <c:pt idx="221">
                  <c:v>2725984.1666666665</c:v>
                </c:pt>
                <c:pt idx="222">
                  <c:v>2782369.6333333333</c:v>
                </c:pt>
                <c:pt idx="223">
                  <c:v>2809891.2333333334</c:v>
                </c:pt>
                <c:pt idx="224">
                  <c:v>2811265.0333333332</c:v>
                </c:pt>
                <c:pt idx="225">
                  <c:v>2801573.7333333334</c:v>
                </c:pt>
                <c:pt idx="226">
                  <c:v>2743693</c:v>
                </c:pt>
                <c:pt idx="227">
                  <c:v>2674252.2333333334</c:v>
                </c:pt>
                <c:pt idx="228">
                  <c:v>2697454.6666666665</c:v>
                </c:pt>
                <c:pt idx="229">
                  <c:v>2758230</c:v>
                </c:pt>
                <c:pt idx="230">
                  <c:v>2790189.4666666668</c:v>
                </c:pt>
                <c:pt idx="231">
                  <c:v>2787906.5</c:v>
                </c:pt>
                <c:pt idx="232">
                  <c:v>2793741.1666666665</c:v>
                </c:pt>
                <c:pt idx="233">
                  <c:v>2738949.1</c:v>
                </c:pt>
                <c:pt idx="234">
                  <c:v>2675415.5666666669</c:v>
                </c:pt>
                <c:pt idx="235">
                  <c:v>2702403.9333333331</c:v>
                </c:pt>
                <c:pt idx="236">
                  <c:v>2767705.1</c:v>
                </c:pt>
                <c:pt idx="237">
                  <c:v>2796171.3</c:v>
                </c:pt>
                <c:pt idx="238">
                  <c:v>2809976.1333333333</c:v>
                </c:pt>
                <c:pt idx="239">
                  <c:v>2811500.8666666667</c:v>
                </c:pt>
                <c:pt idx="240">
                  <c:v>2803170.6333333333</c:v>
                </c:pt>
                <c:pt idx="241">
                  <c:v>2759205.8333333335</c:v>
                </c:pt>
                <c:pt idx="242">
                  <c:v>2801566.1666666665</c:v>
                </c:pt>
                <c:pt idx="243">
                  <c:v>2892441.8333333335</c:v>
                </c:pt>
                <c:pt idx="244">
                  <c:v>2957600.9666666668</c:v>
                </c:pt>
                <c:pt idx="245">
                  <c:v>3013898.3</c:v>
                </c:pt>
                <c:pt idx="246">
                  <c:v>3036916.2333333334</c:v>
                </c:pt>
                <c:pt idx="247">
                  <c:v>3015432.1333333333</c:v>
                </c:pt>
                <c:pt idx="248">
                  <c:v>2976100.8666666667</c:v>
                </c:pt>
                <c:pt idx="249">
                  <c:v>3033644</c:v>
                </c:pt>
                <c:pt idx="250">
                  <c:v>3134112.2666666666</c:v>
                </c:pt>
                <c:pt idx="251">
                  <c:v>3198480.4</c:v>
                </c:pt>
                <c:pt idx="252">
                  <c:v>3233187.7666666666</c:v>
                </c:pt>
                <c:pt idx="253">
                  <c:v>3277732.0333333332</c:v>
                </c:pt>
                <c:pt idx="254">
                  <c:v>3309314.5333333332</c:v>
                </c:pt>
                <c:pt idx="255">
                  <c:v>3273657.4</c:v>
                </c:pt>
                <c:pt idx="256">
                  <c:v>3332247.3</c:v>
                </c:pt>
                <c:pt idx="257">
                  <c:v>3432809.9666666668</c:v>
                </c:pt>
                <c:pt idx="258">
                  <c:v>3495958.0666666669</c:v>
                </c:pt>
                <c:pt idx="259">
                  <c:v>3516587.6333333333</c:v>
                </c:pt>
                <c:pt idx="260">
                  <c:v>3540746.5</c:v>
                </c:pt>
                <c:pt idx="261">
                  <c:v>3565022.1</c:v>
                </c:pt>
                <c:pt idx="262">
                  <c:v>3520837.9</c:v>
                </c:pt>
                <c:pt idx="263">
                  <c:v>3587386.6</c:v>
                </c:pt>
                <c:pt idx="264">
                  <c:v>3704312.3333333335</c:v>
                </c:pt>
                <c:pt idx="265">
                  <c:v>3767324.8333333335</c:v>
                </c:pt>
                <c:pt idx="266">
                  <c:v>3801412.0333333332</c:v>
                </c:pt>
                <c:pt idx="267">
                  <c:v>3831800.9333333331</c:v>
                </c:pt>
                <c:pt idx="268">
                  <c:v>3827161.6333333333</c:v>
                </c:pt>
                <c:pt idx="269">
                  <c:v>3777399.2</c:v>
                </c:pt>
                <c:pt idx="270">
                  <c:v>3782188.2666666666</c:v>
                </c:pt>
                <c:pt idx="271">
                  <c:v>3855579.6666666665</c:v>
                </c:pt>
                <c:pt idx="272">
                  <c:v>3884754.0666666669</c:v>
                </c:pt>
                <c:pt idx="273">
                  <c:v>3888307.0666666669</c:v>
                </c:pt>
                <c:pt idx="274">
                  <c:v>3810239.8</c:v>
                </c:pt>
                <c:pt idx="275">
                  <c:v>3722837.7333333334</c:v>
                </c:pt>
                <c:pt idx="276">
                  <c:v>3649646.0333333332</c:v>
                </c:pt>
                <c:pt idx="277">
                  <c:v>3665019.3</c:v>
                </c:pt>
                <c:pt idx="278">
                  <c:v>3740951.8</c:v>
                </c:pt>
                <c:pt idx="279">
                  <c:v>3781022.8666666667</c:v>
                </c:pt>
                <c:pt idx="280">
                  <c:v>3792930.3333333335</c:v>
                </c:pt>
                <c:pt idx="281">
                  <c:v>3805289.0333333332</c:v>
                </c:pt>
                <c:pt idx="282">
                  <c:v>3758858.4333333331</c:v>
                </c:pt>
                <c:pt idx="283">
                  <c:v>3663824.8666666667</c:v>
                </c:pt>
                <c:pt idx="284">
                  <c:v>3632749.2333333334</c:v>
                </c:pt>
                <c:pt idx="285">
                  <c:v>3724419.1333333333</c:v>
                </c:pt>
                <c:pt idx="286">
                  <c:v>3772530.9</c:v>
                </c:pt>
                <c:pt idx="287">
                  <c:v>3772469.2333333334</c:v>
                </c:pt>
                <c:pt idx="288">
                  <c:v>3779109.2333333334</c:v>
                </c:pt>
                <c:pt idx="289">
                  <c:v>3739994.3333333335</c:v>
                </c:pt>
                <c:pt idx="290">
                  <c:v>3657411.5</c:v>
                </c:pt>
                <c:pt idx="291">
                  <c:v>3651885.2</c:v>
                </c:pt>
                <c:pt idx="292">
                  <c:v>3733983.3333333335</c:v>
                </c:pt>
                <c:pt idx="293">
                  <c:v>3768057.9666666668</c:v>
                </c:pt>
                <c:pt idx="294">
                  <c:v>3766069.4</c:v>
                </c:pt>
                <c:pt idx="295">
                  <c:v>3771411.4666666668</c:v>
                </c:pt>
                <c:pt idx="296">
                  <c:v>3712359.2</c:v>
                </c:pt>
                <c:pt idx="297">
                  <c:v>3642935.2</c:v>
                </c:pt>
                <c:pt idx="298">
                  <c:v>3642565.4333333331</c:v>
                </c:pt>
                <c:pt idx="299">
                  <c:v>3728759.4333333331</c:v>
                </c:pt>
                <c:pt idx="300">
                  <c:v>3770115.5</c:v>
                </c:pt>
                <c:pt idx="301">
                  <c:v>3708908.5</c:v>
                </c:pt>
                <c:pt idx="302">
                  <c:v>3636749.8333333335</c:v>
                </c:pt>
                <c:pt idx="303">
                  <c:v>3575349.3666666667</c:v>
                </c:pt>
                <c:pt idx="304">
                  <c:v>3582802.2666666666</c:v>
                </c:pt>
                <c:pt idx="305">
                  <c:v>3648117.6333333333</c:v>
                </c:pt>
                <c:pt idx="306">
                  <c:v>3742624.9</c:v>
                </c:pt>
                <c:pt idx="307">
                  <c:v>3792149.9666666668</c:v>
                </c:pt>
                <c:pt idx="308">
                  <c:v>3733678.8333333335</c:v>
                </c:pt>
                <c:pt idx="309">
                  <c:v>3639847.4333333331</c:v>
                </c:pt>
                <c:pt idx="310">
                  <c:v>3588871.8333333335</c:v>
                </c:pt>
                <c:pt idx="311">
                  <c:v>3500848.5</c:v>
                </c:pt>
                <c:pt idx="312">
                  <c:v>3527198.4</c:v>
                </c:pt>
                <c:pt idx="313">
                  <c:v>3636154.2333333334</c:v>
                </c:pt>
                <c:pt idx="314">
                  <c:v>3697174.7</c:v>
                </c:pt>
                <c:pt idx="315">
                  <c:v>3703512.4666666668</c:v>
                </c:pt>
                <c:pt idx="316">
                  <c:v>3704037.7333333334</c:v>
                </c:pt>
                <c:pt idx="317">
                  <c:v>3683533.4666666668</c:v>
                </c:pt>
                <c:pt idx="318">
                  <c:v>3591316.4333333331</c:v>
                </c:pt>
                <c:pt idx="319">
                  <c:v>3627410.9</c:v>
                </c:pt>
                <c:pt idx="320">
                  <c:v>3727942.3666666667</c:v>
                </c:pt>
                <c:pt idx="321">
                  <c:v>3771647.2</c:v>
                </c:pt>
                <c:pt idx="322">
                  <c:v>3779684.9</c:v>
                </c:pt>
                <c:pt idx="323">
                  <c:v>3781013.7333333334</c:v>
                </c:pt>
                <c:pt idx="324">
                  <c:v>3724591.2333333334</c:v>
                </c:pt>
                <c:pt idx="325">
                  <c:v>3644534.4666666668</c:v>
                </c:pt>
                <c:pt idx="326">
                  <c:v>3684342.8333333335</c:v>
                </c:pt>
                <c:pt idx="327">
                  <c:v>3782113.5666666669</c:v>
                </c:pt>
                <c:pt idx="328">
                  <c:v>3835432.4</c:v>
                </c:pt>
                <c:pt idx="329">
                  <c:v>3841842.9333333331</c:v>
                </c:pt>
                <c:pt idx="330">
                  <c:v>3840449.7</c:v>
                </c:pt>
                <c:pt idx="331">
                  <c:v>3854002.5</c:v>
                </c:pt>
                <c:pt idx="332">
                  <c:v>3860838.9</c:v>
                </c:pt>
                <c:pt idx="333">
                  <c:v>3899441.0333333332</c:v>
                </c:pt>
                <c:pt idx="334">
                  <c:v>3990579.1</c:v>
                </c:pt>
                <c:pt idx="335">
                  <c:v>4020211.7</c:v>
                </c:pt>
                <c:pt idx="336">
                  <c:v>4017431.6</c:v>
                </c:pt>
                <c:pt idx="337">
                  <c:v>4018250.9</c:v>
                </c:pt>
                <c:pt idx="338">
                  <c:v>4028001.4666666668</c:v>
                </c:pt>
                <c:pt idx="339">
                  <c:v>4030085.5</c:v>
                </c:pt>
                <c:pt idx="340">
                  <c:v>4045901.9666666668</c:v>
                </c:pt>
                <c:pt idx="341">
                  <c:v>4139846.3333333335</c:v>
                </c:pt>
                <c:pt idx="342">
                  <c:v>4186980.6666666665</c:v>
                </c:pt>
                <c:pt idx="343">
                  <c:v>4171050.8</c:v>
                </c:pt>
                <c:pt idx="344">
                  <c:v>4148014.6</c:v>
                </c:pt>
                <c:pt idx="345">
                  <c:v>4070766.0333333332</c:v>
                </c:pt>
                <c:pt idx="346">
                  <c:v>3961284.3333333335</c:v>
                </c:pt>
                <c:pt idx="347">
                  <c:v>3944343.2333333334</c:v>
                </c:pt>
                <c:pt idx="348">
                  <c:v>4039685.4</c:v>
                </c:pt>
                <c:pt idx="349">
                  <c:v>4074904.5333333332</c:v>
                </c:pt>
                <c:pt idx="350">
                  <c:v>4072330.9333333331</c:v>
                </c:pt>
                <c:pt idx="351">
                  <c:v>4057427.5</c:v>
                </c:pt>
                <c:pt idx="352">
                  <c:v>3989408.2333333334</c:v>
                </c:pt>
                <c:pt idx="353">
                  <c:v>3884926.3666666667</c:v>
                </c:pt>
                <c:pt idx="354">
                  <c:v>3909794.4</c:v>
                </c:pt>
                <c:pt idx="355">
                  <c:v>3992305.4</c:v>
                </c:pt>
                <c:pt idx="356">
                  <c:v>4023933.4666666668</c:v>
                </c:pt>
                <c:pt idx="357">
                  <c:v>4013564.1333333333</c:v>
                </c:pt>
                <c:pt idx="358">
                  <c:v>4003695.5333333332</c:v>
                </c:pt>
                <c:pt idx="359">
                  <c:v>3950162.5</c:v>
                </c:pt>
                <c:pt idx="360">
                  <c:v>3876283.7333333334</c:v>
                </c:pt>
                <c:pt idx="361">
                  <c:v>3897390.8666666667</c:v>
                </c:pt>
                <c:pt idx="362">
                  <c:v>3982677.7333333334</c:v>
                </c:pt>
                <c:pt idx="363">
                  <c:v>4026191.4666666668</c:v>
                </c:pt>
                <c:pt idx="364">
                  <c:v>4016405.9666666668</c:v>
                </c:pt>
                <c:pt idx="365">
                  <c:v>3873017.6666666665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9E4-3C4E-9B6B-B29A7CE63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488800"/>
        <c:axId val="91120137"/>
      </c:lineChart>
      <c:dateAx>
        <c:axId val="884888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1120137"/>
        <c:crosses val="autoZero"/>
        <c:auto val="1"/>
        <c:lblOffset val="100"/>
        <c:baseTimeUnit val="days"/>
      </c:dateAx>
      <c:valAx>
        <c:axId val="911201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Rows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84888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Average Volume by Day of Week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'Daily Velocity'!$I$4</c:f>
              <c:strCache>
                <c:ptCount val="1"/>
                <c:pt idx="0">
                  <c:v>Avg Volume</c:v>
                </c:pt>
              </c:strCache>
            </c:strRef>
          </c:tx>
          <c:spPr>
            <a:solidFill>
              <a:srgbClr val="2F549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F9F9F9"/>
                      </a:solidFill>
                    </a:ln>
                  </c:spPr>
                </c15:leaderLines>
              </c:ext>
            </c:extLst>
          </c:dLbls>
          <c:cat>
            <c:strRef>
              <c:f>'Daily Velocity'!$H$5:$H$11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'Daily Velocity'!$I$5:$I$11</c:f>
              <c:numCache>
                <c:formatCode>#,##0</c:formatCode>
                <c:ptCount val="7"/>
                <c:pt idx="0">
                  <c:v>3696162.8653846155</c:v>
                </c:pt>
                <c:pt idx="1">
                  <c:v>3854758.0384615385</c:v>
                </c:pt>
                <c:pt idx="2">
                  <c:v>3651214.3018867923</c:v>
                </c:pt>
                <c:pt idx="3">
                  <c:v>3467685.6037735851</c:v>
                </c:pt>
                <c:pt idx="4">
                  <c:v>2333019.826923077</c:v>
                </c:pt>
                <c:pt idx="5">
                  <c:v>1702491.1153846155</c:v>
                </c:pt>
                <c:pt idx="6">
                  <c:v>2815654.596153846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9-8E4C-91D0-5DEEAE310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503781"/>
        <c:axId val="13514140"/>
      </c:barChart>
      <c:catAx>
        <c:axId val="325037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3514140"/>
        <c:crosses val="autoZero"/>
        <c:auto val="1"/>
        <c:lblAlgn val="ctr"/>
        <c:lblOffset val="100"/>
        <c:noMultiLvlLbl val="0"/>
      </c:catAx>
      <c:valAx>
        <c:axId val="135141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Avg Rows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25037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Projected Monthly Volume vs. Purge Requirement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'Forward Projections'!$B$14</c:f>
              <c:strCache>
                <c:ptCount val="1"/>
                <c:pt idx="0">
                  <c:v>Projected Monthly Volume</c:v>
                </c:pt>
              </c:strCache>
            </c:strRef>
          </c:tx>
          <c:spPr>
            <a:ln w="24840">
              <a:solidFill>
                <a:srgbClr val="2F549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'Forward Projections'!$A$15:$A$38</c:f>
              <c:strCache>
                <c:ptCount val="24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  <c:pt idx="8">
                  <c:v>2026-11</c:v>
                </c:pt>
                <c:pt idx="9">
                  <c:v>2026-12</c:v>
                </c:pt>
                <c:pt idx="10">
                  <c:v>2027-01</c:v>
                </c:pt>
                <c:pt idx="11">
                  <c:v>2027-02</c:v>
                </c:pt>
                <c:pt idx="12">
                  <c:v>2027-03</c:v>
                </c:pt>
                <c:pt idx="13">
                  <c:v>2027-04</c:v>
                </c:pt>
                <c:pt idx="14">
                  <c:v>2027-05</c:v>
                </c:pt>
                <c:pt idx="15">
                  <c:v>2027-06</c:v>
                </c:pt>
                <c:pt idx="16">
                  <c:v>2027-07</c:v>
                </c:pt>
                <c:pt idx="17">
                  <c:v>2027-08</c:v>
                </c:pt>
                <c:pt idx="18">
                  <c:v>2027-09</c:v>
                </c:pt>
                <c:pt idx="19">
                  <c:v>2027-10</c:v>
                </c:pt>
                <c:pt idx="20">
                  <c:v>2027-11</c:v>
                </c:pt>
                <c:pt idx="21">
                  <c:v>2027-12</c:v>
                </c:pt>
                <c:pt idx="22">
                  <c:v>2028-01</c:v>
                </c:pt>
                <c:pt idx="23">
                  <c:v>2028-02</c:v>
                </c:pt>
              </c:strCache>
            </c:strRef>
          </c:cat>
          <c:val>
            <c:numRef>
              <c:f>'Forward Projections'!$B$15:$B$38</c:f>
              <c:numCache>
                <c:formatCode>#,##0</c:formatCode>
                <c:ptCount val="24"/>
                <c:pt idx="0">
                  <c:v>390979390.65268713</c:v>
                </c:pt>
                <c:pt idx="1">
                  <c:v>697509429.4745928</c:v>
                </c:pt>
                <c:pt idx="2">
                  <c:v>1244360740.8405693</c:v>
                </c:pt>
                <c:pt idx="3">
                  <c:v>2219946552.5672765</c:v>
                </c:pt>
                <c:pt idx="4">
                  <c:v>3960397121.5986357</c:v>
                </c:pt>
                <c:pt idx="5">
                  <c:v>7065370714.7264404</c:v>
                </c:pt>
                <c:pt idx="6">
                  <c:v>12604661048.830315</c:v>
                </c:pt>
                <c:pt idx="7">
                  <c:v>22486786125.001171</c:v>
                </c:pt>
                <c:pt idx="8">
                  <c:v>40116552779.375923</c:v>
                </c:pt>
                <c:pt idx="9">
                  <c:v>71568155536.071289</c:v>
                </c:pt>
                <c:pt idx="10">
                  <c:v>127677991551.37114</c:v>
                </c:pt>
                <c:pt idx="11">
                  <c:v>227778254231.74057</c:v>
                </c:pt>
                <c:pt idx="12">
                  <c:v>406357685223.95959</c:v>
                </c:pt>
                <c:pt idx="13">
                  <c:v>724944393386.10242</c:v>
                </c:pt>
                <c:pt idx="14">
                  <c:v>1293304870590.2932</c:v>
                </c:pt>
                <c:pt idx="15">
                  <c:v>2307263155012.4077</c:v>
                </c:pt>
                <c:pt idx="16">
                  <c:v>4116170430911.6719</c:v>
                </c:pt>
                <c:pt idx="17">
                  <c:v>7343271173686.4971</c:v>
                </c:pt>
                <c:pt idx="18">
                  <c:v>13100437028879.723</c:v>
                </c:pt>
                <c:pt idx="19">
                  <c:v>23371253258714.254</c:v>
                </c:pt>
                <c:pt idx="20">
                  <c:v>41694447114919.719</c:v>
                </c:pt>
                <c:pt idx="21">
                  <c:v>74383127895404.734</c:v>
                </c:pt>
                <c:pt idx="22">
                  <c:v>132699918055138.2</c:v>
                </c:pt>
                <c:pt idx="23">
                  <c:v>236737399328003.5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FD8-5A44-A910-A4CFC35A4C77}"/>
            </c:ext>
          </c:extLst>
        </c:ser>
        <c:ser>
          <c:idx val="1"/>
          <c:order val="1"/>
          <c:tx>
            <c:strRef>
              <c:f>'Forward Projections'!$D$14</c:f>
              <c:strCache>
                <c:ptCount val="1"/>
                <c:pt idx="0">
                  <c:v>Est. Rows to Purge/Month</c:v>
                </c:pt>
              </c:strCache>
            </c:strRef>
          </c:tx>
          <c:spPr>
            <a:ln w="2484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  <a:prstDash val="dash"/>
                    </a:ln>
                  </c:spPr>
                </c15:leaderLines>
              </c:ext>
            </c:extLst>
          </c:dLbls>
          <c:cat>
            <c:strRef>
              <c:f>'Forward Projections'!$A$15:$A$38</c:f>
              <c:strCache>
                <c:ptCount val="24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  <c:pt idx="8">
                  <c:v>2026-11</c:v>
                </c:pt>
                <c:pt idx="9">
                  <c:v>2026-12</c:v>
                </c:pt>
                <c:pt idx="10">
                  <c:v>2027-01</c:v>
                </c:pt>
                <c:pt idx="11">
                  <c:v>2027-02</c:v>
                </c:pt>
                <c:pt idx="12">
                  <c:v>2027-03</c:v>
                </c:pt>
                <c:pt idx="13">
                  <c:v>2027-04</c:v>
                </c:pt>
                <c:pt idx="14">
                  <c:v>2027-05</c:v>
                </c:pt>
                <c:pt idx="15">
                  <c:v>2027-06</c:v>
                </c:pt>
                <c:pt idx="16">
                  <c:v>2027-07</c:v>
                </c:pt>
                <c:pt idx="17">
                  <c:v>2027-08</c:v>
                </c:pt>
                <c:pt idx="18">
                  <c:v>2027-09</c:v>
                </c:pt>
                <c:pt idx="19">
                  <c:v>2027-10</c:v>
                </c:pt>
                <c:pt idx="20">
                  <c:v>2027-11</c:v>
                </c:pt>
                <c:pt idx="21">
                  <c:v>2027-12</c:v>
                </c:pt>
                <c:pt idx="22">
                  <c:v>2028-01</c:v>
                </c:pt>
                <c:pt idx="23">
                  <c:v>2028-02</c:v>
                </c:pt>
              </c:strCache>
            </c:strRef>
          </c:cat>
          <c:val>
            <c:numRef>
              <c:f>'Forward Projections'!$D$15:$D$38</c:f>
              <c:numCache>
                <c:formatCode>#,##0</c:formatCode>
                <c:ptCount val="24"/>
                <c:pt idx="0">
                  <c:v>376183.07583107904</c:v>
                </c:pt>
                <c:pt idx="1">
                  <c:v>671112.72070608847</c:v>
                </c:pt>
                <c:pt idx="2">
                  <c:v>1197268.8640989582</c:v>
                </c:pt>
                <c:pt idx="3">
                  <c:v>2135934.3798947087</c:v>
                </c:pt>
                <c:pt idx="4">
                  <c:v>3810518.9335643756</c:v>
                </c:pt>
                <c:pt idx="5">
                  <c:v>6797987.1852469342</c:v>
                </c:pt>
                <c:pt idx="6">
                  <c:v>12127647.330059068</c:v>
                </c:pt>
                <c:pt idx="7">
                  <c:v>21635790.970816057</c:v>
                </c:pt>
                <c:pt idx="8">
                  <c:v>38598372.643357992</c:v>
                </c:pt>
                <c:pt idx="9">
                  <c:v>68859713.644170657</c:v>
                </c:pt>
                <c:pt idx="10">
                  <c:v>122846116</c:v>
                </c:pt>
                <c:pt idx="11">
                  <c:v>219158161.1022718</c:v>
                </c:pt>
                <c:pt idx="12">
                  <c:v>390979390.65268713</c:v>
                </c:pt>
                <c:pt idx="13">
                  <c:v>697509429.4745928</c:v>
                </c:pt>
                <c:pt idx="14">
                  <c:v>1244360740.8405693</c:v>
                </c:pt>
                <c:pt idx="15">
                  <c:v>2219946552.5672765</c:v>
                </c:pt>
                <c:pt idx="16">
                  <c:v>3960397121.5986357</c:v>
                </c:pt>
                <c:pt idx="17">
                  <c:v>7065370714.7264404</c:v>
                </c:pt>
                <c:pt idx="18">
                  <c:v>12604661048.830315</c:v>
                </c:pt>
                <c:pt idx="19">
                  <c:v>22486786125.001171</c:v>
                </c:pt>
                <c:pt idx="20">
                  <c:v>40116552779.375923</c:v>
                </c:pt>
                <c:pt idx="21">
                  <c:v>71568155536.071289</c:v>
                </c:pt>
                <c:pt idx="22">
                  <c:v>127677991551.37114</c:v>
                </c:pt>
                <c:pt idx="23">
                  <c:v>227778254231.74057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FD8-5A44-A910-A4CFC35A4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280309"/>
        <c:axId val="84531616"/>
      </c:lineChart>
      <c:catAx>
        <c:axId val="42803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4531616"/>
        <c:crosses val="autoZero"/>
        <c:auto val="1"/>
        <c:lblAlgn val="ctr"/>
        <c:lblOffset val="100"/>
        <c:noMultiLvlLbl val="0"/>
      </c:catAx>
      <c:valAx>
        <c:axId val="845316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Rows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2803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Estimated Nightly Purge Duration (Hours)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'Forward Projections'!$F$14</c:f>
              <c:strCache>
                <c:ptCount val="1"/>
                <c:pt idx="0">
                  <c:v>Est. Purge Duration (hrs)</c:v>
                </c:pt>
              </c:strCache>
            </c:strRef>
          </c:tx>
          <c:spPr>
            <a:solidFill>
              <a:srgbClr val="2F549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F9F9F9"/>
                      </a:solidFill>
                    </a:ln>
                  </c:spPr>
                </c15:leaderLines>
              </c:ext>
            </c:extLst>
          </c:dLbls>
          <c:cat>
            <c:strRef>
              <c:f>'Forward Projections'!$A$15:$A$38</c:f>
              <c:strCache>
                <c:ptCount val="24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  <c:pt idx="8">
                  <c:v>2026-11</c:v>
                </c:pt>
                <c:pt idx="9">
                  <c:v>2026-12</c:v>
                </c:pt>
                <c:pt idx="10">
                  <c:v>2027-01</c:v>
                </c:pt>
                <c:pt idx="11">
                  <c:v>2027-02</c:v>
                </c:pt>
                <c:pt idx="12">
                  <c:v>2027-03</c:v>
                </c:pt>
                <c:pt idx="13">
                  <c:v>2027-04</c:v>
                </c:pt>
                <c:pt idx="14">
                  <c:v>2027-05</c:v>
                </c:pt>
                <c:pt idx="15">
                  <c:v>2027-06</c:v>
                </c:pt>
                <c:pt idx="16">
                  <c:v>2027-07</c:v>
                </c:pt>
                <c:pt idx="17">
                  <c:v>2027-08</c:v>
                </c:pt>
                <c:pt idx="18">
                  <c:v>2027-09</c:v>
                </c:pt>
                <c:pt idx="19">
                  <c:v>2027-10</c:v>
                </c:pt>
                <c:pt idx="20">
                  <c:v>2027-11</c:v>
                </c:pt>
                <c:pt idx="21">
                  <c:v>2027-12</c:v>
                </c:pt>
                <c:pt idx="22">
                  <c:v>2028-01</c:v>
                </c:pt>
                <c:pt idx="23">
                  <c:v>2028-02</c:v>
                </c:pt>
              </c:strCache>
            </c:strRef>
          </c:cat>
          <c:val>
            <c:numRef>
              <c:f>'Forward Projections'!$F$15:$F$38</c:f>
              <c:numCache>
                <c:formatCode>#,##0.0</c:formatCode>
                <c:ptCount val="24"/>
                <c:pt idx="0">
                  <c:v>2.2222222222222222E-3</c:v>
                </c:pt>
                <c:pt idx="1">
                  <c:v>3.8888888888888888E-3</c:v>
                </c:pt>
                <c:pt idx="2">
                  <c:v>6.6666666666666671E-3</c:v>
                </c:pt>
                <c:pt idx="3">
                  <c:v>1.2222222222222223E-2</c:v>
                </c:pt>
                <c:pt idx="4">
                  <c:v>2.1666666666666667E-2</c:v>
                </c:pt>
                <c:pt idx="5">
                  <c:v>3.7777777777777778E-2</c:v>
                </c:pt>
                <c:pt idx="6">
                  <c:v>6.7777777777777784E-2</c:v>
                </c:pt>
                <c:pt idx="7">
                  <c:v>0.12055555555555555</c:v>
                </c:pt>
                <c:pt idx="8">
                  <c:v>0.21444444444444444</c:v>
                </c:pt>
                <c:pt idx="9">
                  <c:v>0.38277777777777777</c:v>
                </c:pt>
                <c:pt idx="10">
                  <c:v>0.68277777777777782</c:v>
                </c:pt>
                <c:pt idx="11">
                  <c:v>1.2177777777777778</c:v>
                </c:pt>
                <c:pt idx="12">
                  <c:v>2.1722222222222221</c:v>
                </c:pt>
                <c:pt idx="13">
                  <c:v>3.8755555555555556</c:v>
                </c:pt>
                <c:pt idx="14">
                  <c:v>6.9133333333333331</c:v>
                </c:pt>
                <c:pt idx="15">
                  <c:v>12.333333333333334</c:v>
                </c:pt>
                <c:pt idx="16">
                  <c:v>22.002222222222223</c:v>
                </c:pt>
                <c:pt idx="17">
                  <c:v>39.252222222222223</c:v>
                </c:pt>
                <c:pt idx="18">
                  <c:v>70.026111111111106</c:v>
                </c:pt>
                <c:pt idx="19">
                  <c:v>124.92666666666666</c:v>
                </c:pt>
                <c:pt idx="20">
                  <c:v>222.87</c:v>
                </c:pt>
                <c:pt idx="21">
                  <c:v>397.60111111111109</c:v>
                </c:pt>
                <c:pt idx="22">
                  <c:v>709.32222222222219</c:v>
                </c:pt>
                <c:pt idx="23">
                  <c:v>1265.4349999999999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A1-F444-B6AA-727D3601B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045939"/>
        <c:axId val="32754329"/>
      </c:barChart>
      <c:catAx>
        <c:axId val="820459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2754329"/>
        <c:crosses val="autoZero"/>
        <c:auto val="1"/>
        <c:lblAlgn val="ctr"/>
        <c:lblOffset val="100"/>
        <c:noMultiLvlLbl val="0"/>
      </c:catAx>
      <c:valAx>
        <c:axId val="327543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204593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Projected Table Size (GB)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'Forward Projections'!$G$14</c:f>
              <c:strCache>
                <c:ptCount val="1"/>
                <c:pt idx="0">
                  <c:v>Est. Table Size (GB)</c:v>
                </c:pt>
              </c:strCache>
            </c:strRef>
          </c:tx>
          <c:spPr>
            <a:ln w="24840">
              <a:solidFill>
                <a:srgbClr val="008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'Forward Projections'!$A$15:$A$38</c:f>
              <c:strCache>
                <c:ptCount val="24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  <c:pt idx="8">
                  <c:v>2026-11</c:v>
                </c:pt>
                <c:pt idx="9">
                  <c:v>2026-12</c:v>
                </c:pt>
                <c:pt idx="10">
                  <c:v>2027-01</c:v>
                </c:pt>
                <c:pt idx="11">
                  <c:v>2027-02</c:v>
                </c:pt>
                <c:pt idx="12">
                  <c:v>2027-03</c:v>
                </c:pt>
                <c:pt idx="13">
                  <c:v>2027-04</c:v>
                </c:pt>
                <c:pt idx="14">
                  <c:v>2027-05</c:v>
                </c:pt>
                <c:pt idx="15">
                  <c:v>2027-06</c:v>
                </c:pt>
                <c:pt idx="16">
                  <c:v>2027-07</c:v>
                </c:pt>
                <c:pt idx="17">
                  <c:v>2027-08</c:v>
                </c:pt>
                <c:pt idx="18">
                  <c:v>2027-09</c:v>
                </c:pt>
                <c:pt idx="19">
                  <c:v>2027-10</c:v>
                </c:pt>
                <c:pt idx="20">
                  <c:v>2027-11</c:v>
                </c:pt>
                <c:pt idx="21">
                  <c:v>2027-12</c:v>
                </c:pt>
                <c:pt idx="22">
                  <c:v>2028-01</c:v>
                </c:pt>
                <c:pt idx="23">
                  <c:v>2028-02</c:v>
                </c:pt>
              </c:strCache>
            </c:strRef>
          </c:cat>
          <c:val>
            <c:numRef>
              <c:f>'Forward Projections'!$G$15:$G$38</c:f>
              <c:numCache>
                <c:formatCode>#,##0.0</c:formatCode>
                <c:ptCount val="24"/>
                <c:pt idx="0">
                  <c:v>706.49645321661933</c:v>
                </c:pt>
                <c:pt idx="1">
                  <c:v>1031.299592055045</c:v>
                </c:pt>
                <c:pt idx="2">
                  <c:v>1610.7502165100764</c:v>
                </c:pt>
                <c:pt idx="3">
                  <c:v>2644.4933859329326</c:v>
                </c:pt>
                <c:pt idx="4">
                  <c:v>4488.6970078264185</c:v>
                </c:pt>
                <c:pt idx="5">
                  <c:v>7778.766630152335</c:v>
                </c:pt>
                <c:pt idx="6">
                  <c:v>13648.269320228377</c:v>
                </c:pt>
                <c:pt idx="7">
                  <c:v>24119.495094610233</c:v>
                </c:pt>
                <c:pt idx="8">
                  <c:v>42800.22070420329</c:v>
                </c:pt>
                <c:pt idx="9">
                  <c:v>76126.740141370756</c:v>
                </c:pt>
                <c:pt idx="10">
                  <c:v>135581.43804804891</c:v>
                </c:pt>
                <c:pt idx="11">
                  <c:v>241648.95313431072</c:v>
                </c:pt>
                <c:pt idx="12">
                  <c:v>430873.99594309286</c:v>
                </c:pt>
                <c:pt idx="13">
                  <c:v>768452.53539379337</c:v>
                </c:pt>
                <c:pt idx="14">
                  <c:v>1370694.5463142383</c:v>
                </c:pt>
                <c:pt idx="15">
                  <c:v>2445097.6772350324</c:v>
                </c:pt>
                <c:pt idx="16">
                  <c:v>4361838.8988714134</c:v>
                </c:pt>
                <c:pt idx="17">
                  <c:v>7781316.0066600814</c:v>
                </c:pt>
                <c:pt idx="18">
                  <c:v>13881682.377822189</c:v>
                </c:pt>
                <c:pt idx="19">
                  <c:v>24764770.256270263</c:v>
                </c:pt>
                <c:pt idx="20">
                  <c:v>44180260.173388235</c:v>
                </c:pt>
                <c:pt idx="21">
                  <c:v>78817603.263138622</c:v>
                </c:pt>
                <c:pt idx="22">
                  <c:v>140610817.93032578</c:v>
                </c:pt>
                <c:pt idx="23">
                  <c:v>250850260.05529022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903-FA4E-B4EA-B3BBC91B0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4332249"/>
        <c:axId val="34897066"/>
      </c:lineChart>
      <c:catAx>
        <c:axId val="443322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4897066"/>
        <c:crosses val="autoZero"/>
        <c:auto val="1"/>
        <c:lblAlgn val="ctr"/>
        <c:lblOffset val="100"/>
        <c:noMultiLvlLbl val="0"/>
      </c:catAx>
      <c:valAx>
        <c:axId val="348970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GB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43322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160560</xdr:rowOff>
    </xdr:from>
    <xdr:to>
      <xdr:col>8</xdr:col>
      <xdr:colOff>115920</xdr:colOff>
      <xdr:row>53</xdr:row>
      <xdr:rowOff>35640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203200</xdr:colOff>
      <xdr:row>24</xdr:row>
      <xdr:rowOff>173260</xdr:rowOff>
    </xdr:from>
    <xdr:to>
      <xdr:col>23</xdr:col>
      <xdr:colOff>217520</xdr:colOff>
      <xdr:row>53</xdr:row>
      <xdr:rowOff>48700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369</xdr:row>
      <xdr:rowOff>160920</xdr:rowOff>
    </xdr:from>
    <xdr:to>
      <xdr:col>11</xdr:col>
      <xdr:colOff>159480</xdr:colOff>
      <xdr:row>403</xdr:row>
      <xdr:rowOff>163440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160560</xdr:rowOff>
    </xdr:from>
    <xdr:to>
      <xdr:col>14</xdr:col>
      <xdr:colOff>501840</xdr:colOff>
      <xdr:row>44</xdr:row>
      <xdr:rowOff>56880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46</xdr:row>
      <xdr:rowOff>160560</xdr:rowOff>
    </xdr:from>
    <xdr:to>
      <xdr:col>5</xdr:col>
      <xdr:colOff>1448640</xdr:colOff>
      <xdr:row>77</xdr:row>
      <xdr:rowOff>14760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1600200</xdr:colOff>
      <xdr:row>46</xdr:row>
      <xdr:rowOff>173620</xdr:rowOff>
    </xdr:from>
    <xdr:to>
      <xdr:col>21</xdr:col>
      <xdr:colOff>102440</xdr:colOff>
      <xdr:row>77</xdr:row>
      <xdr:rowOff>27820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78</xdr:row>
      <xdr:rowOff>160560</xdr:rowOff>
    </xdr:from>
    <xdr:to>
      <xdr:col>5</xdr:col>
      <xdr:colOff>1448640</xdr:colOff>
      <xdr:row>109</xdr:row>
      <xdr:rowOff>14760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3"/>
  <sheetViews>
    <sheetView zoomScaleNormal="100" workbookViewId="0"/>
  </sheetViews>
  <sheetFormatPr baseColWidth="10" defaultColWidth="8.6640625" defaultRowHeight="15" customHeight="1" x14ac:dyDescent="0.2"/>
  <cols>
    <col min="1" max="4" width="8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2026</v>
      </c>
      <c r="B2">
        <v>2</v>
      </c>
      <c r="C2">
        <v>26</v>
      </c>
      <c r="D2">
        <v>669087</v>
      </c>
    </row>
    <row r="3" spans="1:4" x14ac:dyDescent="0.2">
      <c r="A3">
        <v>2026</v>
      </c>
      <c r="B3">
        <v>2</v>
      </c>
      <c r="C3">
        <v>25</v>
      </c>
      <c r="D3">
        <v>4622233</v>
      </c>
    </row>
    <row r="4" spans="1:4" x14ac:dyDescent="0.2">
      <c r="A4">
        <v>2026</v>
      </c>
      <c r="B4">
        <v>2</v>
      </c>
      <c r="C4">
        <v>24</v>
      </c>
      <c r="D4">
        <v>4975720</v>
      </c>
    </row>
    <row r="5" spans="1:4" x14ac:dyDescent="0.2">
      <c r="A5">
        <v>2026</v>
      </c>
      <c r="B5">
        <v>2</v>
      </c>
      <c r="C5">
        <v>23</v>
      </c>
      <c r="D5">
        <v>4726602</v>
      </c>
    </row>
    <row r="6" spans="1:4" x14ac:dyDescent="0.2">
      <c r="A6">
        <v>2026</v>
      </c>
      <c r="B6">
        <v>2</v>
      </c>
      <c r="C6">
        <v>22</v>
      </c>
      <c r="D6">
        <v>3409595</v>
      </c>
    </row>
    <row r="7" spans="1:4" x14ac:dyDescent="0.2">
      <c r="A7">
        <v>2026</v>
      </c>
      <c r="B7">
        <v>2</v>
      </c>
      <c r="C7">
        <v>21</v>
      </c>
      <c r="D7">
        <v>2236911</v>
      </c>
    </row>
    <row r="8" spans="1:4" x14ac:dyDescent="0.2">
      <c r="A8">
        <v>2026</v>
      </c>
      <c r="B8">
        <v>2</v>
      </c>
      <c r="C8">
        <v>20</v>
      </c>
      <c r="D8">
        <v>2991948</v>
      </c>
    </row>
    <row r="9" spans="1:4" x14ac:dyDescent="0.2">
      <c r="A9">
        <v>2026</v>
      </c>
      <c r="B9">
        <v>2</v>
      </c>
      <c r="C9">
        <v>19</v>
      </c>
      <c r="D9">
        <v>4796771</v>
      </c>
    </row>
    <row r="10" spans="1:4" x14ac:dyDescent="0.2">
      <c r="A10">
        <v>2026</v>
      </c>
      <c r="B10">
        <v>2</v>
      </c>
      <c r="C10">
        <v>18</v>
      </c>
      <c r="D10">
        <v>4757647</v>
      </c>
    </row>
    <row r="11" spans="1:4" x14ac:dyDescent="0.2">
      <c r="A11">
        <v>2026</v>
      </c>
      <c r="B11">
        <v>2</v>
      </c>
      <c r="C11">
        <v>17</v>
      </c>
      <c r="D11">
        <v>4870475</v>
      </c>
    </row>
    <row r="12" spans="1:4" x14ac:dyDescent="0.2">
      <c r="A12">
        <v>2026</v>
      </c>
      <c r="B12">
        <v>2</v>
      </c>
      <c r="C12">
        <v>16</v>
      </c>
      <c r="D12">
        <v>4816016</v>
      </c>
    </row>
    <row r="13" spans="1:4" x14ac:dyDescent="0.2">
      <c r="A13">
        <v>2026</v>
      </c>
      <c r="B13">
        <v>2</v>
      </c>
      <c r="C13">
        <v>15</v>
      </c>
      <c r="D13">
        <v>3776866</v>
      </c>
    </row>
    <row r="14" spans="1:4" x14ac:dyDescent="0.2">
      <c r="A14">
        <v>2026</v>
      </c>
      <c r="B14">
        <v>2</v>
      </c>
      <c r="C14">
        <v>14</v>
      </c>
      <c r="D14">
        <v>1857040</v>
      </c>
    </row>
    <row r="15" spans="1:4" x14ac:dyDescent="0.2">
      <c r="A15">
        <v>2026</v>
      </c>
      <c r="B15">
        <v>2</v>
      </c>
      <c r="C15">
        <v>13</v>
      </c>
      <c r="D15">
        <v>2898665</v>
      </c>
    </row>
    <row r="16" spans="1:4" x14ac:dyDescent="0.2">
      <c r="A16">
        <v>2026</v>
      </c>
      <c r="B16">
        <v>2</v>
      </c>
      <c r="C16">
        <v>12</v>
      </c>
      <c r="D16">
        <v>4798004</v>
      </c>
    </row>
    <row r="17" spans="1:4" x14ac:dyDescent="0.2">
      <c r="A17">
        <v>2026</v>
      </c>
      <c r="B17">
        <v>2</v>
      </c>
      <c r="C17">
        <v>11</v>
      </c>
      <c r="D17">
        <v>4766286</v>
      </c>
    </row>
    <row r="18" spans="1:4" x14ac:dyDescent="0.2">
      <c r="A18">
        <v>2026</v>
      </c>
      <c r="B18">
        <v>2</v>
      </c>
      <c r="C18">
        <v>10</v>
      </c>
      <c r="D18">
        <v>4919377</v>
      </c>
    </row>
    <row r="19" spans="1:4" x14ac:dyDescent="0.2">
      <c r="A19">
        <v>2026</v>
      </c>
      <c r="B19">
        <v>2</v>
      </c>
      <c r="C19">
        <v>9</v>
      </c>
      <c r="D19">
        <v>4703706</v>
      </c>
    </row>
    <row r="20" spans="1:4" x14ac:dyDescent="0.2">
      <c r="A20">
        <v>2026</v>
      </c>
      <c r="B20">
        <v>2</v>
      </c>
      <c r="C20">
        <v>8</v>
      </c>
      <c r="D20">
        <v>3471980</v>
      </c>
    </row>
    <row r="21" spans="1:4" x14ac:dyDescent="0.2">
      <c r="A21">
        <v>2026</v>
      </c>
      <c r="B21">
        <v>2</v>
      </c>
      <c r="C21">
        <v>7</v>
      </c>
      <c r="D21">
        <v>1867565</v>
      </c>
    </row>
    <row r="22" spans="1:4" x14ac:dyDescent="0.2">
      <c r="A22">
        <v>2026</v>
      </c>
      <c r="B22">
        <v>2</v>
      </c>
      <c r="C22">
        <v>6</v>
      </c>
      <c r="D22">
        <v>2903760</v>
      </c>
    </row>
    <row r="23" spans="1:4" x14ac:dyDescent="0.2">
      <c r="A23">
        <v>2026</v>
      </c>
      <c r="B23">
        <v>2</v>
      </c>
      <c r="C23">
        <v>5</v>
      </c>
      <c r="D23">
        <v>4636373</v>
      </c>
    </row>
    <row r="24" spans="1:4" x14ac:dyDescent="0.2">
      <c r="A24">
        <v>2026</v>
      </c>
      <c r="B24">
        <v>2</v>
      </c>
      <c r="C24">
        <v>4</v>
      </c>
      <c r="D24">
        <v>4739935</v>
      </c>
    </row>
    <row r="25" spans="1:4" x14ac:dyDescent="0.2">
      <c r="A25">
        <v>2026</v>
      </c>
      <c r="B25">
        <v>2</v>
      </c>
      <c r="C25">
        <v>3</v>
      </c>
      <c r="D25">
        <v>5109935</v>
      </c>
    </row>
    <row r="26" spans="1:4" x14ac:dyDescent="0.2">
      <c r="A26">
        <v>2026</v>
      </c>
      <c r="B26">
        <v>2</v>
      </c>
      <c r="C26">
        <v>2</v>
      </c>
      <c r="D26">
        <v>4972404</v>
      </c>
    </row>
    <row r="27" spans="1:4" x14ac:dyDescent="0.2">
      <c r="A27">
        <v>2026</v>
      </c>
      <c r="B27">
        <v>2</v>
      </c>
      <c r="C27">
        <v>1</v>
      </c>
      <c r="D27">
        <v>3825083</v>
      </c>
    </row>
    <row r="28" spans="1:4" x14ac:dyDescent="0.2">
      <c r="A28">
        <v>2026</v>
      </c>
      <c r="B28">
        <v>2</v>
      </c>
      <c r="C28" t="s">
        <v>4</v>
      </c>
      <c r="D28">
        <v>102119984</v>
      </c>
    </row>
    <row r="29" spans="1:4" x14ac:dyDescent="0.2">
      <c r="A29">
        <v>2026</v>
      </c>
      <c r="B29">
        <v>1</v>
      </c>
      <c r="C29">
        <v>31</v>
      </c>
      <c r="D29">
        <v>2006072</v>
      </c>
    </row>
    <row r="30" spans="1:4" x14ac:dyDescent="0.2">
      <c r="A30">
        <v>2026</v>
      </c>
      <c r="B30">
        <v>1</v>
      </c>
      <c r="C30">
        <v>30</v>
      </c>
      <c r="D30">
        <v>2734258</v>
      </c>
    </row>
    <row r="31" spans="1:4" x14ac:dyDescent="0.2">
      <c r="A31">
        <v>2026</v>
      </c>
      <c r="B31">
        <v>1</v>
      </c>
      <c r="C31">
        <v>29</v>
      </c>
      <c r="D31">
        <v>4724403</v>
      </c>
    </row>
    <row r="32" spans="1:4" x14ac:dyDescent="0.2">
      <c r="A32">
        <v>2026</v>
      </c>
      <c r="B32">
        <v>1</v>
      </c>
      <c r="C32">
        <v>28</v>
      </c>
      <c r="D32">
        <v>4605813</v>
      </c>
    </row>
    <row r="33" spans="1:4" x14ac:dyDescent="0.2">
      <c r="A33">
        <v>2026</v>
      </c>
      <c r="B33">
        <v>1</v>
      </c>
      <c r="C33">
        <v>27</v>
      </c>
      <c r="D33">
        <v>4970736</v>
      </c>
    </row>
    <row r="34" spans="1:4" x14ac:dyDescent="0.2">
      <c r="A34">
        <v>2026</v>
      </c>
      <c r="B34">
        <v>1</v>
      </c>
      <c r="C34">
        <v>26</v>
      </c>
      <c r="D34">
        <v>4915798</v>
      </c>
    </row>
    <row r="35" spans="1:4" x14ac:dyDescent="0.2">
      <c r="A35">
        <v>2026</v>
      </c>
      <c r="B35">
        <v>1</v>
      </c>
      <c r="C35">
        <v>25</v>
      </c>
      <c r="D35">
        <v>3670308</v>
      </c>
    </row>
    <row r="36" spans="1:4" x14ac:dyDescent="0.2">
      <c r="A36">
        <v>2026</v>
      </c>
      <c r="B36">
        <v>1</v>
      </c>
      <c r="C36">
        <v>24</v>
      </c>
      <c r="D36">
        <v>2167996</v>
      </c>
    </row>
    <row r="37" spans="1:4" x14ac:dyDescent="0.2">
      <c r="A37">
        <v>2026</v>
      </c>
      <c r="B37">
        <v>1</v>
      </c>
      <c r="C37">
        <v>23</v>
      </c>
      <c r="D37">
        <v>2776381</v>
      </c>
    </row>
    <row r="38" spans="1:4" x14ac:dyDescent="0.2">
      <c r="A38">
        <v>2026</v>
      </c>
      <c r="B38">
        <v>1</v>
      </c>
      <c r="C38">
        <v>22</v>
      </c>
      <c r="D38">
        <v>4453274</v>
      </c>
    </row>
    <row r="39" spans="1:4" x14ac:dyDescent="0.2">
      <c r="A39">
        <v>2026</v>
      </c>
      <c r="B39">
        <v>1</v>
      </c>
      <c r="C39">
        <v>21</v>
      </c>
      <c r="D39">
        <v>4597939</v>
      </c>
    </row>
    <row r="40" spans="1:4" x14ac:dyDescent="0.2">
      <c r="A40">
        <v>2026</v>
      </c>
      <c r="B40">
        <v>1</v>
      </c>
      <c r="C40">
        <v>20</v>
      </c>
      <c r="D40">
        <v>5092829</v>
      </c>
    </row>
    <row r="41" spans="1:4" x14ac:dyDescent="0.2">
      <c r="A41">
        <v>2026</v>
      </c>
      <c r="B41">
        <v>1</v>
      </c>
      <c r="C41">
        <v>19</v>
      </c>
      <c r="D41">
        <v>5068727</v>
      </c>
    </row>
    <row r="42" spans="1:4" x14ac:dyDescent="0.2">
      <c r="A42">
        <v>2026</v>
      </c>
      <c r="B42">
        <v>1</v>
      </c>
      <c r="C42">
        <v>18</v>
      </c>
      <c r="D42">
        <v>3921633</v>
      </c>
    </row>
    <row r="43" spans="1:4" x14ac:dyDescent="0.2">
      <c r="A43">
        <v>2026</v>
      </c>
      <c r="B43">
        <v>1</v>
      </c>
      <c r="C43">
        <v>17</v>
      </c>
      <c r="D43">
        <v>2340686</v>
      </c>
    </row>
    <row r="44" spans="1:4" x14ac:dyDescent="0.2">
      <c r="A44">
        <v>2026</v>
      </c>
      <c r="B44">
        <v>1</v>
      </c>
      <c r="C44">
        <v>16</v>
      </c>
      <c r="D44">
        <v>3030825</v>
      </c>
    </row>
    <row r="45" spans="1:4" x14ac:dyDescent="0.2">
      <c r="A45">
        <v>2026</v>
      </c>
      <c r="B45">
        <v>1</v>
      </c>
      <c r="C45">
        <v>15</v>
      </c>
      <c r="D45">
        <v>4991496</v>
      </c>
    </row>
    <row r="46" spans="1:4" x14ac:dyDescent="0.2">
      <c r="A46">
        <v>2026</v>
      </c>
      <c r="B46">
        <v>1</v>
      </c>
      <c r="C46">
        <v>14</v>
      </c>
      <c r="D46">
        <v>4939243</v>
      </c>
    </row>
    <row r="47" spans="1:4" x14ac:dyDescent="0.2">
      <c r="A47">
        <v>2026</v>
      </c>
      <c r="B47">
        <v>1</v>
      </c>
      <c r="C47">
        <v>13</v>
      </c>
      <c r="D47">
        <v>5245107</v>
      </c>
    </row>
    <row r="48" spans="1:4" x14ac:dyDescent="0.2">
      <c r="A48">
        <v>2026</v>
      </c>
      <c r="B48">
        <v>1</v>
      </c>
      <c r="C48">
        <v>12</v>
      </c>
      <c r="D48">
        <v>4843494</v>
      </c>
    </row>
    <row r="49" spans="1:4" x14ac:dyDescent="0.2">
      <c r="A49">
        <v>2026</v>
      </c>
      <c r="B49">
        <v>1</v>
      </c>
      <c r="C49">
        <v>11</v>
      </c>
      <c r="D49">
        <v>3862803</v>
      </c>
    </row>
    <row r="50" spans="1:4" x14ac:dyDescent="0.2">
      <c r="A50">
        <v>2026</v>
      </c>
      <c r="B50">
        <v>1</v>
      </c>
      <c r="C50">
        <v>10</v>
      </c>
      <c r="D50">
        <v>1843441</v>
      </c>
    </row>
    <row r="51" spans="1:4" x14ac:dyDescent="0.2">
      <c r="A51">
        <v>2026</v>
      </c>
      <c r="B51">
        <v>1</v>
      </c>
      <c r="C51">
        <v>9</v>
      </c>
      <c r="D51">
        <v>3980213</v>
      </c>
    </row>
    <row r="52" spans="1:4" x14ac:dyDescent="0.2">
      <c r="A52">
        <v>2026</v>
      </c>
      <c r="B52">
        <v>1</v>
      </c>
      <c r="C52">
        <v>8</v>
      </c>
      <c r="D52">
        <v>5152016</v>
      </c>
    </row>
    <row r="53" spans="1:4" x14ac:dyDescent="0.2">
      <c r="A53">
        <v>2026</v>
      </c>
      <c r="B53">
        <v>1</v>
      </c>
      <c r="C53">
        <v>7</v>
      </c>
      <c r="D53">
        <v>5221217</v>
      </c>
    </row>
    <row r="54" spans="1:4" x14ac:dyDescent="0.2">
      <c r="A54">
        <v>2026</v>
      </c>
      <c r="B54">
        <v>1</v>
      </c>
      <c r="C54">
        <v>6</v>
      </c>
      <c r="D54">
        <v>5327459</v>
      </c>
    </row>
    <row r="55" spans="1:4" x14ac:dyDescent="0.2">
      <c r="A55">
        <v>2026</v>
      </c>
      <c r="B55">
        <v>1</v>
      </c>
      <c r="C55">
        <v>5</v>
      </c>
      <c r="D55">
        <v>5217831</v>
      </c>
    </row>
    <row r="56" spans="1:4" x14ac:dyDescent="0.2">
      <c r="A56">
        <v>2026</v>
      </c>
      <c r="B56">
        <v>1</v>
      </c>
      <c r="C56">
        <v>4</v>
      </c>
      <c r="D56">
        <v>3695905</v>
      </c>
    </row>
    <row r="57" spans="1:4" x14ac:dyDescent="0.2">
      <c r="A57">
        <v>2026</v>
      </c>
      <c r="B57">
        <v>1</v>
      </c>
      <c r="C57">
        <v>3</v>
      </c>
      <c r="D57">
        <v>2154073</v>
      </c>
    </row>
    <row r="58" spans="1:4" x14ac:dyDescent="0.2">
      <c r="A58">
        <v>2026</v>
      </c>
      <c r="B58">
        <v>1</v>
      </c>
      <c r="C58">
        <v>2</v>
      </c>
      <c r="D58">
        <v>3350589</v>
      </c>
    </row>
    <row r="59" spans="1:4" x14ac:dyDescent="0.2">
      <c r="A59">
        <v>2026</v>
      </c>
      <c r="B59">
        <v>1</v>
      </c>
      <c r="C59">
        <v>1</v>
      </c>
      <c r="D59">
        <v>1943551</v>
      </c>
    </row>
    <row r="60" spans="1:4" x14ac:dyDescent="0.2">
      <c r="A60">
        <v>2026</v>
      </c>
      <c r="B60">
        <v>1</v>
      </c>
      <c r="C60" t="s">
        <v>4</v>
      </c>
      <c r="D60">
        <v>122846116</v>
      </c>
    </row>
    <row r="61" spans="1:4" x14ac:dyDescent="0.2">
      <c r="A61">
        <v>2026</v>
      </c>
      <c r="B61" t="s">
        <v>4</v>
      </c>
      <c r="C61" t="s">
        <v>4</v>
      </c>
      <c r="D61">
        <v>224966100</v>
      </c>
    </row>
    <row r="62" spans="1:4" x14ac:dyDescent="0.2">
      <c r="A62">
        <v>2025</v>
      </c>
      <c r="B62">
        <v>12</v>
      </c>
      <c r="C62">
        <v>31</v>
      </c>
      <c r="D62">
        <v>2441741</v>
      </c>
    </row>
    <row r="63" spans="1:4" x14ac:dyDescent="0.2">
      <c r="A63">
        <v>2025</v>
      </c>
      <c r="B63">
        <v>12</v>
      </c>
      <c r="C63">
        <v>30</v>
      </c>
      <c r="D63">
        <v>4699824</v>
      </c>
    </row>
    <row r="64" spans="1:4" x14ac:dyDescent="0.2">
      <c r="A64">
        <v>2025</v>
      </c>
      <c r="B64">
        <v>12</v>
      </c>
      <c r="C64">
        <v>29</v>
      </c>
      <c r="D64">
        <v>4689216</v>
      </c>
    </row>
    <row r="65" spans="1:4" x14ac:dyDescent="0.2">
      <c r="A65">
        <v>2025</v>
      </c>
      <c r="B65">
        <v>12</v>
      </c>
      <c r="C65">
        <v>28</v>
      </c>
      <c r="D65">
        <v>4081758</v>
      </c>
    </row>
    <row r="66" spans="1:4" x14ac:dyDescent="0.2">
      <c r="A66">
        <v>2025</v>
      </c>
      <c r="B66">
        <v>12</v>
      </c>
      <c r="C66">
        <v>27</v>
      </c>
      <c r="D66">
        <v>2181656</v>
      </c>
    </row>
    <row r="67" spans="1:4" x14ac:dyDescent="0.2">
      <c r="A67">
        <v>2025</v>
      </c>
      <c r="B67">
        <v>12</v>
      </c>
      <c r="C67">
        <v>26</v>
      </c>
      <c r="D67">
        <v>2512244</v>
      </c>
    </row>
    <row r="68" spans="1:4" x14ac:dyDescent="0.2">
      <c r="A68">
        <v>2025</v>
      </c>
      <c r="B68">
        <v>12</v>
      </c>
      <c r="C68">
        <v>25</v>
      </c>
      <c r="D68">
        <v>1962904</v>
      </c>
    </row>
    <row r="69" spans="1:4" x14ac:dyDescent="0.2">
      <c r="A69">
        <v>2025</v>
      </c>
      <c r="B69">
        <v>12</v>
      </c>
      <c r="C69">
        <v>24</v>
      </c>
      <c r="D69">
        <v>2369797</v>
      </c>
    </row>
    <row r="70" spans="1:4" x14ac:dyDescent="0.2">
      <c r="A70">
        <v>2025</v>
      </c>
      <c r="B70">
        <v>12</v>
      </c>
      <c r="C70">
        <v>23</v>
      </c>
      <c r="D70">
        <v>4495071</v>
      </c>
    </row>
    <row r="71" spans="1:4" x14ac:dyDescent="0.2">
      <c r="A71">
        <v>2025</v>
      </c>
      <c r="B71">
        <v>12</v>
      </c>
      <c r="C71">
        <v>22</v>
      </c>
      <c r="D71">
        <v>4405623</v>
      </c>
    </row>
    <row r="72" spans="1:4" x14ac:dyDescent="0.2">
      <c r="A72">
        <v>2025</v>
      </c>
      <c r="B72">
        <v>12</v>
      </c>
      <c r="C72">
        <v>21</v>
      </c>
      <c r="D72">
        <v>3493264</v>
      </c>
    </row>
    <row r="73" spans="1:4" x14ac:dyDescent="0.2">
      <c r="A73">
        <v>2025</v>
      </c>
      <c r="B73">
        <v>12</v>
      </c>
      <c r="C73">
        <v>20</v>
      </c>
      <c r="D73">
        <v>2135605</v>
      </c>
    </row>
    <row r="74" spans="1:4" x14ac:dyDescent="0.2">
      <c r="A74">
        <v>2025</v>
      </c>
      <c r="B74">
        <v>12</v>
      </c>
      <c r="C74">
        <v>19</v>
      </c>
      <c r="D74">
        <v>2727382</v>
      </c>
    </row>
    <row r="75" spans="1:4" x14ac:dyDescent="0.2">
      <c r="A75">
        <v>2025</v>
      </c>
      <c r="B75">
        <v>12</v>
      </c>
      <c r="C75">
        <v>18</v>
      </c>
      <c r="D75">
        <v>4742389</v>
      </c>
    </row>
    <row r="76" spans="1:4" x14ac:dyDescent="0.2">
      <c r="A76">
        <v>2025</v>
      </c>
      <c r="B76">
        <v>12</v>
      </c>
      <c r="C76">
        <v>17</v>
      </c>
      <c r="D76">
        <v>4723500</v>
      </c>
    </row>
    <row r="77" spans="1:4" x14ac:dyDescent="0.2">
      <c r="A77">
        <v>2025</v>
      </c>
      <c r="B77">
        <v>12</v>
      </c>
      <c r="C77">
        <v>16</v>
      </c>
      <c r="D77">
        <v>4951631</v>
      </c>
    </row>
    <row r="78" spans="1:4" x14ac:dyDescent="0.2">
      <c r="A78">
        <v>2025</v>
      </c>
      <c r="B78">
        <v>12</v>
      </c>
      <c r="C78">
        <v>15</v>
      </c>
      <c r="D78">
        <v>4698112</v>
      </c>
    </row>
    <row r="79" spans="1:4" x14ac:dyDescent="0.2">
      <c r="A79">
        <v>2025</v>
      </c>
      <c r="B79">
        <v>12</v>
      </c>
      <c r="C79">
        <v>14</v>
      </c>
      <c r="D79">
        <v>3933962</v>
      </c>
    </row>
    <row r="80" spans="1:4" x14ac:dyDescent="0.2">
      <c r="A80">
        <v>2025</v>
      </c>
      <c r="B80">
        <v>12</v>
      </c>
      <c r="C80">
        <v>13</v>
      </c>
      <c r="D80">
        <v>1827550</v>
      </c>
    </row>
    <row r="81" spans="1:4" x14ac:dyDescent="0.2">
      <c r="A81">
        <v>2025</v>
      </c>
      <c r="B81">
        <v>12</v>
      </c>
      <c r="C81">
        <v>12</v>
      </c>
      <c r="D81">
        <v>2779969</v>
      </c>
    </row>
    <row r="82" spans="1:4" x14ac:dyDescent="0.2">
      <c r="A82">
        <v>2025</v>
      </c>
      <c r="B82">
        <v>12</v>
      </c>
      <c r="C82">
        <v>11</v>
      </c>
      <c r="D82">
        <v>4609952</v>
      </c>
    </row>
    <row r="83" spans="1:4" x14ac:dyDescent="0.2">
      <c r="A83">
        <v>2025</v>
      </c>
      <c r="B83">
        <v>12</v>
      </c>
      <c r="C83">
        <v>10</v>
      </c>
      <c r="D83">
        <v>4595341</v>
      </c>
    </row>
    <row r="84" spans="1:4" x14ac:dyDescent="0.2">
      <c r="A84">
        <v>2025</v>
      </c>
      <c r="B84">
        <v>12</v>
      </c>
      <c r="C84">
        <v>9</v>
      </c>
      <c r="D84">
        <v>5136258</v>
      </c>
    </row>
    <row r="85" spans="1:4" x14ac:dyDescent="0.2">
      <c r="A85">
        <v>2025</v>
      </c>
      <c r="B85">
        <v>12</v>
      </c>
      <c r="C85">
        <v>8</v>
      </c>
      <c r="D85">
        <v>5031084</v>
      </c>
    </row>
    <row r="86" spans="1:4" x14ac:dyDescent="0.2">
      <c r="A86">
        <v>2025</v>
      </c>
      <c r="B86">
        <v>12</v>
      </c>
      <c r="C86">
        <v>7</v>
      </c>
      <c r="D86">
        <v>3496845</v>
      </c>
    </row>
    <row r="87" spans="1:4" x14ac:dyDescent="0.2">
      <c r="A87">
        <v>2025</v>
      </c>
      <c r="B87">
        <v>12</v>
      </c>
      <c r="C87">
        <v>6</v>
      </c>
      <c r="D87">
        <v>1949156</v>
      </c>
    </row>
    <row r="88" spans="1:4" x14ac:dyDescent="0.2">
      <c r="A88">
        <v>2025</v>
      </c>
      <c r="B88">
        <v>12</v>
      </c>
      <c r="C88">
        <v>5</v>
      </c>
      <c r="D88">
        <v>2905408</v>
      </c>
    </row>
    <row r="89" spans="1:4" x14ac:dyDescent="0.2">
      <c r="A89">
        <v>2025</v>
      </c>
      <c r="B89">
        <v>12</v>
      </c>
      <c r="C89">
        <v>4</v>
      </c>
      <c r="D89">
        <v>4794773</v>
      </c>
    </row>
    <row r="90" spans="1:4" x14ac:dyDescent="0.2">
      <c r="A90">
        <v>2025</v>
      </c>
      <c r="B90">
        <v>12</v>
      </c>
      <c r="C90">
        <v>3</v>
      </c>
      <c r="D90">
        <v>4879857</v>
      </c>
    </row>
    <row r="91" spans="1:4" x14ac:dyDescent="0.2">
      <c r="A91">
        <v>2025</v>
      </c>
      <c r="B91">
        <v>12</v>
      </c>
      <c r="C91">
        <v>2</v>
      </c>
      <c r="D91">
        <v>4758493</v>
      </c>
    </row>
    <row r="92" spans="1:4" x14ac:dyDescent="0.2">
      <c r="A92">
        <v>2025</v>
      </c>
      <c r="B92">
        <v>12</v>
      </c>
      <c r="C92">
        <v>1</v>
      </c>
      <c r="D92">
        <v>4195875</v>
      </c>
    </row>
    <row r="93" spans="1:4" x14ac:dyDescent="0.2">
      <c r="A93">
        <v>2025</v>
      </c>
      <c r="B93">
        <v>12</v>
      </c>
      <c r="C93" t="s">
        <v>4</v>
      </c>
      <c r="D93">
        <v>116206240</v>
      </c>
    </row>
    <row r="94" spans="1:4" x14ac:dyDescent="0.2">
      <c r="A94">
        <v>2025</v>
      </c>
      <c r="B94">
        <v>11</v>
      </c>
      <c r="C94">
        <v>30</v>
      </c>
      <c r="D94">
        <v>3214072</v>
      </c>
    </row>
    <row r="95" spans="1:4" x14ac:dyDescent="0.2">
      <c r="A95">
        <v>2025</v>
      </c>
      <c r="B95">
        <v>11</v>
      </c>
      <c r="C95">
        <v>29</v>
      </c>
      <c r="D95">
        <v>1853998</v>
      </c>
    </row>
    <row r="96" spans="1:4" x14ac:dyDescent="0.2">
      <c r="A96">
        <v>2025</v>
      </c>
      <c r="B96">
        <v>11</v>
      </c>
      <c r="C96">
        <v>28</v>
      </c>
      <c r="D96">
        <v>2122297</v>
      </c>
    </row>
    <row r="97" spans="1:4" x14ac:dyDescent="0.2">
      <c r="A97">
        <v>2025</v>
      </c>
      <c r="B97">
        <v>11</v>
      </c>
      <c r="C97">
        <v>27</v>
      </c>
      <c r="D97">
        <v>1958069</v>
      </c>
    </row>
    <row r="98" spans="1:4" x14ac:dyDescent="0.2">
      <c r="A98">
        <v>2025</v>
      </c>
      <c r="B98">
        <v>11</v>
      </c>
      <c r="C98">
        <v>26</v>
      </c>
      <c r="D98">
        <v>4354258</v>
      </c>
    </row>
    <row r="99" spans="1:4" x14ac:dyDescent="0.2">
      <c r="A99">
        <v>2025</v>
      </c>
      <c r="B99">
        <v>11</v>
      </c>
      <c r="C99">
        <v>25</v>
      </c>
      <c r="D99">
        <v>4127664</v>
      </c>
    </row>
    <row r="100" spans="1:4" x14ac:dyDescent="0.2">
      <c r="A100">
        <v>2025</v>
      </c>
      <c r="B100">
        <v>11</v>
      </c>
      <c r="C100">
        <v>24</v>
      </c>
      <c r="D100">
        <v>4206007</v>
      </c>
    </row>
    <row r="101" spans="1:4" x14ac:dyDescent="0.2">
      <c r="A101">
        <v>2025</v>
      </c>
      <c r="B101">
        <v>11</v>
      </c>
      <c r="C101">
        <v>23</v>
      </c>
      <c r="D101">
        <v>3254389</v>
      </c>
    </row>
    <row r="102" spans="1:4" x14ac:dyDescent="0.2">
      <c r="A102">
        <v>2025</v>
      </c>
      <c r="B102">
        <v>11</v>
      </c>
      <c r="C102">
        <v>22</v>
      </c>
      <c r="D102">
        <v>1819803</v>
      </c>
    </row>
    <row r="103" spans="1:4" x14ac:dyDescent="0.2">
      <c r="A103">
        <v>2025</v>
      </c>
      <c r="B103">
        <v>11</v>
      </c>
      <c r="C103">
        <v>21</v>
      </c>
      <c r="D103">
        <v>3504357</v>
      </c>
    </row>
    <row r="104" spans="1:4" x14ac:dyDescent="0.2">
      <c r="A104">
        <v>2025</v>
      </c>
      <c r="B104">
        <v>11</v>
      </c>
      <c r="C104">
        <v>20</v>
      </c>
      <c r="D104">
        <v>4218325</v>
      </c>
    </row>
    <row r="105" spans="1:4" x14ac:dyDescent="0.2">
      <c r="A105">
        <v>2025</v>
      </c>
      <c r="B105">
        <v>11</v>
      </c>
      <c r="C105">
        <v>19</v>
      </c>
      <c r="D105">
        <v>4498950</v>
      </c>
    </row>
    <row r="106" spans="1:4" x14ac:dyDescent="0.2">
      <c r="A106">
        <v>2025</v>
      </c>
      <c r="B106">
        <v>11</v>
      </c>
      <c r="C106">
        <v>18</v>
      </c>
      <c r="D106">
        <v>4582127</v>
      </c>
    </row>
    <row r="107" spans="1:4" x14ac:dyDescent="0.2">
      <c r="A107">
        <v>2025</v>
      </c>
      <c r="B107">
        <v>11</v>
      </c>
      <c r="C107">
        <v>17</v>
      </c>
      <c r="D107">
        <v>4783157</v>
      </c>
    </row>
    <row r="108" spans="1:4" x14ac:dyDescent="0.2">
      <c r="A108">
        <v>2025</v>
      </c>
      <c r="B108">
        <v>11</v>
      </c>
      <c r="C108">
        <v>16</v>
      </c>
      <c r="D108">
        <v>3929392</v>
      </c>
    </row>
    <row r="109" spans="1:4" x14ac:dyDescent="0.2">
      <c r="A109">
        <v>2025</v>
      </c>
      <c r="B109">
        <v>11</v>
      </c>
      <c r="C109">
        <v>15</v>
      </c>
      <c r="D109">
        <v>2235168</v>
      </c>
    </row>
    <row r="110" spans="1:4" x14ac:dyDescent="0.2">
      <c r="A110">
        <v>2025</v>
      </c>
      <c r="B110">
        <v>11</v>
      </c>
      <c r="C110">
        <v>14</v>
      </c>
      <c r="D110">
        <v>4099751</v>
      </c>
    </row>
    <row r="111" spans="1:4" x14ac:dyDescent="0.2">
      <c r="A111">
        <v>2025</v>
      </c>
      <c r="B111">
        <v>11</v>
      </c>
      <c r="C111">
        <v>13</v>
      </c>
      <c r="D111">
        <v>4305035</v>
      </c>
    </row>
    <row r="112" spans="1:4" x14ac:dyDescent="0.2">
      <c r="A112">
        <v>2025</v>
      </c>
      <c r="B112">
        <v>11</v>
      </c>
      <c r="C112">
        <v>12</v>
      </c>
      <c r="D112">
        <v>3953416</v>
      </c>
    </row>
    <row r="113" spans="1:4" x14ac:dyDescent="0.2">
      <c r="A113">
        <v>2025</v>
      </c>
      <c r="B113">
        <v>11</v>
      </c>
      <c r="C113">
        <v>11</v>
      </c>
      <c r="D113">
        <v>4410752</v>
      </c>
    </row>
    <row r="114" spans="1:4" x14ac:dyDescent="0.2">
      <c r="A114">
        <v>2025</v>
      </c>
      <c r="B114">
        <v>11</v>
      </c>
      <c r="C114">
        <v>10</v>
      </c>
      <c r="D114">
        <v>4597191</v>
      </c>
    </row>
    <row r="115" spans="1:4" x14ac:dyDescent="0.2">
      <c r="A115">
        <v>2025</v>
      </c>
      <c r="B115">
        <v>11</v>
      </c>
      <c r="C115">
        <v>9</v>
      </c>
      <c r="D115">
        <v>3692905</v>
      </c>
    </row>
    <row r="116" spans="1:4" x14ac:dyDescent="0.2">
      <c r="A116">
        <v>2025</v>
      </c>
      <c r="B116">
        <v>11</v>
      </c>
      <c r="C116">
        <v>8</v>
      </c>
      <c r="D116">
        <v>2280987</v>
      </c>
    </row>
    <row r="117" spans="1:4" x14ac:dyDescent="0.2">
      <c r="A117">
        <v>2025</v>
      </c>
      <c r="B117">
        <v>11</v>
      </c>
      <c r="C117">
        <v>7</v>
      </c>
      <c r="D117">
        <v>4429114</v>
      </c>
    </row>
    <row r="118" spans="1:4" x14ac:dyDescent="0.2">
      <c r="A118">
        <v>2025</v>
      </c>
      <c r="B118">
        <v>11</v>
      </c>
      <c r="C118">
        <v>6</v>
      </c>
      <c r="D118">
        <v>4800163</v>
      </c>
    </row>
    <row r="119" spans="1:4" x14ac:dyDescent="0.2">
      <c r="A119">
        <v>2025</v>
      </c>
      <c r="B119">
        <v>11</v>
      </c>
      <c r="C119">
        <v>5</v>
      </c>
      <c r="D119">
        <v>4298326</v>
      </c>
    </row>
    <row r="120" spans="1:4" x14ac:dyDescent="0.2">
      <c r="A120">
        <v>2025</v>
      </c>
      <c r="B120">
        <v>11</v>
      </c>
      <c r="C120">
        <v>4</v>
      </c>
      <c r="D120">
        <v>4424012</v>
      </c>
    </row>
    <row r="121" spans="1:4" x14ac:dyDescent="0.2">
      <c r="A121">
        <v>2025</v>
      </c>
      <c r="B121">
        <v>11</v>
      </c>
      <c r="C121">
        <v>3</v>
      </c>
      <c r="D121">
        <v>4522633</v>
      </c>
    </row>
    <row r="122" spans="1:4" x14ac:dyDescent="0.2">
      <c r="A122">
        <v>2025</v>
      </c>
      <c r="B122">
        <v>11</v>
      </c>
      <c r="C122">
        <v>2</v>
      </c>
      <c r="D122">
        <v>3556361</v>
      </c>
    </row>
    <row r="123" spans="1:4" x14ac:dyDescent="0.2">
      <c r="A123">
        <v>2025</v>
      </c>
      <c r="B123">
        <v>11</v>
      </c>
      <c r="C123">
        <v>1</v>
      </c>
      <c r="D123">
        <v>1917900</v>
      </c>
    </row>
    <row r="124" spans="1:4" x14ac:dyDescent="0.2">
      <c r="A124">
        <v>2025</v>
      </c>
      <c r="B124">
        <v>11</v>
      </c>
      <c r="C124" t="s">
        <v>4</v>
      </c>
      <c r="D124">
        <v>109950579</v>
      </c>
    </row>
    <row r="125" spans="1:4" x14ac:dyDescent="0.2">
      <c r="A125">
        <v>2025</v>
      </c>
      <c r="B125">
        <v>10</v>
      </c>
      <c r="C125">
        <v>31</v>
      </c>
      <c r="D125">
        <v>2752874</v>
      </c>
    </row>
    <row r="126" spans="1:4" x14ac:dyDescent="0.2">
      <c r="A126">
        <v>2025</v>
      </c>
      <c r="B126">
        <v>10</v>
      </c>
      <c r="C126">
        <v>30</v>
      </c>
      <c r="D126">
        <v>4049749</v>
      </c>
    </row>
    <row r="127" spans="1:4" x14ac:dyDescent="0.2">
      <c r="A127">
        <v>2025</v>
      </c>
      <c r="B127">
        <v>10</v>
      </c>
      <c r="C127">
        <v>29</v>
      </c>
      <c r="D127">
        <v>4744359</v>
      </c>
    </row>
    <row r="128" spans="1:4" x14ac:dyDescent="0.2">
      <c r="A128">
        <v>2025</v>
      </c>
      <c r="B128">
        <v>10</v>
      </c>
      <c r="C128">
        <v>28</v>
      </c>
      <c r="D128">
        <v>4300087</v>
      </c>
    </row>
    <row r="129" spans="1:4" x14ac:dyDescent="0.2">
      <c r="A129">
        <v>2025</v>
      </c>
      <c r="B129">
        <v>10</v>
      </c>
      <c r="C129">
        <v>27</v>
      </c>
      <c r="D129">
        <v>4247668</v>
      </c>
    </row>
    <row r="130" spans="1:4" x14ac:dyDescent="0.2">
      <c r="A130">
        <v>2025</v>
      </c>
      <c r="B130">
        <v>10</v>
      </c>
      <c r="C130">
        <v>26</v>
      </c>
      <c r="D130">
        <v>3252432</v>
      </c>
    </row>
    <row r="131" spans="1:4" x14ac:dyDescent="0.2">
      <c r="A131">
        <v>2025</v>
      </c>
      <c r="B131">
        <v>10</v>
      </c>
      <c r="C131">
        <v>25</v>
      </c>
      <c r="D131">
        <v>2004265</v>
      </c>
    </row>
    <row r="132" spans="1:4" x14ac:dyDescent="0.2">
      <c r="A132">
        <v>2025</v>
      </c>
      <c r="B132">
        <v>10</v>
      </c>
      <c r="C132">
        <v>24</v>
      </c>
      <c r="D132">
        <v>3110717</v>
      </c>
    </row>
    <row r="133" spans="1:4" x14ac:dyDescent="0.2">
      <c r="A133">
        <v>2025</v>
      </c>
      <c r="B133">
        <v>10</v>
      </c>
      <c r="C133">
        <v>23</v>
      </c>
      <c r="D133">
        <v>3312676</v>
      </c>
    </row>
    <row r="134" spans="1:4" x14ac:dyDescent="0.2">
      <c r="A134">
        <v>2025</v>
      </c>
      <c r="B134">
        <v>10</v>
      </c>
      <c r="C134">
        <v>22</v>
      </c>
      <c r="D134">
        <v>3643536</v>
      </c>
    </row>
    <row r="135" spans="1:4" x14ac:dyDescent="0.2">
      <c r="A135">
        <v>2025</v>
      </c>
      <c r="B135">
        <v>10</v>
      </c>
      <c r="C135">
        <v>21</v>
      </c>
      <c r="D135">
        <v>3306658</v>
      </c>
    </row>
    <row r="136" spans="1:4" x14ac:dyDescent="0.2">
      <c r="A136">
        <v>2025</v>
      </c>
      <c r="B136">
        <v>10</v>
      </c>
      <c r="C136">
        <v>20</v>
      </c>
      <c r="D136">
        <v>3476334</v>
      </c>
    </row>
    <row r="137" spans="1:4" x14ac:dyDescent="0.2">
      <c r="A137">
        <v>2025</v>
      </c>
      <c r="B137">
        <v>10</v>
      </c>
      <c r="C137">
        <v>19</v>
      </c>
      <c r="D137">
        <v>2691752</v>
      </c>
    </row>
    <row r="138" spans="1:4" x14ac:dyDescent="0.2">
      <c r="A138">
        <v>2025</v>
      </c>
      <c r="B138">
        <v>10</v>
      </c>
      <c r="C138">
        <v>18</v>
      </c>
      <c r="D138">
        <v>1275385</v>
      </c>
    </row>
    <row r="139" spans="1:4" x14ac:dyDescent="0.2">
      <c r="A139">
        <v>2025</v>
      </c>
      <c r="B139">
        <v>10</v>
      </c>
      <c r="C139">
        <v>17</v>
      </c>
      <c r="D139">
        <v>1932931</v>
      </c>
    </row>
    <row r="140" spans="1:4" x14ac:dyDescent="0.2">
      <c r="A140">
        <v>2025</v>
      </c>
      <c r="B140">
        <v>10</v>
      </c>
      <c r="C140">
        <v>16</v>
      </c>
      <c r="D140">
        <v>3560694</v>
      </c>
    </row>
    <row r="141" spans="1:4" x14ac:dyDescent="0.2">
      <c r="A141">
        <v>2025</v>
      </c>
      <c r="B141">
        <v>10</v>
      </c>
      <c r="C141">
        <v>15</v>
      </c>
      <c r="D141">
        <v>3371483</v>
      </c>
    </row>
    <row r="142" spans="1:4" x14ac:dyDescent="0.2">
      <c r="A142">
        <v>2025</v>
      </c>
      <c r="B142">
        <v>10</v>
      </c>
      <c r="C142">
        <v>14</v>
      </c>
      <c r="D142">
        <v>3580269</v>
      </c>
    </row>
    <row r="143" spans="1:4" x14ac:dyDescent="0.2">
      <c r="A143">
        <v>2025</v>
      </c>
      <c r="B143">
        <v>10</v>
      </c>
      <c r="C143">
        <v>13</v>
      </c>
      <c r="D143">
        <v>3334529</v>
      </c>
    </row>
    <row r="144" spans="1:4" x14ac:dyDescent="0.2">
      <c r="A144">
        <v>2025</v>
      </c>
      <c r="B144">
        <v>10</v>
      </c>
      <c r="C144">
        <v>12</v>
      </c>
      <c r="D144">
        <v>2516309</v>
      </c>
    </row>
    <row r="145" spans="1:4" x14ac:dyDescent="0.2">
      <c r="A145">
        <v>2025</v>
      </c>
      <c r="B145">
        <v>10</v>
      </c>
      <c r="C145">
        <v>11</v>
      </c>
      <c r="D145">
        <v>1580311</v>
      </c>
    </row>
    <row r="146" spans="1:4" x14ac:dyDescent="0.2">
      <c r="A146">
        <v>2025</v>
      </c>
      <c r="B146">
        <v>10</v>
      </c>
      <c r="C146">
        <v>10</v>
      </c>
      <c r="D146">
        <v>1935208</v>
      </c>
    </row>
    <row r="147" spans="1:4" x14ac:dyDescent="0.2">
      <c r="A147">
        <v>2025</v>
      </c>
      <c r="B147">
        <v>10</v>
      </c>
      <c r="C147">
        <v>9</v>
      </c>
      <c r="D147">
        <v>3350701</v>
      </c>
    </row>
    <row r="148" spans="1:4" x14ac:dyDescent="0.2">
      <c r="A148">
        <v>2025</v>
      </c>
      <c r="B148">
        <v>10</v>
      </c>
      <c r="C148">
        <v>8</v>
      </c>
      <c r="D148">
        <v>3481639</v>
      </c>
    </row>
    <row r="149" spans="1:4" x14ac:dyDescent="0.2">
      <c r="A149">
        <v>2025</v>
      </c>
      <c r="B149">
        <v>10</v>
      </c>
      <c r="C149">
        <v>7</v>
      </c>
      <c r="D149">
        <v>3463835</v>
      </c>
    </row>
    <row r="150" spans="1:4" x14ac:dyDescent="0.2">
      <c r="A150">
        <v>2025</v>
      </c>
      <c r="B150">
        <v>10</v>
      </c>
      <c r="C150">
        <v>6</v>
      </c>
      <c r="D150">
        <v>3257105</v>
      </c>
    </row>
    <row r="151" spans="1:4" x14ac:dyDescent="0.2">
      <c r="A151">
        <v>2025</v>
      </c>
      <c r="B151">
        <v>10</v>
      </c>
      <c r="C151">
        <v>5</v>
      </c>
      <c r="D151">
        <v>2492968</v>
      </c>
    </row>
    <row r="152" spans="1:4" x14ac:dyDescent="0.2">
      <c r="A152">
        <v>2025</v>
      </c>
      <c r="B152">
        <v>10</v>
      </c>
      <c r="C152">
        <v>4</v>
      </c>
      <c r="D152">
        <v>1508585</v>
      </c>
    </row>
    <row r="153" spans="1:4" x14ac:dyDescent="0.2">
      <c r="A153">
        <v>2025</v>
      </c>
      <c r="B153">
        <v>10</v>
      </c>
      <c r="C153">
        <v>3</v>
      </c>
      <c r="D153">
        <v>1830067</v>
      </c>
    </row>
    <row r="154" spans="1:4" x14ac:dyDescent="0.2">
      <c r="A154">
        <v>2025</v>
      </c>
      <c r="B154">
        <v>10</v>
      </c>
      <c r="C154">
        <v>2</v>
      </c>
      <c r="D154">
        <v>3097838</v>
      </c>
    </row>
    <row r="155" spans="1:4" x14ac:dyDescent="0.2">
      <c r="A155">
        <v>2025</v>
      </c>
      <c r="B155">
        <v>10</v>
      </c>
      <c r="C155">
        <v>1</v>
      </c>
      <c r="D155">
        <v>3397397</v>
      </c>
    </row>
    <row r="156" spans="1:4" x14ac:dyDescent="0.2">
      <c r="A156">
        <v>2025</v>
      </c>
      <c r="B156">
        <v>10</v>
      </c>
      <c r="C156" t="s">
        <v>4</v>
      </c>
      <c r="D156">
        <v>93860361</v>
      </c>
    </row>
    <row r="157" spans="1:4" x14ac:dyDescent="0.2">
      <c r="A157">
        <v>2025</v>
      </c>
      <c r="B157">
        <v>9</v>
      </c>
      <c r="C157">
        <v>30</v>
      </c>
      <c r="D157">
        <v>3359211</v>
      </c>
    </row>
    <row r="158" spans="1:4" x14ac:dyDescent="0.2">
      <c r="A158">
        <v>2025</v>
      </c>
      <c r="B158">
        <v>9</v>
      </c>
      <c r="C158">
        <v>29</v>
      </c>
      <c r="D158">
        <v>3055439</v>
      </c>
    </row>
    <row r="159" spans="1:4" x14ac:dyDescent="0.2">
      <c r="A159">
        <v>2025</v>
      </c>
      <c r="B159">
        <v>9</v>
      </c>
      <c r="C159">
        <v>28</v>
      </c>
      <c r="D159">
        <v>2345313</v>
      </c>
    </row>
    <row r="160" spans="1:4" x14ac:dyDescent="0.2">
      <c r="A160">
        <v>2025</v>
      </c>
      <c r="B160">
        <v>9</v>
      </c>
      <c r="C160">
        <v>27</v>
      </c>
      <c r="D160">
        <v>1521398</v>
      </c>
    </row>
    <row r="161" spans="1:4" x14ac:dyDescent="0.2">
      <c r="A161">
        <v>2025</v>
      </c>
      <c r="B161">
        <v>9</v>
      </c>
      <c r="C161">
        <v>26</v>
      </c>
      <c r="D161">
        <v>1981622</v>
      </c>
    </row>
    <row r="162" spans="1:4" x14ac:dyDescent="0.2">
      <c r="A162">
        <v>2025</v>
      </c>
      <c r="B162">
        <v>9</v>
      </c>
      <c r="C162">
        <v>25</v>
      </c>
      <c r="D162">
        <v>3323209</v>
      </c>
    </row>
    <row r="163" spans="1:4" x14ac:dyDescent="0.2">
      <c r="A163">
        <v>2025</v>
      </c>
      <c r="B163">
        <v>9</v>
      </c>
      <c r="C163">
        <v>24</v>
      </c>
      <c r="D163">
        <v>3360624</v>
      </c>
    </row>
    <row r="164" spans="1:4" x14ac:dyDescent="0.2">
      <c r="A164">
        <v>2025</v>
      </c>
      <c r="B164">
        <v>9</v>
      </c>
      <c r="C164">
        <v>23</v>
      </c>
      <c r="D164">
        <v>3266934</v>
      </c>
    </row>
    <row r="165" spans="1:4" x14ac:dyDescent="0.2">
      <c r="A165">
        <v>2025</v>
      </c>
      <c r="B165">
        <v>9</v>
      </c>
      <c r="C165">
        <v>22</v>
      </c>
      <c r="D165">
        <v>3229391</v>
      </c>
    </row>
    <row r="166" spans="1:4" x14ac:dyDescent="0.2">
      <c r="A166">
        <v>2025</v>
      </c>
      <c r="B166">
        <v>9</v>
      </c>
      <c r="C166">
        <v>21</v>
      </c>
      <c r="D166">
        <v>2452672</v>
      </c>
    </row>
    <row r="167" spans="1:4" x14ac:dyDescent="0.2">
      <c r="A167">
        <v>2025</v>
      </c>
      <c r="B167">
        <v>9</v>
      </c>
      <c r="C167">
        <v>20</v>
      </c>
      <c r="D167">
        <v>1517299</v>
      </c>
    </row>
    <row r="168" spans="1:4" x14ac:dyDescent="0.2">
      <c r="A168">
        <v>2025</v>
      </c>
      <c r="B168">
        <v>9</v>
      </c>
      <c r="C168">
        <v>19</v>
      </c>
      <c r="D168">
        <v>1882101</v>
      </c>
    </row>
    <row r="169" spans="1:4" x14ac:dyDescent="0.2">
      <c r="A169">
        <v>2025</v>
      </c>
      <c r="B169">
        <v>9</v>
      </c>
      <c r="C169">
        <v>18</v>
      </c>
      <c r="D169">
        <v>3181391</v>
      </c>
    </row>
    <row r="170" spans="1:4" x14ac:dyDescent="0.2">
      <c r="A170">
        <v>2025</v>
      </c>
      <c r="B170">
        <v>9</v>
      </c>
      <c r="C170">
        <v>17</v>
      </c>
      <c r="D170">
        <v>3576693</v>
      </c>
    </row>
    <row r="171" spans="1:4" x14ac:dyDescent="0.2">
      <c r="A171">
        <v>2025</v>
      </c>
      <c r="B171">
        <v>9</v>
      </c>
      <c r="C171">
        <v>16</v>
      </c>
      <c r="D171">
        <v>3385654</v>
      </c>
    </row>
    <row r="172" spans="1:4" x14ac:dyDescent="0.2">
      <c r="A172">
        <v>2025</v>
      </c>
      <c r="B172">
        <v>9</v>
      </c>
      <c r="C172">
        <v>15</v>
      </c>
      <c r="D172">
        <v>3439972</v>
      </c>
    </row>
    <row r="173" spans="1:4" x14ac:dyDescent="0.2">
      <c r="A173">
        <v>2025</v>
      </c>
      <c r="B173">
        <v>9</v>
      </c>
      <c r="C173">
        <v>14</v>
      </c>
      <c r="D173">
        <v>2621485</v>
      </c>
    </row>
    <row r="174" spans="1:4" x14ac:dyDescent="0.2">
      <c r="A174">
        <v>2025</v>
      </c>
      <c r="B174">
        <v>9</v>
      </c>
      <c r="C174">
        <v>13</v>
      </c>
      <c r="D174">
        <v>1511269</v>
      </c>
    </row>
    <row r="175" spans="1:4" x14ac:dyDescent="0.2">
      <c r="A175">
        <v>2025</v>
      </c>
      <c r="B175">
        <v>9</v>
      </c>
      <c r="C175">
        <v>12</v>
      </c>
      <c r="D175">
        <v>1820236</v>
      </c>
    </row>
    <row r="176" spans="1:4" x14ac:dyDescent="0.2">
      <c r="A176">
        <v>2025</v>
      </c>
      <c r="B176">
        <v>9</v>
      </c>
      <c r="C176">
        <v>11</v>
      </c>
      <c r="D176">
        <v>3663534</v>
      </c>
    </row>
    <row r="177" spans="1:4" x14ac:dyDescent="0.2">
      <c r="A177">
        <v>2025</v>
      </c>
      <c r="B177">
        <v>9</v>
      </c>
      <c r="C177">
        <v>10</v>
      </c>
      <c r="D177">
        <v>3671630</v>
      </c>
    </row>
    <row r="178" spans="1:4" x14ac:dyDescent="0.2">
      <c r="A178">
        <v>2025</v>
      </c>
      <c r="B178">
        <v>9</v>
      </c>
      <c r="C178">
        <v>9</v>
      </c>
      <c r="D178">
        <v>3641440</v>
      </c>
    </row>
    <row r="179" spans="1:4" x14ac:dyDescent="0.2">
      <c r="A179">
        <v>2025</v>
      </c>
      <c r="B179">
        <v>9</v>
      </c>
      <c r="C179">
        <v>8</v>
      </c>
      <c r="D179">
        <v>3440425</v>
      </c>
    </row>
    <row r="180" spans="1:4" x14ac:dyDescent="0.2">
      <c r="A180">
        <v>2025</v>
      </c>
      <c r="B180">
        <v>9</v>
      </c>
      <c r="C180">
        <v>7</v>
      </c>
      <c r="D180">
        <v>2638187</v>
      </c>
    </row>
    <row r="181" spans="1:4" x14ac:dyDescent="0.2">
      <c r="A181">
        <v>2025</v>
      </c>
      <c r="B181">
        <v>9</v>
      </c>
      <c r="C181">
        <v>6</v>
      </c>
      <c r="D181">
        <v>1565541</v>
      </c>
    </row>
    <row r="182" spans="1:4" x14ac:dyDescent="0.2">
      <c r="A182">
        <v>2025</v>
      </c>
      <c r="B182">
        <v>9</v>
      </c>
      <c r="C182">
        <v>5</v>
      </c>
      <c r="D182">
        <v>1964848</v>
      </c>
    </row>
    <row r="183" spans="1:4" x14ac:dyDescent="0.2">
      <c r="A183">
        <v>2025</v>
      </c>
      <c r="B183">
        <v>9</v>
      </c>
      <c r="C183">
        <v>4</v>
      </c>
      <c r="D183">
        <v>3318489</v>
      </c>
    </row>
    <row r="184" spans="1:4" x14ac:dyDescent="0.2">
      <c r="A184">
        <v>2025</v>
      </c>
      <c r="B184">
        <v>9</v>
      </c>
      <c r="C184">
        <v>3</v>
      </c>
      <c r="D184">
        <v>3356439</v>
      </c>
    </row>
    <row r="185" spans="1:4" x14ac:dyDescent="0.2">
      <c r="A185">
        <v>2025</v>
      </c>
      <c r="B185">
        <v>9</v>
      </c>
      <c r="C185">
        <v>2</v>
      </c>
      <c r="D185">
        <v>3403494</v>
      </c>
    </row>
    <row r="186" spans="1:4" x14ac:dyDescent="0.2">
      <c r="A186">
        <v>2025</v>
      </c>
      <c r="B186">
        <v>9</v>
      </c>
      <c r="C186">
        <v>1</v>
      </c>
      <c r="D186">
        <v>1192959</v>
      </c>
    </row>
    <row r="187" spans="1:4" x14ac:dyDescent="0.2">
      <c r="A187">
        <v>2025</v>
      </c>
      <c r="B187">
        <v>9</v>
      </c>
      <c r="C187" t="s">
        <v>4</v>
      </c>
      <c r="D187">
        <v>82688899</v>
      </c>
    </row>
    <row r="188" spans="1:4" x14ac:dyDescent="0.2">
      <c r="A188">
        <v>2025</v>
      </c>
      <c r="B188">
        <v>8</v>
      </c>
      <c r="C188">
        <v>31</v>
      </c>
      <c r="D188">
        <v>2281552</v>
      </c>
    </row>
    <row r="189" spans="1:4" x14ac:dyDescent="0.2">
      <c r="A189">
        <v>2025</v>
      </c>
      <c r="B189">
        <v>8</v>
      </c>
      <c r="C189">
        <v>30</v>
      </c>
      <c r="D189">
        <v>1534214</v>
      </c>
    </row>
    <row r="190" spans="1:4" x14ac:dyDescent="0.2">
      <c r="A190">
        <v>2025</v>
      </c>
      <c r="B190">
        <v>8</v>
      </c>
      <c r="C190">
        <v>29</v>
      </c>
      <c r="D190">
        <v>1885045</v>
      </c>
    </row>
    <row r="191" spans="1:4" x14ac:dyDescent="0.2">
      <c r="A191">
        <v>2025</v>
      </c>
      <c r="B191">
        <v>8</v>
      </c>
      <c r="C191">
        <v>28</v>
      </c>
      <c r="D191">
        <v>3194342</v>
      </c>
    </row>
    <row r="192" spans="1:4" x14ac:dyDescent="0.2">
      <c r="A192">
        <v>2025</v>
      </c>
      <c r="B192">
        <v>8</v>
      </c>
      <c r="C192">
        <v>27</v>
      </c>
      <c r="D192">
        <v>3218109</v>
      </c>
    </row>
    <row r="193" spans="1:4" x14ac:dyDescent="0.2">
      <c r="A193">
        <v>2025</v>
      </c>
      <c r="B193">
        <v>8</v>
      </c>
      <c r="C193">
        <v>26</v>
      </c>
      <c r="D193">
        <v>3435280</v>
      </c>
    </row>
    <row r="194" spans="1:4" x14ac:dyDescent="0.2">
      <c r="A194">
        <v>2025</v>
      </c>
      <c r="B194">
        <v>8</v>
      </c>
      <c r="C194">
        <v>25</v>
      </c>
      <c r="D194">
        <v>3319040</v>
      </c>
    </row>
    <row r="195" spans="1:4" x14ac:dyDescent="0.2">
      <c r="A195">
        <v>2025</v>
      </c>
      <c r="B195">
        <v>8</v>
      </c>
      <c r="C195">
        <v>24</v>
      </c>
      <c r="D195">
        <v>2576694</v>
      </c>
    </row>
    <row r="196" spans="1:4" x14ac:dyDescent="0.2">
      <c r="A196">
        <v>2025</v>
      </c>
      <c r="B196">
        <v>8</v>
      </c>
      <c r="C196">
        <v>23</v>
      </c>
      <c r="D196">
        <v>1536066</v>
      </c>
    </row>
    <row r="197" spans="1:4" x14ac:dyDescent="0.2">
      <c r="A197">
        <v>2025</v>
      </c>
      <c r="B197">
        <v>8</v>
      </c>
      <c r="C197">
        <v>22</v>
      </c>
      <c r="D197">
        <v>1768893</v>
      </c>
    </row>
    <row r="198" spans="1:4" x14ac:dyDescent="0.2">
      <c r="A198">
        <v>2025</v>
      </c>
      <c r="B198">
        <v>8</v>
      </c>
      <c r="C198">
        <v>21</v>
      </c>
      <c r="D198">
        <v>3074762</v>
      </c>
    </row>
    <row r="199" spans="1:4" x14ac:dyDescent="0.2">
      <c r="A199">
        <v>2025</v>
      </c>
      <c r="B199">
        <v>8</v>
      </c>
      <c r="C199">
        <v>20</v>
      </c>
      <c r="D199">
        <v>3111127</v>
      </c>
    </row>
    <row r="200" spans="1:4" x14ac:dyDescent="0.2">
      <c r="A200">
        <v>2025</v>
      </c>
      <c r="B200">
        <v>8</v>
      </c>
      <c r="C200">
        <v>19</v>
      </c>
      <c r="D200">
        <v>3215276</v>
      </c>
    </row>
    <row r="201" spans="1:4" x14ac:dyDescent="0.2">
      <c r="A201">
        <v>2025</v>
      </c>
      <c r="B201">
        <v>8</v>
      </c>
      <c r="C201">
        <v>18</v>
      </c>
      <c r="D201">
        <v>3389499</v>
      </c>
    </row>
    <row r="202" spans="1:4" x14ac:dyDescent="0.2">
      <c r="A202">
        <v>2025</v>
      </c>
      <c r="B202">
        <v>8</v>
      </c>
      <c r="C202">
        <v>17</v>
      </c>
      <c r="D202">
        <v>2419507</v>
      </c>
    </row>
    <row r="203" spans="1:4" x14ac:dyDescent="0.2">
      <c r="A203">
        <v>2025</v>
      </c>
      <c r="B203">
        <v>8</v>
      </c>
      <c r="C203">
        <v>16</v>
      </c>
      <c r="D203">
        <v>1586434</v>
      </c>
    </row>
    <row r="204" spans="1:4" x14ac:dyDescent="0.2">
      <c r="A204">
        <v>2025</v>
      </c>
      <c r="B204">
        <v>8</v>
      </c>
      <c r="C204">
        <v>15</v>
      </c>
      <c r="D204">
        <v>1918519</v>
      </c>
    </row>
    <row r="205" spans="1:4" x14ac:dyDescent="0.2">
      <c r="A205">
        <v>2025</v>
      </c>
      <c r="B205">
        <v>8</v>
      </c>
      <c r="C205">
        <v>14</v>
      </c>
      <c r="D205">
        <v>3346066</v>
      </c>
    </row>
    <row r="206" spans="1:4" x14ac:dyDescent="0.2">
      <c r="A206">
        <v>2025</v>
      </c>
      <c r="B206">
        <v>8</v>
      </c>
      <c r="C206">
        <v>13</v>
      </c>
      <c r="D206">
        <v>3209317</v>
      </c>
    </row>
    <row r="207" spans="1:4" x14ac:dyDescent="0.2">
      <c r="A207">
        <v>2025</v>
      </c>
      <c r="B207">
        <v>8</v>
      </c>
      <c r="C207">
        <v>12</v>
      </c>
      <c r="D207">
        <v>3389225</v>
      </c>
    </row>
    <row r="208" spans="1:4" x14ac:dyDescent="0.2">
      <c r="A208">
        <v>2025</v>
      </c>
      <c r="B208">
        <v>8</v>
      </c>
      <c r="C208">
        <v>11</v>
      </c>
      <c r="D208">
        <v>3361886</v>
      </c>
    </row>
    <row r="209" spans="1:4" x14ac:dyDescent="0.2">
      <c r="A209">
        <v>2025</v>
      </c>
      <c r="B209">
        <v>8</v>
      </c>
      <c r="C209">
        <v>10</v>
      </c>
      <c r="D209">
        <v>2456769</v>
      </c>
    </row>
    <row r="210" spans="1:4" x14ac:dyDescent="0.2">
      <c r="A210">
        <v>2025</v>
      </c>
      <c r="B210">
        <v>8</v>
      </c>
      <c r="C210">
        <v>9</v>
      </c>
      <c r="D210">
        <v>1521872</v>
      </c>
    </row>
    <row r="211" spans="1:4" x14ac:dyDescent="0.2">
      <c r="A211">
        <v>2025</v>
      </c>
      <c r="B211">
        <v>8</v>
      </c>
      <c r="C211">
        <v>8</v>
      </c>
      <c r="D211">
        <v>2000501</v>
      </c>
    </row>
    <row r="212" spans="1:4" x14ac:dyDescent="0.2">
      <c r="A212">
        <v>2025</v>
      </c>
      <c r="B212">
        <v>8</v>
      </c>
      <c r="C212">
        <v>7</v>
      </c>
      <c r="D212">
        <v>3262632</v>
      </c>
    </row>
    <row r="213" spans="1:4" x14ac:dyDescent="0.2">
      <c r="A213">
        <v>2025</v>
      </c>
      <c r="B213">
        <v>8</v>
      </c>
      <c r="C213">
        <v>6</v>
      </c>
      <c r="D213">
        <v>3255849</v>
      </c>
    </row>
    <row r="214" spans="1:4" x14ac:dyDescent="0.2">
      <c r="A214">
        <v>2025</v>
      </c>
      <c r="B214">
        <v>8</v>
      </c>
      <c r="C214">
        <v>5</v>
      </c>
      <c r="D214">
        <v>3246672</v>
      </c>
    </row>
    <row r="215" spans="1:4" x14ac:dyDescent="0.2">
      <c r="A215">
        <v>2025</v>
      </c>
      <c r="B215">
        <v>8</v>
      </c>
      <c r="C215">
        <v>4</v>
      </c>
      <c r="D215">
        <v>3334400</v>
      </c>
    </row>
    <row r="216" spans="1:4" x14ac:dyDescent="0.2">
      <c r="A216">
        <v>2025</v>
      </c>
      <c r="B216">
        <v>8</v>
      </c>
      <c r="C216">
        <v>3</v>
      </c>
      <c r="D216">
        <v>2466427</v>
      </c>
    </row>
    <row r="217" spans="1:4" x14ac:dyDescent="0.2">
      <c r="A217">
        <v>2025</v>
      </c>
      <c r="B217">
        <v>8</v>
      </c>
      <c r="C217">
        <v>2</v>
      </c>
      <c r="D217">
        <v>1484815</v>
      </c>
    </row>
    <row r="218" spans="1:4" x14ac:dyDescent="0.2">
      <c r="A218">
        <v>2025</v>
      </c>
      <c r="B218">
        <v>8</v>
      </c>
      <c r="C218">
        <v>1</v>
      </c>
      <c r="D218">
        <v>2023987</v>
      </c>
    </row>
    <row r="219" spans="1:4" x14ac:dyDescent="0.2">
      <c r="A219">
        <v>2025</v>
      </c>
      <c r="B219">
        <v>8</v>
      </c>
      <c r="C219" t="s">
        <v>4</v>
      </c>
      <c r="D219">
        <v>81824777</v>
      </c>
    </row>
    <row r="220" spans="1:4" x14ac:dyDescent="0.2">
      <c r="A220">
        <v>2025</v>
      </c>
      <c r="B220">
        <v>7</v>
      </c>
      <c r="C220">
        <v>31</v>
      </c>
      <c r="D220">
        <v>3148911</v>
      </c>
    </row>
    <row r="221" spans="1:4" x14ac:dyDescent="0.2">
      <c r="A221">
        <v>2025</v>
      </c>
      <c r="B221">
        <v>7</v>
      </c>
      <c r="C221">
        <v>30</v>
      </c>
      <c r="D221">
        <v>3136249</v>
      </c>
    </row>
    <row r="222" spans="1:4" x14ac:dyDescent="0.2">
      <c r="A222">
        <v>2025</v>
      </c>
      <c r="B222">
        <v>7</v>
      </c>
      <c r="C222">
        <v>29</v>
      </c>
      <c r="D222">
        <v>3345736</v>
      </c>
    </row>
    <row r="223" spans="1:4" x14ac:dyDescent="0.2">
      <c r="A223">
        <v>2025</v>
      </c>
      <c r="B223">
        <v>7</v>
      </c>
      <c r="C223">
        <v>28</v>
      </c>
      <c r="D223">
        <v>3321526</v>
      </c>
    </row>
    <row r="224" spans="1:4" x14ac:dyDescent="0.2">
      <c r="A224">
        <v>2025</v>
      </c>
      <c r="B224">
        <v>7</v>
      </c>
      <c r="C224">
        <v>27</v>
      </c>
      <c r="D224">
        <v>2509568</v>
      </c>
    </row>
    <row r="225" spans="1:4" x14ac:dyDescent="0.2">
      <c r="A225">
        <v>2025</v>
      </c>
      <c r="B225">
        <v>7</v>
      </c>
      <c r="C225">
        <v>26</v>
      </c>
      <c r="D225">
        <v>1455875</v>
      </c>
    </row>
    <row r="226" spans="1:4" x14ac:dyDescent="0.2">
      <c r="A226">
        <v>2025</v>
      </c>
      <c r="B226">
        <v>7</v>
      </c>
      <c r="C226">
        <v>25</v>
      </c>
      <c r="D226">
        <v>1872562</v>
      </c>
    </row>
    <row r="227" spans="1:4" x14ac:dyDescent="0.2">
      <c r="A227">
        <v>2025</v>
      </c>
      <c r="B227">
        <v>7</v>
      </c>
      <c r="C227">
        <v>24</v>
      </c>
      <c r="D227">
        <v>3105297</v>
      </c>
    </row>
    <row r="228" spans="1:4" x14ac:dyDescent="0.2">
      <c r="A228">
        <v>2025</v>
      </c>
      <c r="B228">
        <v>7</v>
      </c>
      <c r="C228">
        <v>23</v>
      </c>
      <c r="D228">
        <v>3120125</v>
      </c>
    </row>
    <row r="229" spans="1:4" x14ac:dyDescent="0.2">
      <c r="A229">
        <v>2025</v>
      </c>
      <c r="B229">
        <v>7</v>
      </c>
      <c r="C229">
        <v>22</v>
      </c>
      <c r="D229">
        <v>3117630</v>
      </c>
    </row>
    <row r="230" spans="1:4" x14ac:dyDescent="0.2">
      <c r="A230">
        <v>2025</v>
      </c>
      <c r="B230">
        <v>7</v>
      </c>
      <c r="C230">
        <v>21</v>
      </c>
      <c r="D230">
        <v>3178201</v>
      </c>
    </row>
    <row r="231" spans="1:4" x14ac:dyDescent="0.2">
      <c r="A231">
        <v>2025</v>
      </c>
      <c r="B231">
        <v>7</v>
      </c>
      <c r="C231">
        <v>20</v>
      </c>
      <c r="D231">
        <v>2292707</v>
      </c>
    </row>
    <row r="232" spans="1:4" x14ac:dyDescent="0.2">
      <c r="A232">
        <v>2025</v>
      </c>
      <c r="B232">
        <v>7</v>
      </c>
      <c r="C232">
        <v>19</v>
      </c>
      <c r="D232">
        <v>1433656</v>
      </c>
    </row>
    <row r="233" spans="1:4" x14ac:dyDescent="0.2">
      <c r="A233">
        <v>2025</v>
      </c>
      <c r="B233">
        <v>7</v>
      </c>
      <c r="C233">
        <v>18</v>
      </c>
      <c r="D233">
        <v>1791622</v>
      </c>
    </row>
    <row r="234" spans="1:4" x14ac:dyDescent="0.2">
      <c r="A234">
        <v>2025</v>
      </c>
      <c r="B234">
        <v>7</v>
      </c>
      <c r="C234">
        <v>17</v>
      </c>
      <c r="D234">
        <v>3053138</v>
      </c>
    </row>
    <row r="235" spans="1:4" x14ac:dyDescent="0.2">
      <c r="A235">
        <v>2025</v>
      </c>
      <c r="B235">
        <v>7</v>
      </c>
      <c r="C235">
        <v>16</v>
      </c>
      <c r="D235">
        <v>3113333</v>
      </c>
    </row>
    <row r="236" spans="1:4" x14ac:dyDescent="0.2">
      <c r="A236">
        <v>2025</v>
      </c>
      <c r="B236">
        <v>7</v>
      </c>
      <c r="C236">
        <v>15</v>
      </c>
      <c r="D236">
        <v>3309799</v>
      </c>
    </row>
    <row r="237" spans="1:4" x14ac:dyDescent="0.2">
      <c r="A237">
        <v>2025</v>
      </c>
      <c r="B237">
        <v>7</v>
      </c>
      <c r="C237">
        <v>14</v>
      </c>
      <c r="D237">
        <v>3272340</v>
      </c>
    </row>
    <row r="238" spans="1:4" x14ac:dyDescent="0.2">
      <c r="A238">
        <v>2025</v>
      </c>
      <c r="B238">
        <v>7</v>
      </c>
      <c r="C238">
        <v>13</v>
      </c>
      <c r="D238">
        <v>2356403</v>
      </c>
    </row>
    <row r="239" spans="1:4" x14ac:dyDescent="0.2">
      <c r="A239">
        <v>2025</v>
      </c>
      <c r="B239">
        <v>7</v>
      </c>
      <c r="C239">
        <v>12</v>
      </c>
      <c r="D239">
        <v>1580710</v>
      </c>
    </row>
    <row r="240" spans="1:4" x14ac:dyDescent="0.2">
      <c r="A240">
        <v>2025</v>
      </c>
      <c r="B240">
        <v>7</v>
      </c>
      <c r="C240">
        <v>11</v>
      </c>
      <c r="D240">
        <v>1698839</v>
      </c>
    </row>
    <row r="241" spans="1:4" x14ac:dyDescent="0.2">
      <c r="A241">
        <v>2025</v>
      </c>
      <c r="B241">
        <v>7</v>
      </c>
      <c r="C241">
        <v>10</v>
      </c>
      <c r="D241">
        <v>2977961</v>
      </c>
    </row>
    <row r="242" spans="1:4" x14ac:dyDescent="0.2">
      <c r="A242">
        <v>2025</v>
      </c>
      <c r="B242">
        <v>7</v>
      </c>
      <c r="C242">
        <v>9</v>
      </c>
      <c r="D242">
        <v>3088038</v>
      </c>
    </row>
    <row r="243" spans="1:4" x14ac:dyDescent="0.2">
      <c r="A243">
        <v>2025</v>
      </c>
      <c r="B243">
        <v>7</v>
      </c>
      <c r="C243">
        <v>8</v>
      </c>
      <c r="D243">
        <v>3573411</v>
      </c>
    </row>
    <row r="244" spans="1:4" x14ac:dyDescent="0.2">
      <c r="A244">
        <v>2025</v>
      </c>
      <c r="B244">
        <v>7</v>
      </c>
      <c r="C244">
        <v>7</v>
      </c>
      <c r="D244">
        <v>3169610</v>
      </c>
    </row>
    <row r="245" spans="1:4" x14ac:dyDescent="0.2">
      <c r="A245">
        <v>2025</v>
      </c>
      <c r="B245">
        <v>7</v>
      </c>
      <c r="C245">
        <v>6</v>
      </c>
      <c r="D245">
        <v>2018642</v>
      </c>
    </row>
    <row r="246" spans="1:4" x14ac:dyDescent="0.2">
      <c r="A246">
        <v>2025</v>
      </c>
      <c r="B246">
        <v>7</v>
      </c>
      <c r="C246">
        <v>5</v>
      </c>
      <c r="D246">
        <v>1627139</v>
      </c>
    </row>
    <row r="247" spans="1:4" x14ac:dyDescent="0.2">
      <c r="A247">
        <v>2025</v>
      </c>
      <c r="B247">
        <v>7</v>
      </c>
      <c r="C247">
        <v>4</v>
      </c>
      <c r="D247">
        <v>1166657</v>
      </c>
    </row>
    <row r="248" spans="1:4" x14ac:dyDescent="0.2">
      <c r="A248">
        <v>2025</v>
      </c>
      <c r="B248">
        <v>7</v>
      </c>
      <c r="C248">
        <v>3</v>
      </c>
      <c r="D248">
        <v>2804700</v>
      </c>
    </row>
    <row r="249" spans="1:4" x14ac:dyDescent="0.2">
      <c r="A249">
        <v>2025</v>
      </c>
      <c r="B249">
        <v>7</v>
      </c>
      <c r="C249">
        <v>2</v>
      </c>
      <c r="D249">
        <v>3122476</v>
      </c>
    </row>
    <row r="250" spans="1:4" x14ac:dyDescent="0.2">
      <c r="A250">
        <v>2025</v>
      </c>
      <c r="B250">
        <v>7</v>
      </c>
      <c r="C250">
        <v>1</v>
      </c>
      <c r="D250">
        <v>3151641</v>
      </c>
    </row>
    <row r="251" spans="1:4" x14ac:dyDescent="0.2">
      <c r="A251">
        <v>2025</v>
      </c>
      <c r="B251">
        <v>7</v>
      </c>
      <c r="C251" t="s">
        <v>4</v>
      </c>
      <c r="D251">
        <v>81914502</v>
      </c>
    </row>
    <row r="252" spans="1:4" x14ac:dyDescent="0.2">
      <c r="A252">
        <v>2025</v>
      </c>
      <c r="B252">
        <v>6</v>
      </c>
      <c r="C252">
        <v>30</v>
      </c>
      <c r="D252">
        <v>3178671</v>
      </c>
    </row>
    <row r="253" spans="1:4" x14ac:dyDescent="0.2">
      <c r="A253">
        <v>2025</v>
      </c>
      <c r="B253">
        <v>6</v>
      </c>
      <c r="C253">
        <v>29</v>
      </c>
      <c r="D253">
        <v>2422056</v>
      </c>
    </row>
    <row r="254" spans="1:4" x14ac:dyDescent="0.2">
      <c r="A254">
        <v>2025</v>
      </c>
      <c r="B254">
        <v>6</v>
      </c>
      <c r="C254">
        <v>28</v>
      </c>
      <c r="D254">
        <v>1483684</v>
      </c>
    </row>
    <row r="255" spans="1:4" x14ac:dyDescent="0.2">
      <c r="A255">
        <v>2025</v>
      </c>
      <c r="B255">
        <v>6</v>
      </c>
      <c r="C255">
        <v>27</v>
      </c>
      <c r="D255">
        <v>1838802</v>
      </c>
    </row>
    <row r="256" spans="1:4" x14ac:dyDescent="0.2">
      <c r="A256">
        <v>2025</v>
      </c>
      <c r="B256">
        <v>6</v>
      </c>
      <c r="C256">
        <v>26</v>
      </c>
      <c r="D256">
        <v>3066184</v>
      </c>
    </row>
    <row r="257" spans="1:4" x14ac:dyDescent="0.2">
      <c r="A257">
        <v>2025</v>
      </c>
      <c r="B257">
        <v>6</v>
      </c>
      <c r="C257">
        <v>25</v>
      </c>
      <c r="D257">
        <v>3146672</v>
      </c>
    </row>
    <row r="258" spans="1:4" x14ac:dyDescent="0.2">
      <c r="A258">
        <v>2025</v>
      </c>
      <c r="B258">
        <v>6</v>
      </c>
      <c r="C258">
        <v>24</v>
      </c>
      <c r="D258">
        <v>3205898</v>
      </c>
    </row>
    <row r="259" spans="1:4" x14ac:dyDescent="0.2">
      <c r="A259">
        <v>2025</v>
      </c>
      <c r="B259">
        <v>6</v>
      </c>
      <c r="C259">
        <v>23</v>
      </c>
      <c r="D259">
        <v>3166579</v>
      </c>
    </row>
    <row r="260" spans="1:4" x14ac:dyDescent="0.2">
      <c r="A260">
        <v>2025</v>
      </c>
      <c r="B260">
        <v>6</v>
      </c>
      <c r="C260">
        <v>22</v>
      </c>
      <c r="D260">
        <v>2295462</v>
      </c>
    </row>
    <row r="261" spans="1:4" x14ac:dyDescent="0.2">
      <c r="A261">
        <v>2025</v>
      </c>
      <c r="B261">
        <v>6</v>
      </c>
      <c r="C261">
        <v>21</v>
      </c>
      <c r="D261">
        <v>1559881</v>
      </c>
    </row>
    <row r="262" spans="1:4" x14ac:dyDescent="0.2">
      <c r="A262">
        <v>2025</v>
      </c>
      <c r="B262">
        <v>6</v>
      </c>
      <c r="C262">
        <v>20</v>
      </c>
      <c r="D262">
        <v>1720192</v>
      </c>
    </row>
    <row r="263" spans="1:4" x14ac:dyDescent="0.2">
      <c r="A263">
        <v>2025</v>
      </c>
      <c r="B263">
        <v>6</v>
      </c>
      <c r="C263">
        <v>19</v>
      </c>
      <c r="D263">
        <v>3103713</v>
      </c>
    </row>
    <row r="264" spans="1:4" x14ac:dyDescent="0.2">
      <c r="A264">
        <v>2025</v>
      </c>
      <c r="B264">
        <v>6</v>
      </c>
      <c r="C264">
        <v>18</v>
      </c>
      <c r="D264">
        <v>3194270</v>
      </c>
    </row>
    <row r="265" spans="1:4" x14ac:dyDescent="0.2">
      <c r="A265">
        <v>2025</v>
      </c>
      <c r="B265">
        <v>6</v>
      </c>
      <c r="C265">
        <v>17</v>
      </c>
      <c r="D265">
        <v>3367771</v>
      </c>
    </row>
    <row r="266" spans="1:4" x14ac:dyDescent="0.2">
      <c r="A266">
        <v>2025</v>
      </c>
      <c r="B266">
        <v>6</v>
      </c>
      <c r="C266">
        <v>16</v>
      </c>
      <c r="D266">
        <v>3146224</v>
      </c>
    </row>
    <row r="267" spans="1:4" x14ac:dyDescent="0.2">
      <c r="A267">
        <v>2025</v>
      </c>
      <c r="B267">
        <v>6</v>
      </c>
      <c r="C267">
        <v>15</v>
      </c>
      <c r="D267">
        <v>2246232</v>
      </c>
    </row>
    <row r="268" spans="1:4" x14ac:dyDescent="0.2">
      <c r="A268">
        <v>2025</v>
      </c>
      <c r="B268">
        <v>6</v>
      </c>
      <c r="C268">
        <v>14</v>
      </c>
      <c r="D268">
        <v>1609971</v>
      </c>
    </row>
    <row r="269" spans="1:4" x14ac:dyDescent="0.2">
      <c r="A269">
        <v>2025</v>
      </c>
      <c r="B269">
        <v>6</v>
      </c>
      <c r="C269">
        <v>13</v>
      </c>
      <c r="D269">
        <v>1930308</v>
      </c>
    </row>
    <row r="270" spans="1:4" x14ac:dyDescent="0.2">
      <c r="A270">
        <v>2025</v>
      </c>
      <c r="B270">
        <v>6</v>
      </c>
      <c r="C270">
        <v>12</v>
      </c>
      <c r="D270">
        <v>3079232</v>
      </c>
    </row>
    <row r="271" spans="1:4" x14ac:dyDescent="0.2">
      <c r="A271">
        <v>2025</v>
      </c>
      <c r="B271">
        <v>6</v>
      </c>
      <c r="C271">
        <v>11</v>
      </c>
      <c r="D271">
        <v>3401605</v>
      </c>
    </row>
    <row r="272" spans="1:4" x14ac:dyDescent="0.2">
      <c r="A272">
        <v>2025</v>
      </c>
      <c r="B272">
        <v>6</v>
      </c>
      <c r="C272">
        <v>10</v>
      </c>
      <c r="D272">
        <v>3317487</v>
      </c>
    </row>
    <row r="273" spans="1:4" x14ac:dyDescent="0.2">
      <c r="A273">
        <v>2025</v>
      </c>
      <c r="B273">
        <v>6</v>
      </c>
      <c r="C273">
        <v>9</v>
      </c>
      <c r="D273">
        <v>3479225</v>
      </c>
    </row>
    <row r="274" spans="1:4" x14ac:dyDescent="0.2">
      <c r="A274">
        <v>2025</v>
      </c>
      <c r="B274">
        <v>6</v>
      </c>
      <c r="C274">
        <v>8</v>
      </c>
      <c r="D274">
        <v>2369031</v>
      </c>
    </row>
    <row r="275" spans="1:4" x14ac:dyDescent="0.2">
      <c r="A275">
        <v>2025</v>
      </c>
      <c r="B275">
        <v>6</v>
      </c>
      <c r="C275">
        <v>7</v>
      </c>
      <c r="D275">
        <v>1640418</v>
      </c>
    </row>
    <row r="276" spans="1:4" x14ac:dyDescent="0.2">
      <c r="A276">
        <v>2025</v>
      </c>
      <c r="B276">
        <v>6</v>
      </c>
      <c r="C276">
        <v>6</v>
      </c>
      <c r="D276">
        <v>2049880</v>
      </c>
    </row>
    <row r="277" spans="1:4" x14ac:dyDescent="0.2">
      <c r="A277">
        <v>2025</v>
      </c>
      <c r="B277">
        <v>6</v>
      </c>
      <c r="C277">
        <v>5</v>
      </c>
      <c r="D277">
        <v>3426213</v>
      </c>
    </row>
    <row r="278" spans="1:4" x14ac:dyDescent="0.2">
      <c r="A278">
        <v>2025</v>
      </c>
      <c r="B278">
        <v>6</v>
      </c>
      <c r="C278">
        <v>4</v>
      </c>
      <c r="D278">
        <v>3369663</v>
      </c>
    </row>
    <row r="279" spans="1:4" x14ac:dyDescent="0.2">
      <c r="A279">
        <v>2025</v>
      </c>
      <c r="B279">
        <v>6</v>
      </c>
      <c r="C279">
        <v>3</v>
      </c>
      <c r="D279">
        <v>3396590</v>
      </c>
    </row>
    <row r="280" spans="1:4" x14ac:dyDescent="0.2">
      <c r="A280">
        <v>2025</v>
      </c>
      <c r="B280">
        <v>6</v>
      </c>
      <c r="C280">
        <v>2</v>
      </c>
      <c r="D280">
        <v>3429127</v>
      </c>
    </row>
    <row r="281" spans="1:4" x14ac:dyDescent="0.2">
      <c r="A281">
        <v>2025</v>
      </c>
      <c r="B281">
        <v>6</v>
      </c>
      <c r="C281">
        <v>1</v>
      </c>
      <c r="D281">
        <v>2396076</v>
      </c>
    </row>
    <row r="282" spans="1:4" x14ac:dyDescent="0.2">
      <c r="A282">
        <v>2025</v>
      </c>
      <c r="B282">
        <v>6</v>
      </c>
      <c r="C282" t="s">
        <v>4</v>
      </c>
      <c r="D282">
        <v>81037117</v>
      </c>
    </row>
    <row r="283" spans="1:4" x14ac:dyDescent="0.2">
      <c r="A283">
        <v>2025</v>
      </c>
      <c r="B283">
        <v>5</v>
      </c>
      <c r="C283">
        <v>31</v>
      </c>
      <c r="D283">
        <v>1685831</v>
      </c>
    </row>
    <row r="284" spans="1:4" x14ac:dyDescent="0.2">
      <c r="A284">
        <v>2025</v>
      </c>
      <c r="B284">
        <v>5</v>
      </c>
      <c r="C284">
        <v>30</v>
      </c>
      <c r="D284">
        <v>2017393</v>
      </c>
    </row>
    <row r="285" spans="1:4" x14ac:dyDescent="0.2">
      <c r="A285">
        <v>2025</v>
      </c>
      <c r="B285">
        <v>5</v>
      </c>
      <c r="C285">
        <v>29</v>
      </c>
      <c r="D285">
        <v>3493969</v>
      </c>
    </row>
    <row r="286" spans="1:4" x14ac:dyDescent="0.2">
      <c r="A286">
        <v>2025</v>
      </c>
      <c r="B286">
        <v>5</v>
      </c>
      <c r="C286">
        <v>28</v>
      </c>
      <c r="D286">
        <v>3364858</v>
      </c>
    </row>
    <row r="287" spans="1:4" x14ac:dyDescent="0.2">
      <c r="A287">
        <v>2025</v>
      </c>
      <c r="B287">
        <v>5</v>
      </c>
      <c r="C287">
        <v>27</v>
      </c>
      <c r="D287">
        <v>3506081</v>
      </c>
    </row>
    <row r="288" spans="1:4" x14ac:dyDescent="0.2">
      <c r="A288">
        <v>2025</v>
      </c>
      <c r="B288">
        <v>5</v>
      </c>
      <c r="C288">
        <v>26</v>
      </c>
      <c r="D288">
        <v>1024258</v>
      </c>
    </row>
    <row r="289" spans="1:4" x14ac:dyDescent="0.2">
      <c r="A289">
        <v>2025</v>
      </c>
      <c r="B289">
        <v>5</v>
      </c>
      <c r="C289">
        <v>25</v>
      </c>
      <c r="D289">
        <v>2170773</v>
      </c>
    </row>
    <row r="290" spans="1:4" x14ac:dyDescent="0.2">
      <c r="A290">
        <v>2025</v>
      </c>
      <c r="B290">
        <v>5</v>
      </c>
      <c r="C290">
        <v>24</v>
      </c>
      <c r="D290">
        <v>1645436</v>
      </c>
    </row>
    <row r="291" spans="1:4" x14ac:dyDescent="0.2">
      <c r="A291">
        <v>2025</v>
      </c>
      <c r="B291">
        <v>5</v>
      </c>
      <c r="C291">
        <v>23</v>
      </c>
      <c r="D291">
        <v>2029227</v>
      </c>
    </row>
    <row r="292" spans="1:4" x14ac:dyDescent="0.2">
      <c r="A292">
        <v>2025</v>
      </c>
      <c r="B292">
        <v>5</v>
      </c>
      <c r="C292">
        <v>22</v>
      </c>
      <c r="D292">
        <v>3407862</v>
      </c>
    </row>
    <row r="293" spans="1:4" x14ac:dyDescent="0.2">
      <c r="A293">
        <v>2025</v>
      </c>
      <c r="B293">
        <v>5</v>
      </c>
      <c r="C293">
        <v>21</v>
      </c>
      <c r="D293">
        <v>3323006</v>
      </c>
    </row>
    <row r="294" spans="1:4" x14ac:dyDescent="0.2">
      <c r="A294">
        <v>2025</v>
      </c>
      <c r="B294">
        <v>5</v>
      </c>
      <c r="C294">
        <v>20</v>
      </c>
      <c r="D294">
        <v>3531332</v>
      </c>
    </row>
    <row r="295" spans="1:4" x14ac:dyDescent="0.2">
      <c r="A295">
        <v>2025</v>
      </c>
      <c r="B295">
        <v>5</v>
      </c>
      <c r="C295">
        <v>19</v>
      </c>
      <c r="D295">
        <v>3477703</v>
      </c>
    </row>
    <row r="296" spans="1:4" x14ac:dyDescent="0.2">
      <c r="A296">
        <v>2025</v>
      </c>
      <c r="B296">
        <v>5</v>
      </c>
      <c r="C296">
        <v>18</v>
      </c>
      <c r="D296">
        <v>2338753</v>
      </c>
    </row>
    <row r="297" spans="1:4" x14ac:dyDescent="0.2">
      <c r="A297">
        <v>2025</v>
      </c>
      <c r="B297">
        <v>5</v>
      </c>
      <c r="C297">
        <v>17</v>
      </c>
      <c r="D297">
        <v>1683293</v>
      </c>
    </row>
    <row r="298" spans="1:4" x14ac:dyDescent="0.2">
      <c r="A298">
        <v>2025</v>
      </c>
      <c r="B298">
        <v>5</v>
      </c>
      <c r="C298">
        <v>16</v>
      </c>
      <c r="D298">
        <v>2047594</v>
      </c>
    </row>
    <row r="299" spans="1:4" x14ac:dyDescent="0.2">
      <c r="A299">
        <v>2025</v>
      </c>
      <c r="B299">
        <v>5</v>
      </c>
      <c r="C299">
        <v>15</v>
      </c>
      <c r="D299">
        <v>3364753</v>
      </c>
    </row>
    <row r="300" spans="1:4" x14ac:dyDescent="0.2">
      <c r="A300">
        <v>2025</v>
      </c>
      <c r="B300">
        <v>5</v>
      </c>
      <c r="C300">
        <v>14</v>
      </c>
      <c r="D300">
        <v>3763177</v>
      </c>
    </row>
    <row r="301" spans="1:4" x14ac:dyDescent="0.2">
      <c r="A301">
        <v>2025</v>
      </c>
      <c r="B301">
        <v>5</v>
      </c>
      <c r="C301">
        <v>13</v>
      </c>
      <c r="D301">
        <v>3569054</v>
      </c>
    </row>
    <row r="302" spans="1:4" x14ac:dyDescent="0.2">
      <c r="A302">
        <v>2025</v>
      </c>
      <c r="B302">
        <v>5</v>
      </c>
      <c r="C302">
        <v>12</v>
      </c>
      <c r="D302">
        <v>3512309</v>
      </c>
    </row>
    <row r="303" spans="1:4" x14ac:dyDescent="0.2">
      <c r="A303">
        <v>2025</v>
      </c>
      <c r="B303">
        <v>5</v>
      </c>
      <c r="C303">
        <v>11</v>
      </c>
      <c r="D303">
        <v>2262267</v>
      </c>
    </row>
    <row r="304" spans="1:4" x14ac:dyDescent="0.2">
      <c r="A304">
        <v>2025</v>
      </c>
      <c r="B304">
        <v>5</v>
      </c>
      <c r="C304">
        <v>10</v>
      </c>
      <c r="D304">
        <v>1601148</v>
      </c>
    </row>
    <row r="305" spans="1:4" x14ac:dyDescent="0.2">
      <c r="A305">
        <v>2025</v>
      </c>
      <c r="B305">
        <v>5</v>
      </c>
      <c r="C305">
        <v>9</v>
      </c>
      <c r="D305">
        <v>2429854</v>
      </c>
    </row>
    <row r="306" spans="1:4" x14ac:dyDescent="0.2">
      <c r="A306">
        <v>2025</v>
      </c>
      <c r="B306">
        <v>5</v>
      </c>
      <c r="C306">
        <v>8</v>
      </c>
      <c r="D306">
        <v>3747505</v>
      </c>
    </row>
    <row r="307" spans="1:4" x14ac:dyDescent="0.2">
      <c r="A307">
        <v>2025</v>
      </c>
      <c r="B307">
        <v>5</v>
      </c>
      <c r="C307">
        <v>7</v>
      </c>
      <c r="D307">
        <v>3553828</v>
      </c>
    </row>
    <row r="308" spans="1:4" x14ac:dyDescent="0.2">
      <c r="A308">
        <v>2025</v>
      </c>
      <c r="B308">
        <v>5</v>
      </c>
      <c r="C308">
        <v>6</v>
      </c>
      <c r="D308">
        <v>3481246</v>
      </c>
    </row>
    <row r="309" spans="1:4" x14ac:dyDescent="0.2">
      <c r="A309">
        <v>2025</v>
      </c>
      <c r="B309">
        <v>5</v>
      </c>
      <c r="C309">
        <v>5</v>
      </c>
      <c r="D309">
        <v>3441639</v>
      </c>
    </row>
    <row r="310" spans="1:4" x14ac:dyDescent="0.2">
      <c r="A310">
        <v>2025</v>
      </c>
      <c r="B310">
        <v>5</v>
      </c>
      <c r="C310">
        <v>4</v>
      </c>
      <c r="D310">
        <v>2507622</v>
      </c>
    </row>
    <row r="311" spans="1:4" x14ac:dyDescent="0.2">
      <c r="A311">
        <v>2025</v>
      </c>
      <c r="B311">
        <v>5</v>
      </c>
      <c r="C311">
        <v>3</v>
      </c>
      <c r="D311">
        <v>1598699</v>
      </c>
    </row>
    <row r="312" spans="1:4" x14ac:dyDescent="0.2">
      <c r="A312">
        <v>2025</v>
      </c>
      <c r="B312">
        <v>5</v>
      </c>
      <c r="C312">
        <v>2</v>
      </c>
      <c r="D312">
        <v>2128508</v>
      </c>
    </row>
    <row r="313" spans="1:4" x14ac:dyDescent="0.2">
      <c r="A313">
        <v>2025</v>
      </c>
      <c r="B313">
        <v>5</v>
      </c>
      <c r="C313">
        <v>1</v>
      </c>
      <c r="D313">
        <v>3446841</v>
      </c>
    </row>
    <row r="314" spans="1:4" x14ac:dyDescent="0.2">
      <c r="A314">
        <v>2025</v>
      </c>
      <c r="B314">
        <v>5</v>
      </c>
      <c r="C314" t="s">
        <v>4</v>
      </c>
      <c r="D314">
        <v>85155819</v>
      </c>
    </row>
    <row r="315" spans="1:4" x14ac:dyDescent="0.2">
      <c r="A315">
        <v>2025</v>
      </c>
      <c r="B315">
        <v>4</v>
      </c>
      <c r="C315">
        <v>30</v>
      </c>
      <c r="D315">
        <v>3503776</v>
      </c>
    </row>
    <row r="316" spans="1:4" x14ac:dyDescent="0.2">
      <c r="A316">
        <v>2025</v>
      </c>
      <c r="B316">
        <v>4</v>
      </c>
      <c r="C316">
        <v>29</v>
      </c>
      <c r="D316">
        <v>3390360</v>
      </c>
    </row>
    <row r="317" spans="1:4" x14ac:dyDescent="0.2">
      <c r="A317">
        <v>2025</v>
      </c>
      <c r="B317">
        <v>4</v>
      </c>
      <c r="C317">
        <v>28</v>
      </c>
      <c r="D317">
        <v>3138942</v>
      </c>
    </row>
    <row r="318" spans="1:4" x14ac:dyDescent="0.2">
      <c r="A318">
        <v>2025</v>
      </c>
      <c r="B318">
        <v>4</v>
      </c>
      <c r="C318">
        <v>27</v>
      </c>
      <c r="D318">
        <v>2265815</v>
      </c>
    </row>
    <row r="319" spans="1:4" x14ac:dyDescent="0.2">
      <c r="A319">
        <v>2025</v>
      </c>
      <c r="B319">
        <v>4</v>
      </c>
      <c r="C319">
        <v>26</v>
      </c>
      <c r="D319">
        <v>1519935</v>
      </c>
    </row>
    <row r="320" spans="1:4" x14ac:dyDescent="0.2">
      <c r="A320">
        <v>2025</v>
      </c>
      <c r="B320">
        <v>4</v>
      </c>
      <c r="C320">
        <v>25</v>
      </c>
      <c r="D320">
        <v>2197313</v>
      </c>
    </row>
    <row r="321" spans="1:4" x14ac:dyDescent="0.2">
      <c r="A321">
        <v>2025</v>
      </c>
      <c r="B321">
        <v>4</v>
      </c>
      <c r="C321">
        <v>24</v>
      </c>
      <c r="D321">
        <v>3077372</v>
      </c>
    </row>
    <row r="322" spans="1:4" x14ac:dyDescent="0.2">
      <c r="A322">
        <v>2025</v>
      </c>
      <c r="B322">
        <v>4</v>
      </c>
      <c r="C322">
        <v>23</v>
      </c>
      <c r="D322">
        <v>3142257</v>
      </c>
    </row>
    <row r="323" spans="1:4" x14ac:dyDescent="0.2">
      <c r="A323">
        <v>2025</v>
      </c>
      <c r="B323">
        <v>4</v>
      </c>
      <c r="C323">
        <v>22</v>
      </c>
      <c r="D323">
        <v>3204000</v>
      </c>
    </row>
    <row r="324" spans="1:4" x14ac:dyDescent="0.2">
      <c r="A324">
        <v>2025</v>
      </c>
      <c r="B324">
        <v>4</v>
      </c>
      <c r="C324">
        <v>21</v>
      </c>
      <c r="D324">
        <v>3149195</v>
      </c>
    </row>
    <row r="325" spans="1:4" x14ac:dyDescent="0.2">
      <c r="A325">
        <v>2025</v>
      </c>
      <c r="B325">
        <v>4</v>
      </c>
      <c r="C325">
        <v>20</v>
      </c>
      <c r="D325">
        <v>2275029</v>
      </c>
    </row>
    <row r="326" spans="1:4" x14ac:dyDescent="0.2">
      <c r="A326">
        <v>2025</v>
      </c>
      <c r="B326">
        <v>4</v>
      </c>
      <c r="C326">
        <v>19</v>
      </c>
      <c r="D326">
        <v>1564552</v>
      </c>
    </row>
    <row r="327" spans="1:4" x14ac:dyDescent="0.2">
      <c r="A327">
        <v>2025</v>
      </c>
      <c r="B327">
        <v>4</v>
      </c>
      <c r="C327">
        <v>18</v>
      </c>
      <c r="D327">
        <v>1937766</v>
      </c>
    </row>
    <row r="328" spans="1:4" x14ac:dyDescent="0.2">
      <c r="A328">
        <v>2025</v>
      </c>
      <c r="B328">
        <v>4</v>
      </c>
      <c r="C328">
        <v>17</v>
      </c>
      <c r="D328">
        <v>3445833</v>
      </c>
    </row>
    <row r="329" spans="1:4" x14ac:dyDescent="0.2">
      <c r="A329">
        <v>2025</v>
      </c>
      <c r="B329">
        <v>4</v>
      </c>
      <c r="C329">
        <v>16</v>
      </c>
      <c r="D329">
        <v>3269592</v>
      </c>
    </row>
    <row r="330" spans="1:4" x14ac:dyDescent="0.2">
      <c r="A330">
        <v>2025</v>
      </c>
      <c r="B330">
        <v>4</v>
      </c>
      <c r="C330">
        <v>15</v>
      </c>
      <c r="D330">
        <v>3329167</v>
      </c>
    </row>
    <row r="331" spans="1:4" x14ac:dyDescent="0.2">
      <c r="A331">
        <v>2025</v>
      </c>
      <c r="B331">
        <v>4</v>
      </c>
      <c r="C331">
        <v>14</v>
      </c>
      <c r="D331">
        <v>3330272</v>
      </c>
    </row>
    <row r="332" spans="1:4" x14ac:dyDescent="0.2">
      <c r="A332">
        <v>2025</v>
      </c>
      <c r="B332">
        <v>4</v>
      </c>
      <c r="C332">
        <v>13</v>
      </c>
      <c r="D332">
        <v>2450056</v>
      </c>
    </row>
    <row r="333" spans="1:4" x14ac:dyDescent="0.2">
      <c r="A333">
        <v>2025</v>
      </c>
      <c r="B333">
        <v>4</v>
      </c>
      <c r="C333">
        <v>12</v>
      </c>
      <c r="D333">
        <v>1346092</v>
      </c>
    </row>
    <row r="334" spans="1:4" x14ac:dyDescent="0.2">
      <c r="A334">
        <v>2025</v>
      </c>
      <c r="B334">
        <v>4</v>
      </c>
      <c r="C334">
        <v>11</v>
      </c>
      <c r="D334">
        <v>1988045</v>
      </c>
    </row>
    <row r="335" spans="1:4" x14ac:dyDescent="0.2">
      <c r="A335">
        <v>2025</v>
      </c>
      <c r="B335">
        <v>4</v>
      </c>
      <c r="C335">
        <v>10</v>
      </c>
      <c r="D335">
        <v>3041083</v>
      </c>
    </row>
    <row r="336" spans="1:4" x14ac:dyDescent="0.2">
      <c r="A336">
        <v>2025</v>
      </c>
      <c r="B336">
        <v>4</v>
      </c>
      <c r="C336">
        <v>9</v>
      </c>
      <c r="D336">
        <v>3073009</v>
      </c>
    </row>
    <row r="337" spans="1:4" x14ac:dyDescent="0.2">
      <c r="A337">
        <v>2025</v>
      </c>
      <c r="B337">
        <v>4</v>
      </c>
      <c r="C337">
        <v>8</v>
      </c>
      <c r="D337">
        <v>3349875</v>
      </c>
    </row>
    <row r="338" spans="1:4" x14ac:dyDescent="0.2">
      <c r="A338">
        <v>2025</v>
      </c>
      <c r="B338">
        <v>4</v>
      </c>
      <c r="C338">
        <v>7</v>
      </c>
      <c r="D338">
        <v>3272218</v>
      </c>
    </row>
    <row r="339" spans="1:4" x14ac:dyDescent="0.2">
      <c r="A339">
        <v>2025</v>
      </c>
      <c r="B339">
        <v>4</v>
      </c>
      <c r="C339">
        <v>6</v>
      </c>
      <c r="D339">
        <v>2398328</v>
      </c>
    </row>
    <row r="340" spans="1:4" x14ac:dyDescent="0.2">
      <c r="A340">
        <v>2025</v>
      </c>
      <c r="B340">
        <v>4</v>
      </c>
      <c r="C340">
        <v>5</v>
      </c>
      <c r="D340">
        <v>1438644</v>
      </c>
    </row>
    <row r="341" spans="1:4" x14ac:dyDescent="0.2">
      <c r="A341">
        <v>2025</v>
      </c>
      <c r="B341">
        <v>4</v>
      </c>
      <c r="C341">
        <v>4</v>
      </c>
      <c r="D341">
        <v>2019818</v>
      </c>
    </row>
    <row r="342" spans="1:4" x14ac:dyDescent="0.2">
      <c r="A342">
        <v>2025</v>
      </c>
      <c r="B342">
        <v>4</v>
      </c>
      <c r="C342">
        <v>3</v>
      </c>
      <c r="D342">
        <v>3045916</v>
      </c>
    </row>
    <row r="343" spans="1:4" x14ac:dyDescent="0.2">
      <c r="A343">
        <v>2025</v>
      </c>
      <c r="B343">
        <v>4</v>
      </c>
      <c r="C343">
        <v>2</v>
      </c>
      <c r="D343">
        <v>3089688</v>
      </c>
    </row>
    <row r="344" spans="1:4" x14ac:dyDescent="0.2">
      <c r="A344">
        <v>2025</v>
      </c>
      <c r="B344">
        <v>4</v>
      </c>
      <c r="C344">
        <v>1</v>
      </c>
      <c r="D344">
        <v>3216682</v>
      </c>
    </row>
    <row r="345" spans="1:4" x14ac:dyDescent="0.2">
      <c r="A345">
        <v>2025</v>
      </c>
      <c r="B345">
        <v>4</v>
      </c>
      <c r="C345" t="s">
        <v>4</v>
      </c>
      <c r="D345">
        <v>81470630</v>
      </c>
    </row>
    <row r="346" spans="1:4" x14ac:dyDescent="0.2">
      <c r="A346">
        <v>2025</v>
      </c>
      <c r="B346">
        <v>3</v>
      </c>
      <c r="C346">
        <v>31</v>
      </c>
      <c r="D346">
        <v>3141408</v>
      </c>
    </row>
    <row r="347" spans="1:4" x14ac:dyDescent="0.2">
      <c r="A347">
        <v>2025</v>
      </c>
      <c r="B347">
        <v>3</v>
      </c>
      <c r="C347">
        <v>30</v>
      </c>
      <c r="D347">
        <v>2178796</v>
      </c>
    </row>
    <row r="348" spans="1:4" x14ac:dyDescent="0.2">
      <c r="A348">
        <v>2025</v>
      </c>
      <c r="B348">
        <v>3</v>
      </c>
      <c r="C348">
        <v>29</v>
      </c>
      <c r="D348">
        <v>1507461</v>
      </c>
    </row>
    <row r="349" spans="1:4" x14ac:dyDescent="0.2">
      <c r="A349">
        <v>2025</v>
      </c>
      <c r="B349">
        <v>3</v>
      </c>
      <c r="C349">
        <v>28</v>
      </c>
      <c r="D349">
        <v>1962120</v>
      </c>
    </row>
    <row r="350" spans="1:4" x14ac:dyDescent="0.2">
      <c r="A350">
        <v>2025</v>
      </c>
      <c r="B350">
        <v>3</v>
      </c>
      <c r="C350">
        <v>27</v>
      </c>
      <c r="D350">
        <v>2793137</v>
      </c>
    </row>
    <row r="351" spans="1:4" x14ac:dyDescent="0.2">
      <c r="A351">
        <v>2025</v>
      </c>
      <c r="B351">
        <v>3</v>
      </c>
      <c r="C351">
        <v>26</v>
      </c>
      <c r="D351">
        <v>2914887</v>
      </c>
    </row>
    <row r="352" spans="1:4" x14ac:dyDescent="0.2">
      <c r="A352">
        <v>2025</v>
      </c>
      <c r="B352">
        <v>3</v>
      </c>
      <c r="C352">
        <v>25</v>
      </c>
      <c r="D352">
        <v>3234662</v>
      </c>
    </row>
    <row r="353" spans="1:4" x14ac:dyDescent="0.2">
      <c r="A353">
        <v>2025</v>
      </c>
      <c r="B353">
        <v>3</v>
      </c>
      <c r="C353">
        <v>24</v>
      </c>
      <c r="D353">
        <v>3261638</v>
      </c>
    </row>
    <row r="354" spans="1:4" x14ac:dyDescent="0.2">
      <c r="A354">
        <v>2025</v>
      </c>
      <c r="B354">
        <v>3</v>
      </c>
      <c r="C354">
        <v>23</v>
      </c>
      <c r="D354">
        <v>1951130</v>
      </c>
    </row>
    <row r="355" spans="1:4" x14ac:dyDescent="0.2">
      <c r="A355">
        <v>2025</v>
      </c>
      <c r="B355">
        <v>3</v>
      </c>
      <c r="C355">
        <v>22</v>
      </c>
      <c r="D355">
        <v>1507476</v>
      </c>
    </row>
    <row r="356" spans="1:4" x14ac:dyDescent="0.2">
      <c r="A356">
        <v>2025</v>
      </c>
      <c r="B356">
        <v>3</v>
      </c>
      <c r="C356">
        <v>21</v>
      </c>
      <c r="D356">
        <v>2039354</v>
      </c>
    </row>
    <row r="357" spans="1:4" x14ac:dyDescent="0.2">
      <c r="A357">
        <v>2025</v>
      </c>
      <c r="B357">
        <v>3</v>
      </c>
      <c r="C357">
        <v>20</v>
      </c>
      <c r="D357">
        <v>2950559</v>
      </c>
    </row>
    <row r="358" spans="1:4" x14ac:dyDescent="0.2">
      <c r="A358">
        <v>2025</v>
      </c>
      <c r="B358">
        <v>3</v>
      </c>
      <c r="C358">
        <v>19</v>
      </c>
      <c r="D358">
        <v>3030522</v>
      </c>
    </row>
    <row r="359" spans="1:4" x14ac:dyDescent="0.2">
      <c r="A359">
        <v>2025</v>
      </c>
      <c r="B359">
        <v>3</v>
      </c>
      <c r="C359">
        <v>18</v>
      </c>
      <c r="D359">
        <v>3260363</v>
      </c>
    </row>
    <row r="360" spans="1:4" x14ac:dyDescent="0.2">
      <c r="A360">
        <v>2025</v>
      </c>
      <c r="B360">
        <v>3</v>
      </c>
      <c r="C360">
        <v>17</v>
      </c>
      <c r="D360">
        <v>3226337</v>
      </c>
    </row>
    <row r="361" spans="1:4" x14ac:dyDescent="0.2">
      <c r="A361">
        <v>2025</v>
      </c>
      <c r="B361">
        <v>3</v>
      </c>
      <c r="C361">
        <v>16</v>
      </c>
      <c r="D361">
        <v>2370945</v>
      </c>
    </row>
    <row r="362" spans="1:4" x14ac:dyDescent="0.2">
      <c r="A362">
        <v>2025</v>
      </c>
      <c r="B362">
        <v>3</v>
      </c>
      <c r="C362">
        <v>15</v>
      </c>
      <c r="D362">
        <v>1508307</v>
      </c>
    </row>
    <row r="363" spans="1:4" x14ac:dyDescent="0.2">
      <c r="A363">
        <v>2025</v>
      </c>
      <c r="B363">
        <v>3</v>
      </c>
      <c r="C363">
        <v>14</v>
      </c>
      <c r="D363">
        <v>1785178</v>
      </c>
    </row>
    <row r="364" spans="1:4" x14ac:dyDescent="0.2">
      <c r="A364">
        <v>2025</v>
      </c>
      <c r="B364">
        <v>3</v>
      </c>
      <c r="C364">
        <v>13</v>
      </c>
      <c r="D364">
        <v>2943392</v>
      </c>
    </row>
    <row r="365" spans="1:4" x14ac:dyDescent="0.2">
      <c r="A365">
        <v>2025</v>
      </c>
      <c r="B365">
        <v>3</v>
      </c>
      <c r="C365">
        <v>12</v>
      </c>
      <c r="D365">
        <v>3068046</v>
      </c>
    </row>
    <row r="366" spans="1:4" x14ac:dyDescent="0.2">
      <c r="A366">
        <v>2025</v>
      </c>
      <c r="B366">
        <v>3</v>
      </c>
      <c r="C366">
        <v>11</v>
      </c>
      <c r="D366">
        <v>3260796</v>
      </c>
    </row>
    <row r="367" spans="1:4" x14ac:dyDescent="0.2">
      <c r="A367">
        <v>2025</v>
      </c>
      <c r="B367">
        <v>3</v>
      </c>
      <c r="C367">
        <v>10</v>
      </c>
      <c r="D367">
        <v>3213051</v>
      </c>
    </row>
    <row r="368" spans="1:4" x14ac:dyDescent="0.2">
      <c r="A368">
        <v>2025</v>
      </c>
      <c r="B368">
        <v>3</v>
      </c>
      <c r="C368">
        <v>9</v>
      </c>
      <c r="D368">
        <v>2486755</v>
      </c>
    </row>
    <row r="369" spans="1:4" x14ac:dyDescent="0.2">
      <c r="A369">
        <v>2025</v>
      </c>
      <c r="B369">
        <v>3</v>
      </c>
      <c r="C369">
        <v>8</v>
      </c>
      <c r="D369">
        <v>1457678</v>
      </c>
    </row>
    <row r="370" spans="1:4" x14ac:dyDescent="0.2">
      <c r="A370">
        <v>2025</v>
      </c>
      <c r="B370">
        <v>3</v>
      </c>
      <c r="C370">
        <v>7</v>
      </c>
      <c r="D370">
        <v>2114616</v>
      </c>
    </row>
    <row r="371" spans="1:4" x14ac:dyDescent="0.2">
      <c r="A371">
        <v>2025</v>
      </c>
      <c r="B371">
        <v>3</v>
      </c>
      <c r="C371">
        <v>6</v>
      </c>
      <c r="D371">
        <v>3033483</v>
      </c>
    </row>
    <row r="372" spans="1:4" x14ac:dyDescent="0.2">
      <c r="A372">
        <v>2025</v>
      </c>
      <c r="B372">
        <v>3</v>
      </c>
      <c r="C372">
        <v>5</v>
      </c>
      <c r="D372">
        <v>3054050</v>
      </c>
    </row>
    <row r="373" spans="1:4" x14ac:dyDescent="0.2">
      <c r="A373">
        <v>2025</v>
      </c>
      <c r="B373">
        <v>3</v>
      </c>
      <c r="C373">
        <v>4</v>
      </c>
      <c r="D373">
        <v>3236332</v>
      </c>
    </row>
    <row r="374" spans="1:4" x14ac:dyDescent="0.2">
      <c r="A374">
        <v>2025</v>
      </c>
      <c r="B374">
        <v>3</v>
      </c>
      <c r="C374">
        <v>3</v>
      </c>
      <c r="D374">
        <v>3197873</v>
      </c>
    </row>
    <row r="375" spans="1:4" x14ac:dyDescent="0.2">
      <c r="A375">
        <v>2025</v>
      </c>
      <c r="B375">
        <v>3</v>
      </c>
      <c r="C375">
        <v>2</v>
      </c>
      <c r="D375">
        <v>2352405</v>
      </c>
    </row>
    <row r="376" spans="1:4" x14ac:dyDescent="0.2">
      <c r="A376">
        <v>2025</v>
      </c>
      <c r="B376">
        <v>3</v>
      </c>
      <c r="C376">
        <v>1</v>
      </c>
      <c r="D376">
        <v>1250591</v>
      </c>
    </row>
    <row r="377" spans="1:4" x14ac:dyDescent="0.2">
      <c r="A377">
        <v>2025</v>
      </c>
      <c r="B377">
        <v>3</v>
      </c>
      <c r="C377" t="s">
        <v>4</v>
      </c>
      <c r="D377">
        <v>79293348</v>
      </c>
    </row>
    <row r="378" spans="1:4" x14ac:dyDescent="0.2">
      <c r="A378">
        <v>2025</v>
      </c>
      <c r="B378">
        <v>2</v>
      </c>
      <c r="C378">
        <v>28</v>
      </c>
      <c r="D378">
        <v>1996673</v>
      </c>
    </row>
    <row r="379" spans="1:4" x14ac:dyDescent="0.2">
      <c r="A379">
        <v>2025</v>
      </c>
      <c r="B379">
        <v>2</v>
      </c>
      <c r="C379">
        <v>27</v>
      </c>
      <c r="D379">
        <v>2937615</v>
      </c>
    </row>
    <row r="380" spans="1:4" x14ac:dyDescent="0.2">
      <c r="A380">
        <v>2025</v>
      </c>
      <c r="B380">
        <v>2</v>
      </c>
      <c r="C380">
        <v>26</v>
      </c>
      <c r="D380">
        <v>2907530</v>
      </c>
    </row>
    <row r="381" spans="1:4" x14ac:dyDescent="0.2">
      <c r="A381">
        <v>2025</v>
      </c>
      <c r="B381">
        <v>2</v>
      </c>
      <c r="C381" t="s">
        <v>4</v>
      </c>
      <c r="D381">
        <v>7841818</v>
      </c>
    </row>
    <row r="382" spans="1:4" x14ac:dyDescent="0.2">
      <c r="A382">
        <v>2025</v>
      </c>
      <c r="B382" t="s">
        <v>4</v>
      </c>
      <c r="C382" t="s">
        <v>4</v>
      </c>
      <c r="D382">
        <v>901244090</v>
      </c>
    </row>
    <row r="383" spans="1:4" x14ac:dyDescent="0.2">
      <c r="A383" t="s">
        <v>4</v>
      </c>
      <c r="B383" t="s">
        <v>4</v>
      </c>
      <c r="C383" t="s">
        <v>4</v>
      </c>
      <c r="D383">
        <v>1126210190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3"/>
  <sheetViews>
    <sheetView topLeftCell="A4" zoomScaleNormal="100" workbookViewId="0">
      <selection activeCell="L18" sqref="L18"/>
    </sheetView>
  </sheetViews>
  <sheetFormatPr baseColWidth="10" defaultColWidth="8.6640625" defaultRowHeight="15" customHeight="1" x14ac:dyDescent="0.2"/>
  <cols>
    <col min="1" max="1" width="14" customWidth="1"/>
    <col min="2" max="2" width="18" customWidth="1"/>
    <col min="3" max="3" width="14" customWidth="1"/>
    <col min="4" max="4" width="18" customWidth="1"/>
    <col min="5" max="5" width="14" customWidth="1"/>
    <col min="6" max="6" width="20" customWidth="1"/>
    <col min="7" max="7" width="22" customWidth="1"/>
  </cols>
  <sheetData>
    <row r="1" spans="1:7" ht="18" x14ac:dyDescent="0.2">
      <c r="A1" s="2" t="s">
        <v>5</v>
      </c>
      <c r="B1" s="2"/>
      <c r="C1" s="2"/>
      <c r="D1" s="2"/>
      <c r="E1" s="2"/>
      <c r="F1" s="2"/>
      <c r="G1" s="2"/>
    </row>
    <row r="3" spans="1:7" ht="16" x14ac:dyDescent="0.2">
      <c r="A3" s="3" t="s">
        <v>6</v>
      </c>
      <c r="B3" s="3" t="s">
        <v>7</v>
      </c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</row>
    <row r="4" spans="1:7" ht="16" x14ac:dyDescent="0.2">
      <c r="A4" s="4" t="s">
        <v>13</v>
      </c>
      <c r="B4" s="5">
        <v>7841818</v>
      </c>
      <c r="C4" s="5">
        <v>3</v>
      </c>
      <c r="D4" s="5">
        <f t="shared" ref="D4:D16" si="0">IF(C4&gt;0,B4/C4,"")</f>
        <v>2613939.3333333335</v>
      </c>
      <c r="E4" s="6"/>
      <c r="F4" s="5">
        <f>B4</f>
        <v>7841818</v>
      </c>
      <c r="G4" s="7">
        <v>500</v>
      </c>
    </row>
    <row r="5" spans="1:7" ht="16" x14ac:dyDescent="0.2">
      <c r="A5" s="4" t="s">
        <v>14</v>
      </c>
      <c r="B5" s="5">
        <v>79293348</v>
      </c>
      <c r="C5" s="5">
        <v>31</v>
      </c>
      <c r="D5" s="5">
        <f t="shared" si="0"/>
        <v>2557849.935483871</v>
      </c>
      <c r="E5" s="6">
        <f t="shared" ref="E5:E16" si="1">IF(B4&gt;0,(B5-B4)/B4,"")</f>
        <v>9.1116026921308304</v>
      </c>
      <c r="F5" s="5">
        <f t="shared" ref="F5:F16" si="2">F4+B5</f>
        <v>87135166</v>
      </c>
      <c r="G5" s="7">
        <v>500</v>
      </c>
    </row>
    <row r="6" spans="1:7" ht="16" x14ac:dyDescent="0.2">
      <c r="A6" s="4" t="s">
        <v>15</v>
      </c>
      <c r="B6" s="5">
        <v>81470630</v>
      </c>
      <c r="C6" s="5">
        <v>30</v>
      </c>
      <c r="D6" s="5">
        <f t="shared" si="0"/>
        <v>2715687.6666666665</v>
      </c>
      <c r="E6" s="6">
        <f t="shared" si="1"/>
        <v>2.7458570673545023E-2</v>
      </c>
      <c r="F6" s="5">
        <f t="shared" si="2"/>
        <v>168605796</v>
      </c>
      <c r="G6" s="7">
        <v>500</v>
      </c>
    </row>
    <row r="7" spans="1:7" ht="16" x14ac:dyDescent="0.2">
      <c r="A7" s="4" t="s">
        <v>16</v>
      </c>
      <c r="B7" s="5">
        <v>85155819</v>
      </c>
      <c r="C7" s="5">
        <v>31</v>
      </c>
      <c r="D7" s="5">
        <f t="shared" si="0"/>
        <v>2746961.9032258065</v>
      </c>
      <c r="E7" s="6">
        <f t="shared" si="1"/>
        <v>4.5233343598791366E-2</v>
      </c>
      <c r="F7" s="5">
        <f t="shared" si="2"/>
        <v>253761615</v>
      </c>
      <c r="G7" s="7">
        <v>500</v>
      </c>
    </row>
    <row r="8" spans="1:7" ht="16" x14ac:dyDescent="0.2">
      <c r="A8" s="4" t="s">
        <v>17</v>
      </c>
      <c r="B8" s="5">
        <v>81037117</v>
      </c>
      <c r="C8" s="5">
        <v>30</v>
      </c>
      <c r="D8" s="5">
        <f t="shared" si="0"/>
        <v>2701237.2333333334</v>
      </c>
      <c r="E8" s="6">
        <f t="shared" si="1"/>
        <v>-4.8366653604728999E-2</v>
      </c>
      <c r="F8" s="5">
        <f t="shared" si="2"/>
        <v>334798732</v>
      </c>
      <c r="G8" s="7">
        <v>500</v>
      </c>
    </row>
    <row r="9" spans="1:7" ht="16" x14ac:dyDescent="0.2">
      <c r="A9" s="4" t="s">
        <v>18</v>
      </c>
      <c r="B9" s="5">
        <v>81914502</v>
      </c>
      <c r="C9" s="5">
        <v>31</v>
      </c>
      <c r="D9" s="5">
        <f t="shared" si="0"/>
        <v>2642403.2903225808</v>
      </c>
      <c r="E9" s="6">
        <f t="shared" si="1"/>
        <v>1.0826952296439667E-2</v>
      </c>
      <c r="F9" s="5">
        <f t="shared" si="2"/>
        <v>416713234</v>
      </c>
      <c r="G9" s="7">
        <v>500</v>
      </c>
    </row>
    <row r="10" spans="1:7" ht="16" x14ac:dyDescent="0.2">
      <c r="A10" s="4" t="s">
        <v>19</v>
      </c>
      <c r="B10" s="5">
        <v>81824777</v>
      </c>
      <c r="C10" s="5">
        <v>31</v>
      </c>
      <c r="D10" s="5">
        <f t="shared" si="0"/>
        <v>2639508.935483871</v>
      </c>
      <c r="E10" s="6">
        <f t="shared" si="1"/>
        <v>-1.0953493924677708E-3</v>
      </c>
      <c r="F10" s="5">
        <f t="shared" si="2"/>
        <v>498538011</v>
      </c>
      <c r="G10" s="7">
        <v>500</v>
      </c>
    </row>
    <row r="11" spans="1:7" ht="16" x14ac:dyDescent="0.2">
      <c r="A11" s="4" t="s">
        <v>20</v>
      </c>
      <c r="B11" s="5">
        <v>82688899</v>
      </c>
      <c r="C11" s="5">
        <v>30</v>
      </c>
      <c r="D11" s="5">
        <f t="shared" si="0"/>
        <v>2756296.6333333333</v>
      </c>
      <c r="E11" s="6">
        <f t="shared" si="1"/>
        <v>1.0560639841401584E-2</v>
      </c>
      <c r="F11" s="5">
        <f t="shared" si="2"/>
        <v>581226910</v>
      </c>
      <c r="G11" s="7">
        <v>500</v>
      </c>
    </row>
    <row r="12" spans="1:7" ht="16" x14ac:dyDescent="0.2">
      <c r="A12" s="4" t="s">
        <v>21</v>
      </c>
      <c r="B12" s="5">
        <v>93860361</v>
      </c>
      <c r="C12" s="5">
        <v>31</v>
      </c>
      <c r="D12" s="5">
        <f t="shared" si="0"/>
        <v>3027753.5806451612</v>
      </c>
      <c r="E12" s="6">
        <f t="shared" si="1"/>
        <v>0.13510231887354068</v>
      </c>
      <c r="F12" s="5">
        <f t="shared" si="2"/>
        <v>675087271</v>
      </c>
      <c r="G12" s="7">
        <v>500</v>
      </c>
    </row>
    <row r="13" spans="1:7" ht="16" x14ac:dyDescent="0.2">
      <c r="A13" s="4" t="s">
        <v>22</v>
      </c>
      <c r="B13" s="5">
        <v>109950579</v>
      </c>
      <c r="C13" s="5">
        <v>30</v>
      </c>
      <c r="D13" s="5">
        <f t="shared" si="0"/>
        <v>3665019.3</v>
      </c>
      <c r="E13" s="6">
        <f t="shared" si="1"/>
        <v>0.17142719065399717</v>
      </c>
      <c r="F13" s="5">
        <f t="shared" si="2"/>
        <v>785037850</v>
      </c>
      <c r="G13" s="7">
        <v>500</v>
      </c>
    </row>
    <row r="14" spans="1:7" ht="16" x14ac:dyDescent="0.2">
      <c r="A14" s="4" t="s">
        <v>23</v>
      </c>
      <c r="B14" s="5">
        <v>116206240</v>
      </c>
      <c r="C14" s="5">
        <v>31</v>
      </c>
      <c r="D14" s="5">
        <f t="shared" si="0"/>
        <v>3748588.3870967743</v>
      </c>
      <c r="E14" s="6">
        <f t="shared" si="1"/>
        <v>5.6895207436788484E-2</v>
      </c>
      <c r="F14" s="5">
        <f t="shared" si="2"/>
        <v>901244090</v>
      </c>
      <c r="G14" s="7">
        <v>500</v>
      </c>
    </row>
    <row r="15" spans="1:7" ht="16" x14ac:dyDescent="0.2">
      <c r="A15" s="4" t="s">
        <v>24</v>
      </c>
      <c r="B15" s="5">
        <v>122846116</v>
      </c>
      <c r="C15" s="5">
        <v>31</v>
      </c>
      <c r="D15" s="5">
        <f t="shared" si="0"/>
        <v>3962777.935483871</v>
      </c>
      <c r="E15" s="6">
        <f t="shared" si="1"/>
        <v>5.713872163835608E-2</v>
      </c>
      <c r="F15" s="5">
        <f t="shared" si="2"/>
        <v>1024090206</v>
      </c>
      <c r="G15" s="7">
        <v>500</v>
      </c>
    </row>
    <row r="16" spans="1:7" ht="16" x14ac:dyDescent="0.2">
      <c r="A16" s="4" t="s">
        <v>25</v>
      </c>
      <c r="B16" s="5">
        <v>102119984</v>
      </c>
      <c r="C16" s="5">
        <v>26</v>
      </c>
      <c r="D16" s="5">
        <f t="shared" si="0"/>
        <v>3927691.6923076925</v>
      </c>
      <c r="E16" s="6">
        <f t="shared" si="1"/>
        <v>-0.16871621728765115</v>
      </c>
      <c r="F16" s="5">
        <f t="shared" si="2"/>
        <v>1126210190</v>
      </c>
      <c r="G16" s="7">
        <v>500</v>
      </c>
    </row>
    <row r="18" spans="1:2" ht="16" x14ac:dyDescent="0.2">
      <c r="A18" s="8" t="s">
        <v>26</v>
      </c>
    </row>
    <row r="19" spans="1:2" ht="16" x14ac:dyDescent="0.2">
      <c r="A19" s="9" t="s">
        <v>27</v>
      </c>
      <c r="B19" s="5">
        <f>SUM(B4:B16)</f>
        <v>1126210190</v>
      </c>
    </row>
    <row r="20" spans="1:2" ht="16" x14ac:dyDescent="0.2">
      <c r="A20" s="9" t="s">
        <v>28</v>
      </c>
      <c r="B20" s="5">
        <f>AVERAGE(D4:D16)</f>
        <v>3054285.8328243312</v>
      </c>
    </row>
    <row r="21" spans="1:2" ht="16" x14ac:dyDescent="0.2">
      <c r="A21" s="9" t="s">
        <v>29</v>
      </c>
      <c r="B21" s="6">
        <f>AVERAGE(E5:E16)</f>
        <v>0.7840056180715701</v>
      </c>
    </row>
    <row r="22" spans="1:2" ht="16" x14ac:dyDescent="0.2">
      <c r="A22" s="9" t="s">
        <v>30</v>
      </c>
      <c r="B22" s="5">
        <f>MAX(B4:B16)</f>
        <v>122846116</v>
      </c>
    </row>
    <row r="23" spans="1:2" ht="16" x14ac:dyDescent="0.2">
      <c r="A23" s="9" t="s">
        <v>31</v>
      </c>
      <c r="B23" s="10">
        <f>F16*G4/1024/1024/1024</f>
        <v>524.43248685449362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69"/>
  <sheetViews>
    <sheetView zoomScaleNormal="100" workbookViewId="0">
      <selection sqref="A1:F1"/>
    </sheetView>
  </sheetViews>
  <sheetFormatPr baseColWidth="10" defaultColWidth="8.6640625" defaultRowHeight="15" customHeight="1" x14ac:dyDescent="0.2"/>
  <cols>
    <col min="1" max="2" width="14" customWidth="1"/>
    <col min="3" max="3" width="16" customWidth="1"/>
    <col min="4" max="5" width="18" customWidth="1"/>
    <col min="6" max="6" width="16" customWidth="1"/>
    <col min="8" max="8" width="22" customWidth="1"/>
    <col min="9" max="9" width="16" customWidth="1"/>
    <col min="10" max="10" width="14" customWidth="1"/>
  </cols>
  <sheetData>
    <row r="1" spans="1:10" ht="18" x14ac:dyDescent="0.2">
      <c r="A1" s="2" t="s">
        <v>32</v>
      </c>
      <c r="B1" s="2"/>
      <c r="C1" s="2"/>
      <c r="D1" s="2"/>
      <c r="E1" s="2"/>
      <c r="F1" s="2"/>
    </row>
    <row r="3" spans="1:10" ht="16" x14ac:dyDescent="0.2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  <c r="H3" s="1" t="s">
        <v>39</v>
      </c>
      <c r="I3" s="1"/>
      <c r="J3" s="1"/>
    </row>
    <row r="4" spans="1:10" ht="16" x14ac:dyDescent="0.2">
      <c r="A4" s="11">
        <v>45714</v>
      </c>
      <c r="B4" s="3" t="s">
        <v>40</v>
      </c>
      <c r="C4" s="12">
        <v>2907530</v>
      </c>
      <c r="D4" s="12"/>
      <c r="E4" s="12"/>
      <c r="F4" s="3" t="s">
        <v>41</v>
      </c>
      <c r="G4" s="3"/>
      <c r="H4" s="3" t="s">
        <v>42</v>
      </c>
      <c r="I4" s="3" t="s">
        <v>43</v>
      </c>
      <c r="J4" s="3" t="s">
        <v>44</v>
      </c>
    </row>
    <row r="5" spans="1:10" ht="16" x14ac:dyDescent="0.2">
      <c r="A5" s="13">
        <v>45715</v>
      </c>
      <c r="B5" s="4" t="s">
        <v>45</v>
      </c>
      <c r="C5" s="5">
        <v>2937615</v>
      </c>
      <c r="D5" s="5"/>
      <c r="E5" s="5"/>
      <c r="F5" s="4" t="s">
        <v>41</v>
      </c>
      <c r="H5" s="4" t="s">
        <v>46</v>
      </c>
      <c r="I5" s="5">
        <f t="shared" ref="I5:I11" si="0">AVERAGEIF(B$4:B$369,H5,C$4:C$369)</f>
        <v>3696162.8653846155</v>
      </c>
      <c r="J5" s="6">
        <f t="shared" ref="J5:J11" si="1">I5/MAX(I$6:I$12)</f>
        <v>0.9588572949340759</v>
      </c>
    </row>
    <row r="6" spans="1:10" ht="16" x14ac:dyDescent="0.2">
      <c r="A6" s="13">
        <v>45716</v>
      </c>
      <c r="B6" s="4" t="s">
        <v>47</v>
      </c>
      <c r="C6" s="5">
        <v>1996673</v>
      </c>
      <c r="D6" s="5"/>
      <c r="E6" s="5"/>
      <c r="F6" s="4" t="s">
        <v>41</v>
      </c>
      <c r="H6" s="4" t="s">
        <v>48</v>
      </c>
      <c r="I6" s="5">
        <f t="shared" si="0"/>
        <v>3854758.0384615385</v>
      </c>
      <c r="J6" s="6">
        <f t="shared" si="1"/>
        <v>1</v>
      </c>
    </row>
    <row r="7" spans="1:10" ht="16" x14ac:dyDescent="0.2">
      <c r="A7" s="13">
        <v>45717</v>
      </c>
      <c r="B7" s="4" t="s">
        <v>49</v>
      </c>
      <c r="C7" s="5">
        <v>1250591</v>
      </c>
      <c r="D7" s="5"/>
      <c r="E7" s="5"/>
      <c r="F7" s="4" t="s">
        <v>50</v>
      </c>
      <c r="H7" s="4" t="s">
        <v>40</v>
      </c>
      <c r="I7" s="5">
        <f t="shared" si="0"/>
        <v>3651214.3018867923</v>
      </c>
      <c r="J7" s="6">
        <f t="shared" si="1"/>
        <v>0.94719675410392767</v>
      </c>
    </row>
    <row r="8" spans="1:10" ht="16" x14ac:dyDescent="0.2">
      <c r="A8" s="13">
        <v>45718</v>
      </c>
      <c r="B8" s="4" t="s">
        <v>51</v>
      </c>
      <c r="C8" s="5">
        <v>2352405</v>
      </c>
      <c r="D8" s="5"/>
      <c r="E8" s="5"/>
      <c r="F8" s="4" t="s">
        <v>50</v>
      </c>
      <c r="H8" s="4" t="s">
        <v>45</v>
      </c>
      <c r="I8" s="5">
        <f t="shared" si="0"/>
        <v>3467685.6037735851</v>
      </c>
      <c r="J8" s="6">
        <f t="shared" si="1"/>
        <v>0.89958580257804277</v>
      </c>
    </row>
    <row r="9" spans="1:10" ht="16" x14ac:dyDescent="0.2">
      <c r="A9" s="13">
        <v>45719</v>
      </c>
      <c r="B9" s="4" t="s">
        <v>46</v>
      </c>
      <c r="C9" s="5">
        <v>3197873</v>
      </c>
      <c r="D9" s="5"/>
      <c r="E9" s="5"/>
      <c r="F9" s="4" t="s">
        <v>41</v>
      </c>
      <c r="H9" s="4" t="s">
        <v>47</v>
      </c>
      <c r="I9" s="5">
        <f t="shared" si="0"/>
        <v>2333019.826923077</v>
      </c>
      <c r="J9" s="6">
        <f t="shared" si="1"/>
        <v>0.60523119833850891</v>
      </c>
    </row>
    <row r="10" spans="1:10" ht="16" x14ac:dyDescent="0.2">
      <c r="A10" s="13">
        <v>45720</v>
      </c>
      <c r="B10" s="4" t="s">
        <v>48</v>
      </c>
      <c r="C10" s="5">
        <v>3236332</v>
      </c>
      <c r="D10" s="5">
        <f t="shared" ref="D10:D73" si="2">AVERAGE(C4:C10)</f>
        <v>2554145.5714285714</v>
      </c>
      <c r="E10" s="5"/>
      <c r="F10" s="4" t="s">
        <v>41</v>
      </c>
      <c r="H10" s="4" t="s">
        <v>49</v>
      </c>
      <c r="I10" s="5">
        <f t="shared" si="0"/>
        <v>1702491.1153846155</v>
      </c>
      <c r="J10" s="6">
        <f t="shared" si="1"/>
        <v>0.44165965759658726</v>
      </c>
    </row>
    <row r="11" spans="1:10" ht="16" x14ac:dyDescent="0.2">
      <c r="A11" s="13">
        <v>45721</v>
      </c>
      <c r="B11" s="4" t="s">
        <v>40</v>
      </c>
      <c r="C11" s="5">
        <v>3054050</v>
      </c>
      <c r="D11" s="5">
        <f t="shared" si="2"/>
        <v>2575077</v>
      </c>
      <c r="E11" s="5"/>
      <c r="F11" s="4" t="s">
        <v>41</v>
      </c>
      <c r="H11" s="4" t="s">
        <v>51</v>
      </c>
      <c r="I11" s="5">
        <f t="shared" si="0"/>
        <v>2815654.596153846</v>
      </c>
      <c r="J11" s="6">
        <f t="shared" si="1"/>
        <v>0.73043614360749709</v>
      </c>
    </row>
    <row r="12" spans="1:10" ht="16" x14ac:dyDescent="0.2">
      <c r="A12" s="13">
        <v>45722</v>
      </c>
      <c r="B12" s="4" t="s">
        <v>45</v>
      </c>
      <c r="C12" s="5">
        <v>3033483</v>
      </c>
      <c r="D12" s="5">
        <f t="shared" si="2"/>
        <v>2588772.4285714286</v>
      </c>
      <c r="E12" s="5"/>
      <c r="F12" s="4" t="s">
        <v>41</v>
      </c>
    </row>
    <row r="13" spans="1:10" ht="16" x14ac:dyDescent="0.2">
      <c r="A13" s="13">
        <v>45723</v>
      </c>
      <c r="B13" s="4" t="s">
        <v>47</v>
      </c>
      <c r="C13" s="5">
        <v>2114616</v>
      </c>
      <c r="D13" s="5">
        <f t="shared" si="2"/>
        <v>2605621.4285714286</v>
      </c>
      <c r="E13" s="5"/>
      <c r="F13" s="4" t="s">
        <v>41</v>
      </c>
      <c r="H13" s="9" t="s">
        <v>52</v>
      </c>
      <c r="I13" s="5">
        <f>AVERAGEIF(F$4:F$369,"Weekday",C$4:C$369)</f>
        <v>3401780.9656488551</v>
      </c>
    </row>
    <row r="14" spans="1:10" ht="16" x14ac:dyDescent="0.2">
      <c r="A14" s="13">
        <v>45724</v>
      </c>
      <c r="B14" s="4" t="s">
        <v>49</v>
      </c>
      <c r="C14" s="5">
        <v>1457678</v>
      </c>
      <c r="D14" s="5">
        <f t="shared" si="2"/>
        <v>2635205.2857142859</v>
      </c>
      <c r="E14" s="5"/>
      <c r="F14" s="4" t="s">
        <v>50</v>
      </c>
      <c r="H14" s="9" t="s">
        <v>53</v>
      </c>
      <c r="I14" s="5">
        <f>AVERAGEIF(F$4:F$369,"Weekend",C$4:C$369)</f>
        <v>2259072.855769231</v>
      </c>
    </row>
    <row r="15" spans="1:10" ht="16" x14ac:dyDescent="0.2">
      <c r="A15" s="13">
        <v>45725</v>
      </c>
      <c r="B15" s="4" t="s">
        <v>51</v>
      </c>
      <c r="C15" s="5">
        <v>2486755</v>
      </c>
      <c r="D15" s="5">
        <f t="shared" si="2"/>
        <v>2654398.1428571427</v>
      </c>
      <c r="E15" s="5"/>
      <c r="F15" s="4" t="s">
        <v>50</v>
      </c>
      <c r="H15" s="9" t="s">
        <v>54</v>
      </c>
      <c r="I15" s="6">
        <f>I14/I13</f>
        <v>0.66408533605817732</v>
      </c>
    </row>
    <row r="16" spans="1:10" ht="16" x14ac:dyDescent="0.2">
      <c r="A16" s="13">
        <v>45726</v>
      </c>
      <c r="B16" s="4" t="s">
        <v>46</v>
      </c>
      <c r="C16" s="5">
        <v>3213051</v>
      </c>
      <c r="D16" s="5">
        <f t="shared" si="2"/>
        <v>2656566.4285714286</v>
      </c>
      <c r="E16" s="5"/>
      <c r="F16" s="4" t="s">
        <v>41</v>
      </c>
    </row>
    <row r="17" spans="1:6" ht="16" x14ac:dyDescent="0.2">
      <c r="A17" s="13">
        <v>45727</v>
      </c>
      <c r="B17" s="4" t="s">
        <v>48</v>
      </c>
      <c r="C17" s="5">
        <v>3260796</v>
      </c>
      <c r="D17" s="5">
        <f t="shared" si="2"/>
        <v>2660061.2857142859</v>
      </c>
      <c r="E17" s="5"/>
      <c r="F17" s="4" t="s">
        <v>41</v>
      </c>
    </row>
    <row r="18" spans="1:6" ht="16" x14ac:dyDescent="0.2">
      <c r="A18" s="13">
        <v>45728</v>
      </c>
      <c r="B18" s="4" t="s">
        <v>40</v>
      </c>
      <c r="C18" s="5">
        <v>3068046</v>
      </c>
      <c r="D18" s="5">
        <f t="shared" si="2"/>
        <v>2662060.7142857141</v>
      </c>
      <c r="E18" s="5"/>
      <c r="F18" s="4" t="s">
        <v>41</v>
      </c>
    </row>
    <row r="19" spans="1:6" ht="16" x14ac:dyDescent="0.2">
      <c r="A19" s="13">
        <v>45729</v>
      </c>
      <c r="B19" s="4" t="s">
        <v>45</v>
      </c>
      <c r="C19" s="5">
        <v>2943392</v>
      </c>
      <c r="D19" s="5">
        <f t="shared" si="2"/>
        <v>2649190.5714285714</v>
      </c>
      <c r="E19" s="5"/>
      <c r="F19" s="4" t="s">
        <v>41</v>
      </c>
    </row>
    <row r="20" spans="1:6" ht="16" x14ac:dyDescent="0.2">
      <c r="A20" s="13">
        <v>45730</v>
      </c>
      <c r="B20" s="4" t="s">
        <v>47</v>
      </c>
      <c r="C20" s="5">
        <v>1785178</v>
      </c>
      <c r="D20" s="5">
        <f t="shared" si="2"/>
        <v>2602128</v>
      </c>
      <c r="E20" s="5"/>
      <c r="F20" s="4" t="s">
        <v>41</v>
      </c>
    </row>
    <row r="21" spans="1:6" ht="16" x14ac:dyDescent="0.2">
      <c r="A21" s="13">
        <v>45731</v>
      </c>
      <c r="B21" s="4" t="s">
        <v>49</v>
      </c>
      <c r="C21" s="5">
        <v>1508307</v>
      </c>
      <c r="D21" s="5">
        <f t="shared" si="2"/>
        <v>2609360.7142857141</v>
      </c>
      <c r="E21" s="5"/>
      <c r="F21" s="4" t="s">
        <v>50</v>
      </c>
    </row>
    <row r="22" spans="1:6" ht="16" x14ac:dyDescent="0.2">
      <c r="A22" s="13">
        <v>45732</v>
      </c>
      <c r="B22" s="4" t="s">
        <v>51</v>
      </c>
      <c r="C22" s="5">
        <v>2370945</v>
      </c>
      <c r="D22" s="5">
        <f t="shared" si="2"/>
        <v>2592816.4285714286</v>
      </c>
      <c r="E22" s="5"/>
      <c r="F22" s="4" t="s">
        <v>50</v>
      </c>
    </row>
    <row r="23" spans="1:6" ht="16" x14ac:dyDescent="0.2">
      <c r="A23" s="13">
        <v>45733</v>
      </c>
      <c r="B23" s="4" t="s">
        <v>46</v>
      </c>
      <c r="C23" s="5">
        <v>3226337</v>
      </c>
      <c r="D23" s="5">
        <f t="shared" si="2"/>
        <v>2594714.4285714286</v>
      </c>
      <c r="E23" s="5"/>
      <c r="F23" s="4" t="s">
        <v>41</v>
      </c>
    </row>
    <row r="24" spans="1:6" ht="16" x14ac:dyDescent="0.2">
      <c r="A24" s="13">
        <v>45734</v>
      </c>
      <c r="B24" s="4" t="s">
        <v>48</v>
      </c>
      <c r="C24" s="5">
        <v>3260363</v>
      </c>
      <c r="D24" s="5">
        <f t="shared" si="2"/>
        <v>2594652.5714285714</v>
      </c>
      <c r="E24" s="5"/>
      <c r="F24" s="4" t="s">
        <v>41</v>
      </c>
    </row>
    <row r="25" spans="1:6" ht="16" x14ac:dyDescent="0.2">
      <c r="A25" s="13">
        <v>45735</v>
      </c>
      <c r="B25" s="4" t="s">
        <v>40</v>
      </c>
      <c r="C25" s="5">
        <v>3030522</v>
      </c>
      <c r="D25" s="5">
        <f t="shared" si="2"/>
        <v>2589292</v>
      </c>
      <c r="E25" s="5"/>
      <c r="F25" s="4" t="s">
        <v>41</v>
      </c>
    </row>
    <row r="26" spans="1:6" ht="16" x14ac:dyDescent="0.2">
      <c r="A26" s="13">
        <v>45736</v>
      </c>
      <c r="B26" s="4" t="s">
        <v>45</v>
      </c>
      <c r="C26" s="5">
        <v>2950559</v>
      </c>
      <c r="D26" s="5">
        <f t="shared" si="2"/>
        <v>2590315.8571428573</v>
      </c>
      <c r="E26" s="5"/>
      <c r="F26" s="4" t="s">
        <v>41</v>
      </c>
    </row>
    <row r="27" spans="1:6" ht="16" x14ac:dyDescent="0.2">
      <c r="A27" s="13">
        <v>45737</v>
      </c>
      <c r="B27" s="4" t="s">
        <v>47</v>
      </c>
      <c r="C27" s="5">
        <v>2039354</v>
      </c>
      <c r="D27" s="5">
        <f t="shared" si="2"/>
        <v>2626626.7142857141</v>
      </c>
      <c r="E27" s="5"/>
      <c r="F27" s="4" t="s">
        <v>41</v>
      </c>
    </row>
    <row r="28" spans="1:6" ht="16" x14ac:dyDescent="0.2">
      <c r="A28" s="13">
        <v>45738</v>
      </c>
      <c r="B28" s="4" t="s">
        <v>49</v>
      </c>
      <c r="C28" s="5">
        <v>1507476</v>
      </c>
      <c r="D28" s="5">
        <f t="shared" si="2"/>
        <v>2626508</v>
      </c>
      <c r="E28" s="5"/>
      <c r="F28" s="4" t="s">
        <v>50</v>
      </c>
    </row>
    <row r="29" spans="1:6" ht="16" x14ac:dyDescent="0.2">
      <c r="A29" s="13">
        <v>45739</v>
      </c>
      <c r="B29" s="4" t="s">
        <v>51</v>
      </c>
      <c r="C29" s="5">
        <v>1951130</v>
      </c>
      <c r="D29" s="5">
        <f t="shared" si="2"/>
        <v>2566534.4285714286</v>
      </c>
      <c r="E29" s="5"/>
      <c r="F29" s="4" t="s">
        <v>50</v>
      </c>
    </row>
    <row r="30" spans="1:6" ht="16" x14ac:dyDescent="0.2">
      <c r="A30" s="13">
        <v>45740</v>
      </c>
      <c r="B30" s="4" t="s">
        <v>46</v>
      </c>
      <c r="C30" s="5">
        <v>3261638</v>
      </c>
      <c r="D30" s="5">
        <f t="shared" si="2"/>
        <v>2571577.4285714286</v>
      </c>
      <c r="E30" s="5"/>
      <c r="F30" s="4" t="s">
        <v>41</v>
      </c>
    </row>
    <row r="31" spans="1:6" ht="16" x14ac:dyDescent="0.2">
      <c r="A31" s="13">
        <v>45741</v>
      </c>
      <c r="B31" s="4" t="s">
        <v>48</v>
      </c>
      <c r="C31" s="5">
        <v>3234662</v>
      </c>
      <c r="D31" s="5">
        <f t="shared" si="2"/>
        <v>2567905.8571428573</v>
      </c>
      <c r="E31" s="5"/>
      <c r="F31" s="4" t="s">
        <v>41</v>
      </c>
    </row>
    <row r="32" spans="1:6" ht="16" x14ac:dyDescent="0.2">
      <c r="A32" s="13">
        <v>45742</v>
      </c>
      <c r="B32" s="4" t="s">
        <v>40</v>
      </c>
      <c r="C32" s="5">
        <v>2914887</v>
      </c>
      <c r="D32" s="5">
        <f t="shared" si="2"/>
        <v>2551386.5714285714</v>
      </c>
      <c r="E32" s="5"/>
      <c r="F32" s="4" t="s">
        <v>41</v>
      </c>
    </row>
    <row r="33" spans="1:6" ht="16" x14ac:dyDescent="0.2">
      <c r="A33" s="13">
        <v>45743</v>
      </c>
      <c r="B33" s="4" t="s">
        <v>45</v>
      </c>
      <c r="C33" s="5">
        <v>2793137</v>
      </c>
      <c r="D33" s="5">
        <f t="shared" si="2"/>
        <v>2528897.7142857141</v>
      </c>
      <c r="E33" s="5">
        <f t="shared" ref="E33:E96" si="3">AVERAGE(C4:C33)</f>
        <v>2611512.7000000002</v>
      </c>
      <c r="F33" s="4" t="s">
        <v>41</v>
      </c>
    </row>
    <row r="34" spans="1:6" ht="16" x14ac:dyDescent="0.2">
      <c r="A34" s="13">
        <v>45744</v>
      </c>
      <c r="B34" s="4" t="s">
        <v>47</v>
      </c>
      <c r="C34" s="5">
        <v>1962120</v>
      </c>
      <c r="D34" s="5">
        <f t="shared" si="2"/>
        <v>2517864.2857142859</v>
      </c>
      <c r="E34" s="5">
        <f t="shared" si="3"/>
        <v>2579999.0333333332</v>
      </c>
      <c r="F34" s="4" t="s">
        <v>41</v>
      </c>
    </row>
    <row r="35" spans="1:6" ht="16" x14ac:dyDescent="0.2">
      <c r="A35" s="13">
        <v>45745</v>
      </c>
      <c r="B35" s="4" t="s">
        <v>49</v>
      </c>
      <c r="C35" s="5">
        <v>1507461</v>
      </c>
      <c r="D35" s="5">
        <f t="shared" si="2"/>
        <v>2517862.1428571427</v>
      </c>
      <c r="E35" s="5">
        <f t="shared" si="3"/>
        <v>2532327.2333333334</v>
      </c>
      <c r="F35" s="4" t="s">
        <v>50</v>
      </c>
    </row>
    <row r="36" spans="1:6" ht="16" x14ac:dyDescent="0.2">
      <c r="A36" s="13">
        <v>45746</v>
      </c>
      <c r="B36" s="4" t="s">
        <v>51</v>
      </c>
      <c r="C36" s="5">
        <v>2178796</v>
      </c>
      <c r="D36" s="5">
        <f t="shared" si="2"/>
        <v>2550385.8571428573</v>
      </c>
      <c r="E36" s="5">
        <f t="shared" si="3"/>
        <v>2538398</v>
      </c>
      <c r="F36" s="4" t="s">
        <v>50</v>
      </c>
    </row>
    <row r="37" spans="1:6" ht="16" x14ac:dyDescent="0.2">
      <c r="A37" s="13">
        <v>45747</v>
      </c>
      <c r="B37" s="4" t="s">
        <v>46</v>
      </c>
      <c r="C37" s="5">
        <v>3141408</v>
      </c>
      <c r="D37" s="5">
        <f t="shared" si="2"/>
        <v>2533210.1428571427</v>
      </c>
      <c r="E37" s="5">
        <f t="shared" si="3"/>
        <v>2601425.2333333334</v>
      </c>
      <c r="F37" s="4" t="s">
        <v>41</v>
      </c>
    </row>
    <row r="38" spans="1:6" ht="16" x14ac:dyDescent="0.2">
      <c r="A38" s="13">
        <v>45748</v>
      </c>
      <c r="B38" s="4" t="s">
        <v>48</v>
      </c>
      <c r="C38" s="5">
        <v>3216682</v>
      </c>
      <c r="D38" s="5">
        <f t="shared" si="2"/>
        <v>2530641.5714285714</v>
      </c>
      <c r="E38" s="5">
        <f t="shared" si="3"/>
        <v>2630234.4666666668</v>
      </c>
      <c r="F38" s="4" t="s">
        <v>41</v>
      </c>
    </row>
    <row r="39" spans="1:6" ht="16" x14ac:dyDescent="0.2">
      <c r="A39" s="13">
        <v>45749</v>
      </c>
      <c r="B39" s="4" t="s">
        <v>40</v>
      </c>
      <c r="C39" s="5">
        <v>3089688</v>
      </c>
      <c r="D39" s="5">
        <f t="shared" si="2"/>
        <v>2555613.1428571427</v>
      </c>
      <c r="E39" s="5">
        <f t="shared" si="3"/>
        <v>2626628.2999999998</v>
      </c>
      <c r="F39" s="4" t="s">
        <v>41</v>
      </c>
    </row>
    <row r="40" spans="1:6" ht="16" x14ac:dyDescent="0.2">
      <c r="A40" s="13">
        <v>45750</v>
      </c>
      <c r="B40" s="4" t="s">
        <v>45</v>
      </c>
      <c r="C40" s="5">
        <v>3045916</v>
      </c>
      <c r="D40" s="5">
        <f t="shared" si="2"/>
        <v>2591724.4285714286</v>
      </c>
      <c r="E40" s="5">
        <f t="shared" si="3"/>
        <v>2620281.1</v>
      </c>
      <c r="F40" s="4" t="s">
        <v>41</v>
      </c>
    </row>
    <row r="41" spans="1:6" ht="16" x14ac:dyDescent="0.2">
      <c r="A41" s="13">
        <v>45751</v>
      </c>
      <c r="B41" s="4" t="s">
        <v>47</v>
      </c>
      <c r="C41" s="5">
        <v>2019818</v>
      </c>
      <c r="D41" s="5">
        <f t="shared" si="2"/>
        <v>2599967</v>
      </c>
      <c r="E41" s="5">
        <f t="shared" si="3"/>
        <v>2585806.7000000002</v>
      </c>
      <c r="F41" s="4" t="s">
        <v>41</v>
      </c>
    </row>
    <row r="42" spans="1:6" ht="16" x14ac:dyDescent="0.2">
      <c r="A42" s="13">
        <v>45752</v>
      </c>
      <c r="B42" s="4" t="s">
        <v>49</v>
      </c>
      <c r="C42" s="5">
        <v>1438644</v>
      </c>
      <c r="D42" s="5">
        <f t="shared" si="2"/>
        <v>2590136</v>
      </c>
      <c r="E42" s="5">
        <f t="shared" si="3"/>
        <v>2532645.4</v>
      </c>
      <c r="F42" s="4" t="s">
        <v>50</v>
      </c>
    </row>
    <row r="43" spans="1:6" ht="16" x14ac:dyDescent="0.2">
      <c r="A43" s="13">
        <v>45753</v>
      </c>
      <c r="B43" s="4" t="s">
        <v>51</v>
      </c>
      <c r="C43" s="5">
        <v>2398328</v>
      </c>
      <c r="D43" s="5">
        <f t="shared" si="2"/>
        <v>2621497.7142857141</v>
      </c>
      <c r="E43" s="5">
        <f t="shared" si="3"/>
        <v>2542102.4666666668</v>
      </c>
      <c r="F43" s="4" t="s">
        <v>50</v>
      </c>
    </row>
    <row r="44" spans="1:6" ht="16" x14ac:dyDescent="0.2">
      <c r="A44" s="13">
        <v>45754</v>
      </c>
      <c r="B44" s="4" t="s">
        <v>46</v>
      </c>
      <c r="C44" s="5">
        <v>3272218</v>
      </c>
      <c r="D44" s="5">
        <f t="shared" si="2"/>
        <v>2640184.8571428573</v>
      </c>
      <c r="E44" s="5">
        <f t="shared" si="3"/>
        <v>2602587.1333333333</v>
      </c>
      <c r="F44" s="4" t="s">
        <v>41</v>
      </c>
    </row>
    <row r="45" spans="1:6" ht="16" x14ac:dyDescent="0.2">
      <c r="A45" s="13">
        <v>45755</v>
      </c>
      <c r="B45" s="4" t="s">
        <v>48</v>
      </c>
      <c r="C45" s="5">
        <v>3349875</v>
      </c>
      <c r="D45" s="5">
        <f t="shared" si="2"/>
        <v>2659212.4285714286</v>
      </c>
      <c r="E45" s="5">
        <f t="shared" si="3"/>
        <v>2631357.7999999998</v>
      </c>
      <c r="F45" s="4" t="s">
        <v>41</v>
      </c>
    </row>
    <row r="46" spans="1:6" ht="16" x14ac:dyDescent="0.2">
      <c r="A46" s="13">
        <v>45756</v>
      </c>
      <c r="B46" s="4" t="s">
        <v>40</v>
      </c>
      <c r="C46" s="5">
        <v>3073009</v>
      </c>
      <c r="D46" s="5">
        <f t="shared" si="2"/>
        <v>2656829.7142857141</v>
      </c>
      <c r="E46" s="5">
        <f t="shared" si="3"/>
        <v>2626689.7333333334</v>
      </c>
      <c r="F46" s="4" t="s">
        <v>41</v>
      </c>
    </row>
    <row r="47" spans="1:6" ht="16" x14ac:dyDescent="0.2">
      <c r="A47" s="13">
        <v>45757</v>
      </c>
      <c r="B47" s="4" t="s">
        <v>45</v>
      </c>
      <c r="C47" s="5">
        <v>3041083</v>
      </c>
      <c r="D47" s="5">
        <f t="shared" si="2"/>
        <v>2656139.2857142859</v>
      </c>
      <c r="E47" s="5">
        <f t="shared" si="3"/>
        <v>2619365.9666666668</v>
      </c>
      <c r="F47" s="4" t="s">
        <v>41</v>
      </c>
    </row>
    <row r="48" spans="1:6" ht="16" x14ac:dyDescent="0.2">
      <c r="A48" s="13">
        <v>45758</v>
      </c>
      <c r="B48" s="4" t="s">
        <v>47</v>
      </c>
      <c r="C48" s="5">
        <v>1988045</v>
      </c>
      <c r="D48" s="5">
        <f t="shared" si="2"/>
        <v>2651600.2857142859</v>
      </c>
      <c r="E48" s="5">
        <f t="shared" si="3"/>
        <v>2583365.9333333331</v>
      </c>
      <c r="F48" s="4" t="s">
        <v>41</v>
      </c>
    </row>
    <row r="49" spans="1:6" ht="16" x14ac:dyDescent="0.2">
      <c r="A49" s="13">
        <v>45759</v>
      </c>
      <c r="B49" s="4" t="s">
        <v>49</v>
      </c>
      <c r="C49" s="5">
        <v>1346092</v>
      </c>
      <c r="D49" s="5">
        <f t="shared" si="2"/>
        <v>2638378.5714285714</v>
      </c>
      <c r="E49" s="5">
        <f t="shared" si="3"/>
        <v>2530122.6</v>
      </c>
      <c r="F49" s="4" t="s">
        <v>50</v>
      </c>
    </row>
    <row r="50" spans="1:6" ht="16" x14ac:dyDescent="0.2">
      <c r="A50" s="13">
        <v>45760</v>
      </c>
      <c r="B50" s="4" t="s">
        <v>51</v>
      </c>
      <c r="C50" s="5">
        <v>2450056</v>
      </c>
      <c r="D50" s="5">
        <f t="shared" si="2"/>
        <v>2645768.2857142859</v>
      </c>
      <c r="E50" s="5">
        <f t="shared" si="3"/>
        <v>2552285.2000000002</v>
      </c>
      <c r="F50" s="4" t="s">
        <v>50</v>
      </c>
    </row>
    <row r="51" spans="1:6" ht="16" x14ac:dyDescent="0.2">
      <c r="A51" s="13">
        <v>45761</v>
      </c>
      <c r="B51" s="4" t="s">
        <v>46</v>
      </c>
      <c r="C51" s="5">
        <v>3330272</v>
      </c>
      <c r="D51" s="5">
        <f t="shared" si="2"/>
        <v>2654061.7142857141</v>
      </c>
      <c r="E51" s="5">
        <f t="shared" si="3"/>
        <v>2613017.3666666667</v>
      </c>
      <c r="F51" s="4" t="s">
        <v>41</v>
      </c>
    </row>
    <row r="52" spans="1:6" ht="16" x14ac:dyDescent="0.2">
      <c r="A52" s="13">
        <v>45762</v>
      </c>
      <c r="B52" s="4" t="s">
        <v>48</v>
      </c>
      <c r="C52" s="5">
        <v>3329167</v>
      </c>
      <c r="D52" s="5">
        <f t="shared" si="2"/>
        <v>2651103.4285714286</v>
      </c>
      <c r="E52" s="5">
        <f t="shared" si="3"/>
        <v>2644958.1</v>
      </c>
      <c r="F52" s="4" t="s">
        <v>41</v>
      </c>
    </row>
    <row r="53" spans="1:6" ht="16" x14ac:dyDescent="0.2">
      <c r="A53" s="13">
        <v>45763</v>
      </c>
      <c r="B53" s="4" t="s">
        <v>40</v>
      </c>
      <c r="C53" s="5">
        <v>3269592</v>
      </c>
      <c r="D53" s="5">
        <f t="shared" si="2"/>
        <v>2679186.7142857141</v>
      </c>
      <c r="E53" s="5">
        <f t="shared" si="3"/>
        <v>2646399.9333333331</v>
      </c>
      <c r="F53" s="4" t="s">
        <v>41</v>
      </c>
    </row>
    <row r="54" spans="1:6" ht="16" x14ac:dyDescent="0.2">
      <c r="A54" s="13">
        <v>45764</v>
      </c>
      <c r="B54" s="4" t="s">
        <v>45</v>
      </c>
      <c r="C54" s="5">
        <v>3445833</v>
      </c>
      <c r="D54" s="5">
        <f t="shared" si="2"/>
        <v>2737008.1428571427</v>
      </c>
      <c r="E54" s="5">
        <f t="shared" si="3"/>
        <v>2652582.2666666666</v>
      </c>
      <c r="F54" s="4" t="s">
        <v>41</v>
      </c>
    </row>
    <row r="55" spans="1:6" ht="16" x14ac:dyDescent="0.2">
      <c r="A55" s="13">
        <v>45765</v>
      </c>
      <c r="B55" s="4" t="s">
        <v>47</v>
      </c>
      <c r="C55" s="5">
        <v>1937766</v>
      </c>
      <c r="D55" s="5">
        <f t="shared" si="2"/>
        <v>2729825.4285714286</v>
      </c>
      <c r="E55" s="5">
        <f t="shared" si="3"/>
        <v>2616157.0666666669</v>
      </c>
      <c r="F55" s="4" t="s">
        <v>41</v>
      </c>
    </row>
    <row r="56" spans="1:6" ht="16" x14ac:dyDescent="0.2">
      <c r="A56" s="13">
        <v>45766</v>
      </c>
      <c r="B56" s="4" t="s">
        <v>49</v>
      </c>
      <c r="C56" s="5">
        <v>1564552</v>
      </c>
      <c r="D56" s="5">
        <f t="shared" si="2"/>
        <v>2761034</v>
      </c>
      <c r="E56" s="5">
        <f t="shared" si="3"/>
        <v>2569956.8333333335</v>
      </c>
      <c r="F56" s="4" t="s">
        <v>50</v>
      </c>
    </row>
    <row r="57" spans="1:6" ht="16" x14ac:dyDescent="0.2">
      <c r="A57" s="13">
        <v>45767</v>
      </c>
      <c r="B57" s="4" t="s">
        <v>51</v>
      </c>
      <c r="C57" s="5">
        <v>2275029</v>
      </c>
      <c r="D57" s="5">
        <f t="shared" si="2"/>
        <v>2736030.1428571427</v>
      </c>
      <c r="E57" s="5">
        <f t="shared" si="3"/>
        <v>2577812.6666666665</v>
      </c>
      <c r="F57" s="4" t="s">
        <v>50</v>
      </c>
    </row>
    <row r="58" spans="1:6" ht="16" x14ac:dyDescent="0.2">
      <c r="A58" s="13">
        <v>45768</v>
      </c>
      <c r="B58" s="4" t="s">
        <v>46</v>
      </c>
      <c r="C58" s="5">
        <v>3149195</v>
      </c>
      <c r="D58" s="5">
        <f t="shared" si="2"/>
        <v>2710162</v>
      </c>
      <c r="E58" s="5">
        <f t="shared" si="3"/>
        <v>2632536.6333333333</v>
      </c>
      <c r="F58" s="4" t="s">
        <v>41</v>
      </c>
    </row>
    <row r="59" spans="1:6" ht="16" x14ac:dyDescent="0.2">
      <c r="A59" s="13">
        <v>45769</v>
      </c>
      <c r="B59" s="4" t="s">
        <v>48</v>
      </c>
      <c r="C59" s="5">
        <v>3204000</v>
      </c>
      <c r="D59" s="5">
        <f t="shared" si="2"/>
        <v>2692281</v>
      </c>
      <c r="E59" s="5">
        <f t="shared" si="3"/>
        <v>2674298.9666666668</v>
      </c>
      <c r="F59" s="4" t="s">
        <v>41</v>
      </c>
    </row>
    <row r="60" spans="1:6" ht="16" x14ac:dyDescent="0.2">
      <c r="A60" s="13">
        <v>45770</v>
      </c>
      <c r="B60" s="4" t="s">
        <v>40</v>
      </c>
      <c r="C60" s="5">
        <v>3142257</v>
      </c>
      <c r="D60" s="5">
        <f t="shared" si="2"/>
        <v>2674090.2857142859</v>
      </c>
      <c r="E60" s="5">
        <f t="shared" si="3"/>
        <v>2670319.6</v>
      </c>
      <c r="F60" s="4" t="s">
        <v>41</v>
      </c>
    </row>
    <row r="61" spans="1:6" ht="16" x14ac:dyDescent="0.2">
      <c r="A61" s="13">
        <v>45771</v>
      </c>
      <c r="B61" s="4" t="s">
        <v>45</v>
      </c>
      <c r="C61" s="5">
        <v>3077372</v>
      </c>
      <c r="D61" s="5">
        <f t="shared" si="2"/>
        <v>2621453</v>
      </c>
      <c r="E61" s="5">
        <f t="shared" si="3"/>
        <v>2665076.6</v>
      </c>
      <c r="F61" s="4" t="s">
        <v>41</v>
      </c>
    </row>
    <row r="62" spans="1:6" ht="16" x14ac:dyDescent="0.2">
      <c r="A62" s="13">
        <v>45772</v>
      </c>
      <c r="B62" s="4" t="s">
        <v>47</v>
      </c>
      <c r="C62" s="5">
        <v>2197313</v>
      </c>
      <c r="D62" s="5">
        <f t="shared" si="2"/>
        <v>2658531.1428571427</v>
      </c>
      <c r="E62" s="5">
        <f t="shared" si="3"/>
        <v>2641157.4666666668</v>
      </c>
      <c r="F62" s="4" t="s">
        <v>41</v>
      </c>
    </row>
    <row r="63" spans="1:6" ht="16" x14ac:dyDescent="0.2">
      <c r="A63" s="13">
        <v>45773</v>
      </c>
      <c r="B63" s="4" t="s">
        <v>49</v>
      </c>
      <c r="C63" s="5">
        <v>1519935</v>
      </c>
      <c r="D63" s="5">
        <f t="shared" si="2"/>
        <v>2652157.2857142859</v>
      </c>
      <c r="E63" s="5">
        <f t="shared" si="3"/>
        <v>2598717.4</v>
      </c>
      <c r="F63" s="4" t="s">
        <v>50</v>
      </c>
    </row>
    <row r="64" spans="1:6" ht="16" x14ac:dyDescent="0.2">
      <c r="A64" s="13">
        <v>45774</v>
      </c>
      <c r="B64" s="4" t="s">
        <v>51</v>
      </c>
      <c r="C64" s="5">
        <v>2265815</v>
      </c>
      <c r="D64" s="5">
        <f t="shared" si="2"/>
        <v>2650841</v>
      </c>
      <c r="E64" s="5">
        <f t="shared" si="3"/>
        <v>2608840.5666666669</v>
      </c>
      <c r="F64" s="4" t="s">
        <v>50</v>
      </c>
    </row>
    <row r="65" spans="1:6" ht="16" x14ac:dyDescent="0.2">
      <c r="A65" s="13">
        <v>45775</v>
      </c>
      <c r="B65" s="4" t="s">
        <v>46</v>
      </c>
      <c r="C65" s="5">
        <v>3138942</v>
      </c>
      <c r="D65" s="5">
        <f t="shared" si="2"/>
        <v>2649376.2857142859</v>
      </c>
      <c r="E65" s="5">
        <f t="shared" si="3"/>
        <v>2663223.2666666666</v>
      </c>
      <c r="F65" s="4" t="s">
        <v>41</v>
      </c>
    </row>
    <row r="66" spans="1:6" ht="16" x14ac:dyDescent="0.2">
      <c r="A66" s="13">
        <v>45776</v>
      </c>
      <c r="B66" s="4" t="s">
        <v>48</v>
      </c>
      <c r="C66" s="5">
        <v>3390360</v>
      </c>
      <c r="D66" s="5">
        <f t="shared" si="2"/>
        <v>2675999.1428571427</v>
      </c>
      <c r="E66" s="5">
        <f t="shared" si="3"/>
        <v>2703608.7333333334</v>
      </c>
      <c r="F66" s="4" t="s">
        <v>41</v>
      </c>
    </row>
    <row r="67" spans="1:6" ht="16" x14ac:dyDescent="0.2">
      <c r="A67" s="13">
        <v>45777</v>
      </c>
      <c r="B67" s="4" t="s">
        <v>40</v>
      </c>
      <c r="C67" s="5">
        <v>3503776</v>
      </c>
      <c r="D67" s="5">
        <f t="shared" si="2"/>
        <v>2727644.7142857141</v>
      </c>
      <c r="E67" s="5">
        <f t="shared" si="3"/>
        <v>2715687.6666666665</v>
      </c>
      <c r="F67" s="4" t="s">
        <v>41</v>
      </c>
    </row>
    <row r="68" spans="1:6" ht="16" x14ac:dyDescent="0.2">
      <c r="A68" s="13">
        <v>45778</v>
      </c>
      <c r="B68" s="4" t="s">
        <v>45</v>
      </c>
      <c r="C68" s="5">
        <v>3446841</v>
      </c>
      <c r="D68" s="5">
        <f t="shared" si="2"/>
        <v>2780426</v>
      </c>
      <c r="E68" s="5">
        <f t="shared" si="3"/>
        <v>2723359.6333333333</v>
      </c>
      <c r="F68" s="4" t="s">
        <v>41</v>
      </c>
    </row>
    <row r="69" spans="1:6" ht="16" x14ac:dyDescent="0.2">
      <c r="A69" s="13">
        <v>45779</v>
      </c>
      <c r="B69" s="4" t="s">
        <v>47</v>
      </c>
      <c r="C69" s="5">
        <v>2128508</v>
      </c>
      <c r="D69" s="5">
        <f t="shared" si="2"/>
        <v>2770596.7142857141</v>
      </c>
      <c r="E69" s="5">
        <f t="shared" si="3"/>
        <v>2691320.3</v>
      </c>
      <c r="F69" s="4" t="s">
        <v>41</v>
      </c>
    </row>
    <row r="70" spans="1:6" ht="16" x14ac:dyDescent="0.2">
      <c r="A70" s="13">
        <v>45780</v>
      </c>
      <c r="B70" s="4" t="s">
        <v>49</v>
      </c>
      <c r="C70" s="5">
        <v>1598699</v>
      </c>
      <c r="D70" s="5">
        <f t="shared" si="2"/>
        <v>2781848.7142857141</v>
      </c>
      <c r="E70" s="5">
        <f t="shared" si="3"/>
        <v>2643079.7333333334</v>
      </c>
      <c r="F70" s="4" t="s">
        <v>50</v>
      </c>
    </row>
    <row r="71" spans="1:6" ht="16" x14ac:dyDescent="0.2">
      <c r="A71" s="13">
        <v>45781</v>
      </c>
      <c r="B71" s="4" t="s">
        <v>51</v>
      </c>
      <c r="C71" s="5">
        <v>2507622</v>
      </c>
      <c r="D71" s="5">
        <f t="shared" si="2"/>
        <v>2816392.5714285714</v>
      </c>
      <c r="E71" s="5">
        <f t="shared" si="3"/>
        <v>2659339.8666666667</v>
      </c>
      <c r="F71" s="4" t="s">
        <v>50</v>
      </c>
    </row>
    <row r="72" spans="1:6" ht="16" x14ac:dyDescent="0.2">
      <c r="A72" s="13">
        <v>45782</v>
      </c>
      <c r="B72" s="4" t="s">
        <v>46</v>
      </c>
      <c r="C72" s="5">
        <v>3441639</v>
      </c>
      <c r="D72" s="5">
        <f t="shared" si="2"/>
        <v>2859635</v>
      </c>
      <c r="E72" s="5">
        <f t="shared" si="3"/>
        <v>2726106.3666666667</v>
      </c>
      <c r="F72" s="4" t="s">
        <v>41</v>
      </c>
    </row>
    <row r="73" spans="1:6" ht="16" x14ac:dyDescent="0.2">
      <c r="A73" s="13">
        <v>45783</v>
      </c>
      <c r="B73" s="4" t="s">
        <v>48</v>
      </c>
      <c r="C73" s="5">
        <v>3481246</v>
      </c>
      <c r="D73" s="5">
        <f t="shared" si="2"/>
        <v>2872618.7142857141</v>
      </c>
      <c r="E73" s="5">
        <f t="shared" si="3"/>
        <v>2762203.6333333333</v>
      </c>
      <c r="F73" s="4" t="s">
        <v>41</v>
      </c>
    </row>
    <row r="74" spans="1:6" ht="16" x14ac:dyDescent="0.2">
      <c r="A74" s="13">
        <v>45784</v>
      </c>
      <c r="B74" s="4" t="s">
        <v>40</v>
      </c>
      <c r="C74" s="5">
        <v>3553828</v>
      </c>
      <c r="D74" s="5">
        <f t="shared" ref="D74:D137" si="4">AVERAGE(C68:C74)</f>
        <v>2879769</v>
      </c>
      <c r="E74" s="5">
        <f t="shared" si="3"/>
        <v>2771590.6333333333</v>
      </c>
      <c r="F74" s="4" t="s">
        <v>41</v>
      </c>
    </row>
    <row r="75" spans="1:6" ht="16" x14ac:dyDescent="0.2">
      <c r="A75" s="13">
        <v>45785</v>
      </c>
      <c r="B75" s="4" t="s">
        <v>45</v>
      </c>
      <c r="C75" s="5">
        <v>3747505</v>
      </c>
      <c r="D75" s="5">
        <f t="shared" si="4"/>
        <v>2922721</v>
      </c>
      <c r="E75" s="5">
        <f t="shared" si="3"/>
        <v>2784844.9666666668</v>
      </c>
      <c r="F75" s="4" t="s">
        <v>41</v>
      </c>
    </row>
    <row r="76" spans="1:6" ht="16" x14ac:dyDescent="0.2">
      <c r="A76" s="13">
        <v>45786</v>
      </c>
      <c r="B76" s="4" t="s">
        <v>47</v>
      </c>
      <c r="C76" s="5">
        <v>2429854</v>
      </c>
      <c r="D76" s="5">
        <f t="shared" si="4"/>
        <v>2965770.4285714286</v>
      </c>
      <c r="E76" s="5">
        <f t="shared" si="3"/>
        <v>2763406.4666666668</v>
      </c>
      <c r="F76" s="4" t="s">
        <v>41</v>
      </c>
    </row>
    <row r="77" spans="1:6" ht="16" x14ac:dyDescent="0.2">
      <c r="A77" s="13">
        <v>45787</v>
      </c>
      <c r="B77" s="4" t="s">
        <v>49</v>
      </c>
      <c r="C77" s="5">
        <v>1601148</v>
      </c>
      <c r="D77" s="5">
        <f t="shared" si="4"/>
        <v>2966120.2857142859</v>
      </c>
      <c r="E77" s="5">
        <f t="shared" si="3"/>
        <v>2715408.6333333333</v>
      </c>
      <c r="F77" s="4" t="s">
        <v>50</v>
      </c>
    </row>
    <row r="78" spans="1:6" ht="16" x14ac:dyDescent="0.2">
      <c r="A78" s="13">
        <v>45788</v>
      </c>
      <c r="B78" s="4" t="s">
        <v>51</v>
      </c>
      <c r="C78" s="5">
        <v>2262267</v>
      </c>
      <c r="D78" s="5">
        <f t="shared" si="4"/>
        <v>2931069.5714285714</v>
      </c>
      <c r="E78" s="5">
        <f t="shared" si="3"/>
        <v>2724549.3666666667</v>
      </c>
      <c r="F78" s="4" t="s">
        <v>50</v>
      </c>
    </row>
    <row r="79" spans="1:6" ht="16" x14ac:dyDescent="0.2">
      <c r="A79" s="13">
        <v>45789</v>
      </c>
      <c r="B79" s="4" t="s">
        <v>46</v>
      </c>
      <c r="C79" s="5">
        <v>3512309</v>
      </c>
      <c r="D79" s="5">
        <f t="shared" si="4"/>
        <v>2941165.2857142859</v>
      </c>
      <c r="E79" s="5">
        <f t="shared" si="3"/>
        <v>2796756.6</v>
      </c>
      <c r="F79" s="4" t="s">
        <v>41</v>
      </c>
    </row>
    <row r="80" spans="1:6" ht="16" x14ac:dyDescent="0.2">
      <c r="A80" s="13">
        <v>45790</v>
      </c>
      <c r="B80" s="4" t="s">
        <v>48</v>
      </c>
      <c r="C80" s="5">
        <v>3569054</v>
      </c>
      <c r="D80" s="5">
        <f t="shared" si="4"/>
        <v>2953709.2857142859</v>
      </c>
      <c r="E80" s="5">
        <f t="shared" si="3"/>
        <v>2834056.5333333332</v>
      </c>
      <c r="F80" s="4" t="s">
        <v>41</v>
      </c>
    </row>
    <row r="81" spans="1:6" ht="16" x14ac:dyDescent="0.2">
      <c r="A81" s="13">
        <v>45791</v>
      </c>
      <c r="B81" s="4" t="s">
        <v>40</v>
      </c>
      <c r="C81" s="5">
        <v>3763177</v>
      </c>
      <c r="D81" s="5">
        <f t="shared" si="4"/>
        <v>2983616.2857142859</v>
      </c>
      <c r="E81" s="5">
        <f t="shared" si="3"/>
        <v>2848486.7</v>
      </c>
      <c r="F81" s="4" t="s">
        <v>41</v>
      </c>
    </row>
    <row r="82" spans="1:6" ht="16" x14ac:dyDescent="0.2">
      <c r="A82" s="13">
        <v>45792</v>
      </c>
      <c r="B82" s="4" t="s">
        <v>45</v>
      </c>
      <c r="C82" s="5">
        <v>3364753</v>
      </c>
      <c r="D82" s="5">
        <f t="shared" si="4"/>
        <v>2928937.4285714286</v>
      </c>
      <c r="E82" s="5">
        <f t="shared" si="3"/>
        <v>2849672.9</v>
      </c>
      <c r="F82" s="4" t="s">
        <v>41</v>
      </c>
    </row>
    <row r="83" spans="1:6" ht="16" x14ac:dyDescent="0.2">
      <c r="A83" s="13">
        <v>45793</v>
      </c>
      <c r="B83" s="4" t="s">
        <v>47</v>
      </c>
      <c r="C83" s="5">
        <v>2047594</v>
      </c>
      <c r="D83" s="5">
        <f t="shared" si="4"/>
        <v>2874328.8571428573</v>
      </c>
      <c r="E83" s="5">
        <f t="shared" si="3"/>
        <v>2808939.6333333333</v>
      </c>
      <c r="F83" s="4" t="s">
        <v>41</v>
      </c>
    </row>
    <row r="84" spans="1:6" ht="16" x14ac:dyDescent="0.2">
      <c r="A84" s="13">
        <v>45794</v>
      </c>
      <c r="B84" s="4" t="s">
        <v>49</v>
      </c>
      <c r="C84" s="5">
        <v>1683293</v>
      </c>
      <c r="D84" s="5">
        <f t="shared" si="4"/>
        <v>2886063.8571428573</v>
      </c>
      <c r="E84" s="5">
        <f t="shared" si="3"/>
        <v>2750188.3</v>
      </c>
      <c r="F84" s="4" t="s">
        <v>50</v>
      </c>
    </row>
    <row r="85" spans="1:6" ht="16" x14ac:dyDescent="0.2">
      <c r="A85" s="13">
        <v>45795</v>
      </c>
      <c r="B85" s="4" t="s">
        <v>51</v>
      </c>
      <c r="C85" s="5">
        <v>2338753</v>
      </c>
      <c r="D85" s="5">
        <f t="shared" si="4"/>
        <v>2896990.4285714286</v>
      </c>
      <c r="E85" s="5">
        <f t="shared" si="3"/>
        <v>2763554.5333333332</v>
      </c>
      <c r="F85" s="4" t="s">
        <v>50</v>
      </c>
    </row>
    <row r="86" spans="1:6" ht="16" x14ac:dyDescent="0.2">
      <c r="A86" s="13">
        <v>45796</v>
      </c>
      <c r="B86" s="4" t="s">
        <v>46</v>
      </c>
      <c r="C86" s="5">
        <v>3477703</v>
      </c>
      <c r="D86" s="5">
        <f t="shared" si="4"/>
        <v>2892046.7142857141</v>
      </c>
      <c r="E86" s="5">
        <f t="shared" si="3"/>
        <v>2827326.2333333334</v>
      </c>
      <c r="F86" s="4" t="s">
        <v>41</v>
      </c>
    </row>
    <row r="87" spans="1:6" ht="16" x14ac:dyDescent="0.2">
      <c r="A87" s="13">
        <v>45797</v>
      </c>
      <c r="B87" s="4" t="s">
        <v>48</v>
      </c>
      <c r="C87" s="5">
        <v>3531332</v>
      </c>
      <c r="D87" s="5">
        <f t="shared" si="4"/>
        <v>2886657.8571428573</v>
      </c>
      <c r="E87" s="5">
        <f t="shared" si="3"/>
        <v>2869203</v>
      </c>
      <c r="F87" s="4" t="s">
        <v>41</v>
      </c>
    </row>
    <row r="88" spans="1:6" ht="16" x14ac:dyDescent="0.2">
      <c r="A88" s="13">
        <v>45798</v>
      </c>
      <c r="B88" s="4" t="s">
        <v>40</v>
      </c>
      <c r="C88" s="5">
        <v>3323006</v>
      </c>
      <c r="D88" s="5">
        <f t="shared" si="4"/>
        <v>2823776.2857142859</v>
      </c>
      <c r="E88" s="5">
        <f t="shared" si="3"/>
        <v>2874996.7</v>
      </c>
      <c r="F88" s="4" t="s">
        <v>41</v>
      </c>
    </row>
    <row r="89" spans="1:6" ht="16" x14ac:dyDescent="0.2">
      <c r="A89" s="13">
        <v>45799</v>
      </c>
      <c r="B89" s="4" t="s">
        <v>45</v>
      </c>
      <c r="C89" s="5">
        <v>3407862</v>
      </c>
      <c r="D89" s="5">
        <f t="shared" si="4"/>
        <v>2829934.7142857141</v>
      </c>
      <c r="E89" s="5">
        <f t="shared" si="3"/>
        <v>2881792.1</v>
      </c>
      <c r="F89" s="4" t="s">
        <v>41</v>
      </c>
    </row>
    <row r="90" spans="1:6" ht="16" x14ac:dyDescent="0.2">
      <c r="A90" s="13">
        <v>45800</v>
      </c>
      <c r="B90" s="4" t="s">
        <v>47</v>
      </c>
      <c r="C90" s="5">
        <v>2029227</v>
      </c>
      <c r="D90" s="5">
        <f t="shared" si="4"/>
        <v>2827310.8571428573</v>
      </c>
      <c r="E90" s="5">
        <f t="shared" si="3"/>
        <v>2844691.1</v>
      </c>
      <c r="F90" s="4" t="s">
        <v>41</v>
      </c>
    </row>
    <row r="91" spans="1:6" ht="16" x14ac:dyDescent="0.2">
      <c r="A91" s="13">
        <v>45801</v>
      </c>
      <c r="B91" s="4" t="s">
        <v>49</v>
      </c>
      <c r="C91" s="5">
        <v>1645436</v>
      </c>
      <c r="D91" s="5">
        <f t="shared" si="4"/>
        <v>2821902.7142857141</v>
      </c>
      <c r="E91" s="5">
        <f t="shared" si="3"/>
        <v>2796959.9</v>
      </c>
      <c r="F91" s="4" t="s">
        <v>50</v>
      </c>
    </row>
    <row r="92" spans="1:6" ht="16" x14ac:dyDescent="0.2">
      <c r="A92" s="13">
        <v>45802</v>
      </c>
      <c r="B92" s="4" t="s">
        <v>51</v>
      </c>
      <c r="C92" s="5">
        <v>2170773</v>
      </c>
      <c r="D92" s="5">
        <f t="shared" si="4"/>
        <v>2797905.5714285714</v>
      </c>
      <c r="E92" s="5">
        <f t="shared" si="3"/>
        <v>2796075.2333333334</v>
      </c>
      <c r="F92" s="4" t="s">
        <v>50</v>
      </c>
    </row>
    <row r="93" spans="1:6" ht="16" x14ac:dyDescent="0.2">
      <c r="A93" s="13">
        <v>45803</v>
      </c>
      <c r="B93" s="4" t="s">
        <v>46</v>
      </c>
      <c r="C93" s="5">
        <v>1024258</v>
      </c>
      <c r="D93" s="5">
        <f t="shared" si="4"/>
        <v>2447413.4285714286</v>
      </c>
      <c r="E93" s="5">
        <f t="shared" si="3"/>
        <v>2779552.6666666665</v>
      </c>
      <c r="F93" s="4" t="s">
        <v>41</v>
      </c>
    </row>
    <row r="94" spans="1:6" ht="16" x14ac:dyDescent="0.2">
      <c r="A94" s="13">
        <v>45804</v>
      </c>
      <c r="B94" s="4" t="s">
        <v>48</v>
      </c>
      <c r="C94" s="5">
        <v>3506081</v>
      </c>
      <c r="D94" s="5">
        <f t="shared" si="4"/>
        <v>2443806.1428571427</v>
      </c>
      <c r="E94" s="5">
        <f t="shared" si="3"/>
        <v>2820894.8666666667</v>
      </c>
      <c r="F94" s="4" t="s">
        <v>41</v>
      </c>
    </row>
    <row r="95" spans="1:6" ht="16" x14ac:dyDescent="0.2">
      <c r="A95" s="13">
        <v>45805</v>
      </c>
      <c r="B95" s="4" t="s">
        <v>40</v>
      </c>
      <c r="C95" s="5">
        <v>3364858</v>
      </c>
      <c r="D95" s="5">
        <f t="shared" si="4"/>
        <v>2449785</v>
      </c>
      <c r="E95" s="5">
        <f t="shared" si="3"/>
        <v>2828425.4</v>
      </c>
      <c r="F95" s="4" t="s">
        <v>41</v>
      </c>
    </row>
    <row r="96" spans="1:6" ht="16" x14ac:dyDescent="0.2">
      <c r="A96" s="13">
        <v>45806</v>
      </c>
      <c r="B96" s="4" t="s">
        <v>45</v>
      </c>
      <c r="C96" s="5">
        <v>3493969</v>
      </c>
      <c r="D96" s="5">
        <f t="shared" si="4"/>
        <v>2462086</v>
      </c>
      <c r="E96" s="5">
        <f t="shared" si="3"/>
        <v>2831879.0333333332</v>
      </c>
      <c r="F96" s="4" t="s">
        <v>41</v>
      </c>
    </row>
    <row r="97" spans="1:6" ht="16" x14ac:dyDescent="0.2">
      <c r="A97" s="13">
        <v>45807</v>
      </c>
      <c r="B97" s="4" t="s">
        <v>47</v>
      </c>
      <c r="C97" s="5">
        <v>2017393</v>
      </c>
      <c r="D97" s="5">
        <f t="shared" si="4"/>
        <v>2460395.4285714286</v>
      </c>
      <c r="E97" s="5">
        <f t="shared" ref="E97:E160" si="5">AVERAGE(C68:C97)</f>
        <v>2782332.9333333331</v>
      </c>
      <c r="F97" s="4" t="s">
        <v>41</v>
      </c>
    </row>
    <row r="98" spans="1:6" ht="16" x14ac:dyDescent="0.2">
      <c r="A98" s="13">
        <v>45808</v>
      </c>
      <c r="B98" s="4" t="s">
        <v>49</v>
      </c>
      <c r="C98" s="5">
        <v>1685831</v>
      </c>
      <c r="D98" s="5">
        <f t="shared" si="4"/>
        <v>2466166.1428571427</v>
      </c>
      <c r="E98" s="5">
        <f t="shared" si="5"/>
        <v>2723632.6</v>
      </c>
      <c r="F98" s="4" t="s">
        <v>50</v>
      </c>
    </row>
    <row r="99" spans="1:6" ht="16" x14ac:dyDescent="0.2">
      <c r="A99" s="13">
        <v>45809</v>
      </c>
      <c r="B99" s="4" t="s">
        <v>51</v>
      </c>
      <c r="C99" s="5">
        <v>2396076</v>
      </c>
      <c r="D99" s="5">
        <f t="shared" si="4"/>
        <v>2498352.2857142859</v>
      </c>
      <c r="E99" s="5">
        <f t="shared" si="5"/>
        <v>2732551.5333333332</v>
      </c>
      <c r="F99" s="4" t="s">
        <v>50</v>
      </c>
    </row>
    <row r="100" spans="1:6" ht="16" x14ac:dyDescent="0.2">
      <c r="A100" s="13">
        <v>45810</v>
      </c>
      <c r="B100" s="4" t="s">
        <v>46</v>
      </c>
      <c r="C100" s="5">
        <v>3429127</v>
      </c>
      <c r="D100" s="5">
        <f t="shared" si="4"/>
        <v>2841905</v>
      </c>
      <c r="E100" s="5">
        <f t="shared" si="5"/>
        <v>2793565.8</v>
      </c>
      <c r="F100" s="4" t="s">
        <v>41</v>
      </c>
    </row>
    <row r="101" spans="1:6" ht="16" x14ac:dyDescent="0.2">
      <c r="A101" s="13">
        <v>45811</v>
      </c>
      <c r="B101" s="4" t="s">
        <v>48</v>
      </c>
      <c r="C101" s="5">
        <v>3396590</v>
      </c>
      <c r="D101" s="5">
        <f t="shared" si="4"/>
        <v>2826263.4285714286</v>
      </c>
      <c r="E101" s="5">
        <f t="shared" si="5"/>
        <v>2823198.0666666669</v>
      </c>
      <c r="F101" s="4" t="s">
        <v>41</v>
      </c>
    </row>
    <row r="102" spans="1:6" ht="16" x14ac:dyDescent="0.2">
      <c r="A102" s="13">
        <v>45812</v>
      </c>
      <c r="B102" s="4" t="s">
        <v>40</v>
      </c>
      <c r="C102" s="5">
        <v>3369663</v>
      </c>
      <c r="D102" s="5">
        <f t="shared" si="4"/>
        <v>2826949.8571428573</v>
      </c>
      <c r="E102" s="5">
        <f t="shared" si="5"/>
        <v>2820798.8666666667</v>
      </c>
      <c r="F102" s="4" t="s">
        <v>41</v>
      </c>
    </row>
    <row r="103" spans="1:6" ht="16" x14ac:dyDescent="0.2">
      <c r="A103" s="13">
        <v>45813</v>
      </c>
      <c r="B103" s="4" t="s">
        <v>45</v>
      </c>
      <c r="C103" s="5">
        <v>3426213</v>
      </c>
      <c r="D103" s="5">
        <f t="shared" si="4"/>
        <v>2817270.4285714286</v>
      </c>
      <c r="E103" s="5">
        <f t="shared" si="5"/>
        <v>2818964.4333333331</v>
      </c>
      <c r="F103" s="4" t="s">
        <v>41</v>
      </c>
    </row>
    <row r="104" spans="1:6" ht="16" x14ac:dyDescent="0.2">
      <c r="A104" s="13">
        <v>45814</v>
      </c>
      <c r="B104" s="4" t="s">
        <v>47</v>
      </c>
      <c r="C104" s="5">
        <v>2049880</v>
      </c>
      <c r="D104" s="5">
        <f t="shared" si="4"/>
        <v>2821911.4285714286</v>
      </c>
      <c r="E104" s="5">
        <f t="shared" si="5"/>
        <v>2768832.8333333335</v>
      </c>
      <c r="F104" s="4" t="s">
        <v>41</v>
      </c>
    </row>
    <row r="105" spans="1:6" ht="16" x14ac:dyDescent="0.2">
      <c r="A105" s="13">
        <v>45815</v>
      </c>
      <c r="B105" s="4" t="s">
        <v>49</v>
      </c>
      <c r="C105" s="5">
        <v>1640418</v>
      </c>
      <c r="D105" s="5">
        <f t="shared" si="4"/>
        <v>2815423.8571428573</v>
      </c>
      <c r="E105" s="5">
        <f t="shared" si="5"/>
        <v>2698596.6</v>
      </c>
      <c r="F105" s="4" t="s">
        <v>50</v>
      </c>
    </row>
    <row r="106" spans="1:6" ht="16" x14ac:dyDescent="0.2">
      <c r="A106" s="13">
        <v>45816</v>
      </c>
      <c r="B106" s="4" t="s">
        <v>51</v>
      </c>
      <c r="C106" s="5">
        <v>2369031</v>
      </c>
      <c r="D106" s="5">
        <f t="shared" si="4"/>
        <v>2811560.2857142859</v>
      </c>
      <c r="E106" s="5">
        <f t="shared" si="5"/>
        <v>2696569.1666666665</v>
      </c>
      <c r="F106" s="4" t="s">
        <v>50</v>
      </c>
    </row>
    <row r="107" spans="1:6" ht="16" x14ac:dyDescent="0.2">
      <c r="A107" s="13">
        <v>45817</v>
      </c>
      <c r="B107" s="4" t="s">
        <v>46</v>
      </c>
      <c r="C107" s="5">
        <v>3479225</v>
      </c>
      <c r="D107" s="5">
        <f t="shared" si="4"/>
        <v>2818717.1428571427</v>
      </c>
      <c r="E107" s="5">
        <f t="shared" si="5"/>
        <v>2759171.7333333334</v>
      </c>
      <c r="F107" s="4" t="s">
        <v>41</v>
      </c>
    </row>
    <row r="108" spans="1:6" ht="16" x14ac:dyDescent="0.2">
      <c r="A108" s="13">
        <v>45818</v>
      </c>
      <c r="B108" s="4" t="s">
        <v>48</v>
      </c>
      <c r="C108" s="5">
        <v>3317487</v>
      </c>
      <c r="D108" s="5">
        <f t="shared" si="4"/>
        <v>2807416.7142857141</v>
      </c>
      <c r="E108" s="5">
        <f t="shared" si="5"/>
        <v>2794345.7333333334</v>
      </c>
      <c r="F108" s="4" t="s">
        <v>41</v>
      </c>
    </row>
    <row r="109" spans="1:6" ht="16" x14ac:dyDescent="0.2">
      <c r="A109" s="13">
        <v>45819</v>
      </c>
      <c r="B109" s="4" t="s">
        <v>40</v>
      </c>
      <c r="C109" s="5">
        <v>3401605</v>
      </c>
      <c r="D109" s="5">
        <f t="shared" si="4"/>
        <v>2811979.8571428573</v>
      </c>
      <c r="E109" s="5">
        <f t="shared" si="5"/>
        <v>2790655.6</v>
      </c>
      <c r="F109" s="4" t="s">
        <v>41</v>
      </c>
    </row>
    <row r="110" spans="1:6" ht="16" x14ac:dyDescent="0.2">
      <c r="A110" s="13">
        <v>45820</v>
      </c>
      <c r="B110" s="4" t="s">
        <v>45</v>
      </c>
      <c r="C110" s="5">
        <v>3079232</v>
      </c>
      <c r="D110" s="5">
        <f t="shared" si="4"/>
        <v>2762411.1428571427</v>
      </c>
      <c r="E110" s="5">
        <f t="shared" si="5"/>
        <v>2774328.2</v>
      </c>
      <c r="F110" s="4" t="s">
        <v>41</v>
      </c>
    </row>
    <row r="111" spans="1:6" ht="16" x14ac:dyDescent="0.2">
      <c r="A111" s="13">
        <v>45821</v>
      </c>
      <c r="B111" s="4" t="s">
        <v>47</v>
      </c>
      <c r="C111" s="5">
        <v>1930308</v>
      </c>
      <c r="D111" s="5">
        <f t="shared" si="4"/>
        <v>2745329.4285714286</v>
      </c>
      <c r="E111" s="5">
        <f t="shared" si="5"/>
        <v>2713232.5666666669</v>
      </c>
      <c r="F111" s="4" t="s">
        <v>41</v>
      </c>
    </row>
    <row r="112" spans="1:6" ht="16" x14ac:dyDescent="0.2">
      <c r="A112" s="13">
        <v>45822</v>
      </c>
      <c r="B112" s="4" t="s">
        <v>49</v>
      </c>
      <c r="C112" s="5">
        <v>1609971</v>
      </c>
      <c r="D112" s="5">
        <f t="shared" si="4"/>
        <v>2740979.8571428573</v>
      </c>
      <c r="E112" s="5">
        <f t="shared" si="5"/>
        <v>2654739.8333333335</v>
      </c>
      <c r="F112" s="4" t="s">
        <v>50</v>
      </c>
    </row>
    <row r="113" spans="1:6" ht="16" x14ac:dyDescent="0.2">
      <c r="A113" s="13">
        <v>45823</v>
      </c>
      <c r="B113" s="4" t="s">
        <v>51</v>
      </c>
      <c r="C113" s="5">
        <v>2246232</v>
      </c>
      <c r="D113" s="5">
        <f t="shared" si="4"/>
        <v>2723437.1428571427</v>
      </c>
      <c r="E113" s="5">
        <f t="shared" si="5"/>
        <v>2661361.1</v>
      </c>
      <c r="F113" s="4" t="s">
        <v>50</v>
      </c>
    </row>
    <row r="114" spans="1:6" ht="16" x14ac:dyDescent="0.2">
      <c r="A114" s="13">
        <v>45824</v>
      </c>
      <c r="B114" s="4" t="s">
        <v>46</v>
      </c>
      <c r="C114" s="5">
        <v>3146224</v>
      </c>
      <c r="D114" s="5">
        <f t="shared" si="4"/>
        <v>2675865.5714285714</v>
      </c>
      <c r="E114" s="5">
        <f t="shared" si="5"/>
        <v>2710125.4666666668</v>
      </c>
      <c r="F114" s="4" t="s">
        <v>41</v>
      </c>
    </row>
    <row r="115" spans="1:6" ht="16" x14ac:dyDescent="0.2">
      <c r="A115" s="13">
        <v>45825</v>
      </c>
      <c r="B115" s="4" t="s">
        <v>48</v>
      </c>
      <c r="C115" s="5">
        <v>3367771</v>
      </c>
      <c r="D115" s="5">
        <f t="shared" si="4"/>
        <v>2683049</v>
      </c>
      <c r="E115" s="5">
        <f t="shared" si="5"/>
        <v>2744426.0666666669</v>
      </c>
      <c r="F115" s="4" t="s">
        <v>41</v>
      </c>
    </row>
    <row r="116" spans="1:6" ht="16" x14ac:dyDescent="0.2">
      <c r="A116" s="13">
        <v>45826</v>
      </c>
      <c r="B116" s="4" t="s">
        <v>40</v>
      </c>
      <c r="C116" s="5">
        <v>3194270</v>
      </c>
      <c r="D116" s="5">
        <f t="shared" si="4"/>
        <v>2653429.7142857141</v>
      </c>
      <c r="E116" s="5">
        <f t="shared" si="5"/>
        <v>2734978.3</v>
      </c>
      <c r="F116" s="4" t="s">
        <v>41</v>
      </c>
    </row>
    <row r="117" spans="1:6" ht="16" x14ac:dyDescent="0.2">
      <c r="A117" s="13">
        <v>45827</v>
      </c>
      <c r="B117" s="4" t="s">
        <v>45</v>
      </c>
      <c r="C117" s="5">
        <v>3103713</v>
      </c>
      <c r="D117" s="5">
        <f t="shared" si="4"/>
        <v>2656927</v>
      </c>
      <c r="E117" s="5">
        <f t="shared" si="5"/>
        <v>2720724.3333333335</v>
      </c>
      <c r="F117" s="4" t="s">
        <v>41</v>
      </c>
    </row>
    <row r="118" spans="1:6" ht="16" x14ac:dyDescent="0.2">
      <c r="A118" s="13">
        <v>45828</v>
      </c>
      <c r="B118" s="4" t="s">
        <v>47</v>
      </c>
      <c r="C118" s="5">
        <v>1720192</v>
      </c>
      <c r="D118" s="5">
        <f t="shared" si="4"/>
        <v>2626910.4285714286</v>
      </c>
      <c r="E118" s="5">
        <f t="shared" si="5"/>
        <v>2667297.2000000002</v>
      </c>
      <c r="F118" s="4" t="s">
        <v>41</v>
      </c>
    </row>
    <row r="119" spans="1:6" ht="16" x14ac:dyDescent="0.2">
      <c r="A119" s="13">
        <v>45829</v>
      </c>
      <c r="B119" s="4" t="s">
        <v>49</v>
      </c>
      <c r="C119" s="5">
        <v>1559881</v>
      </c>
      <c r="D119" s="5">
        <f t="shared" si="4"/>
        <v>2619754.7142857141</v>
      </c>
      <c r="E119" s="5">
        <f t="shared" si="5"/>
        <v>2605697.8333333335</v>
      </c>
      <c r="F119" s="4" t="s">
        <v>50</v>
      </c>
    </row>
    <row r="120" spans="1:6" ht="16" x14ac:dyDescent="0.2">
      <c r="A120" s="13">
        <v>45830</v>
      </c>
      <c r="B120" s="4" t="s">
        <v>51</v>
      </c>
      <c r="C120" s="5">
        <v>2295462</v>
      </c>
      <c r="D120" s="5">
        <f t="shared" si="4"/>
        <v>2626787.5714285714</v>
      </c>
      <c r="E120" s="5">
        <f t="shared" si="5"/>
        <v>2614572.3333333335</v>
      </c>
      <c r="F120" s="4" t="s">
        <v>50</v>
      </c>
    </row>
    <row r="121" spans="1:6" ht="16" x14ac:dyDescent="0.2">
      <c r="A121" s="13">
        <v>45831</v>
      </c>
      <c r="B121" s="4" t="s">
        <v>46</v>
      </c>
      <c r="C121" s="5">
        <v>3166579</v>
      </c>
      <c r="D121" s="5">
        <f t="shared" si="4"/>
        <v>2629695.4285714286</v>
      </c>
      <c r="E121" s="5">
        <f t="shared" si="5"/>
        <v>2665277.1</v>
      </c>
      <c r="F121" s="4" t="s">
        <v>41</v>
      </c>
    </row>
    <row r="122" spans="1:6" ht="16" x14ac:dyDescent="0.2">
      <c r="A122" s="13">
        <v>45832</v>
      </c>
      <c r="B122" s="4" t="s">
        <v>48</v>
      </c>
      <c r="C122" s="5">
        <v>3205898</v>
      </c>
      <c r="D122" s="5">
        <f t="shared" si="4"/>
        <v>2606570.7142857141</v>
      </c>
      <c r="E122" s="5">
        <f t="shared" si="5"/>
        <v>2699781.2666666666</v>
      </c>
      <c r="F122" s="4" t="s">
        <v>41</v>
      </c>
    </row>
    <row r="123" spans="1:6" ht="16" x14ac:dyDescent="0.2">
      <c r="A123" s="13">
        <v>45833</v>
      </c>
      <c r="B123" s="4" t="s">
        <v>40</v>
      </c>
      <c r="C123" s="5">
        <v>3146672</v>
      </c>
      <c r="D123" s="5">
        <f t="shared" si="4"/>
        <v>2599771</v>
      </c>
      <c r="E123" s="5">
        <f t="shared" si="5"/>
        <v>2770528.4</v>
      </c>
      <c r="F123" s="4" t="s">
        <v>41</v>
      </c>
    </row>
    <row r="124" spans="1:6" ht="16" x14ac:dyDescent="0.2">
      <c r="A124" s="13">
        <v>45834</v>
      </c>
      <c r="B124" s="4" t="s">
        <v>45</v>
      </c>
      <c r="C124" s="5">
        <v>3066184</v>
      </c>
      <c r="D124" s="5">
        <f t="shared" si="4"/>
        <v>2594409.7142857141</v>
      </c>
      <c r="E124" s="5">
        <f t="shared" si="5"/>
        <v>2755865.1666666665</v>
      </c>
      <c r="F124" s="4" t="s">
        <v>41</v>
      </c>
    </row>
    <row r="125" spans="1:6" ht="16" x14ac:dyDescent="0.2">
      <c r="A125" s="13">
        <v>45835</v>
      </c>
      <c r="B125" s="4" t="s">
        <v>47</v>
      </c>
      <c r="C125" s="5">
        <v>1838802</v>
      </c>
      <c r="D125" s="5">
        <f t="shared" si="4"/>
        <v>2611354</v>
      </c>
      <c r="E125" s="5">
        <f t="shared" si="5"/>
        <v>2704996.6333333333</v>
      </c>
      <c r="F125" s="4" t="s">
        <v>41</v>
      </c>
    </row>
    <row r="126" spans="1:6" ht="16" x14ac:dyDescent="0.2">
      <c r="A126" s="13">
        <v>45836</v>
      </c>
      <c r="B126" s="4" t="s">
        <v>49</v>
      </c>
      <c r="C126" s="5">
        <v>1483684</v>
      </c>
      <c r="D126" s="5">
        <f t="shared" si="4"/>
        <v>2600468.7142857141</v>
      </c>
      <c r="E126" s="5">
        <f t="shared" si="5"/>
        <v>2637987.1333333333</v>
      </c>
      <c r="F126" s="4" t="s">
        <v>50</v>
      </c>
    </row>
    <row r="127" spans="1:6" ht="16" x14ac:dyDescent="0.2">
      <c r="A127" s="13">
        <v>45837</v>
      </c>
      <c r="B127" s="4" t="s">
        <v>51</v>
      </c>
      <c r="C127" s="5">
        <v>2422056</v>
      </c>
      <c r="D127" s="5">
        <f t="shared" si="4"/>
        <v>2618553.5714285714</v>
      </c>
      <c r="E127" s="5">
        <f t="shared" si="5"/>
        <v>2651475.9</v>
      </c>
      <c r="F127" s="4" t="s">
        <v>50</v>
      </c>
    </row>
    <row r="128" spans="1:6" ht="16" x14ac:dyDescent="0.2">
      <c r="A128" s="13">
        <v>45838</v>
      </c>
      <c r="B128" s="4" t="s">
        <v>46</v>
      </c>
      <c r="C128" s="5">
        <v>3178671</v>
      </c>
      <c r="D128" s="5">
        <f t="shared" si="4"/>
        <v>2620281</v>
      </c>
      <c r="E128" s="5">
        <f t="shared" si="5"/>
        <v>2701237.2333333334</v>
      </c>
      <c r="F128" s="4" t="s">
        <v>41</v>
      </c>
    </row>
    <row r="129" spans="1:6" ht="16" x14ac:dyDescent="0.2">
      <c r="A129" s="13">
        <v>45839</v>
      </c>
      <c r="B129" s="4" t="s">
        <v>48</v>
      </c>
      <c r="C129" s="5">
        <v>3151641</v>
      </c>
      <c r="D129" s="5">
        <f t="shared" si="4"/>
        <v>2612530</v>
      </c>
      <c r="E129" s="5">
        <f t="shared" si="5"/>
        <v>2726422.7333333334</v>
      </c>
      <c r="F129" s="4" t="s">
        <v>41</v>
      </c>
    </row>
    <row r="130" spans="1:6" ht="16" x14ac:dyDescent="0.2">
      <c r="A130" s="13">
        <v>45840</v>
      </c>
      <c r="B130" s="4" t="s">
        <v>40</v>
      </c>
      <c r="C130" s="5">
        <v>3122476</v>
      </c>
      <c r="D130" s="5">
        <f t="shared" si="4"/>
        <v>2609073.4285714286</v>
      </c>
      <c r="E130" s="5">
        <f t="shared" si="5"/>
        <v>2716201.0333333332</v>
      </c>
      <c r="F130" s="4" t="s">
        <v>41</v>
      </c>
    </row>
    <row r="131" spans="1:6" ht="16" x14ac:dyDescent="0.2">
      <c r="A131" s="13">
        <v>45841</v>
      </c>
      <c r="B131" s="4" t="s">
        <v>45</v>
      </c>
      <c r="C131" s="5">
        <v>2804700</v>
      </c>
      <c r="D131" s="5">
        <f t="shared" si="4"/>
        <v>2571718.5714285714</v>
      </c>
      <c r="E131" s="5">
        <f t="shared" si="5"/>
        <v>2696471.3666666667</v>
      </c>
      <c r="F131" s="4" t="s">
        <v>41</v>
      </c>
    </row>
    <row r="132" spans="1:6" ht="16" x14ac:dyDescent="0.2">
      <c r="A132" s="13">
        <v>45842</v>
      </c>
      <c r="B132" s="4" t="s">
        <v>47</v>
      </c>
      <c r="C132" s="5">
        <v>1166657</v>
      </c>
      <c r="D132" s="5">
        <f t="shared" si="4"/>
        <v>2475697.8571428573</v>
      </c>
      <c r="E132" s="5">
        <f t="shared" si="5"/>
        <v>2623037.8333333335</v>
      </c>
      <c r="F132" s="4" t="s">
        <v>41</v>
      </c>
    </row>
    <row r="133" spans="1:6" ht="16" x14ac:dyDescent="0.2">
      <c r="A133" s="13">
        <v>45843</v>
      </c>
      <c r="B133" s="4" t="s">
        <v>49</v>
      </c>
      <c r="C133" s="5">
        <v>1627139</v>
      </c>
      <c r="D133" s="5">
        <f t="shared" si="4"/>
        <v>2496191.4285714286</v>
      </c>
      <c r="E133" s="5">
        <f t="shared" si="5"/>
        <v>2563068.7000000002</v>
      </c>
      <c r="F133" s="4" t="s">
        <v>50</v>
      </c>
    </row>
    <row r="134" spans="1:6" ht="16" x14ac:dyDescent="0.2">
      <c r="A134" s="13">
        <v>45844</v>
      </c>
      <c r="B134" s="4" t="s">
        <v>51</v>
      </c>
      <c r="C134" s="5">
        <v>2018642</v>
      </c>
      <c r="D134" s="5">
        <f t="shared" si="4"/>
        <v>2438560.8571428573</v>
      </c>
      <c r="E134" s="5">
        <f t="shared" si="5"/>
        <v>2562027.4333333331</v>
      </c>
      <c r="F134" s="4" t="s">
        <v>50</v>
      </c>
    </row>
    <row r="135" spans="1:6" ht="16" x14ac:dyDescent="0.2">
      <c r="A135" s="13">
        <v>45845</v>
      </c>
      <c r="B135" s="4" t="s">
        <v>46</v>
      </c>
      <c r="C135" s="5">
        <v>3169610</v>
      </c>
      <c r="D135" s="5">
        <f t="shared" si="4"/>
        <v>2437266.4285714286</v>
      </c>
      <c r="E135" s="5">
        <f t="shared" si="5"/>
        <v>2613000.5</v>
      </c>
      <c r="F135" s="4" t="s">
        <v>41</v>
      </c>
    </row>
    <row r="136" spans="1:6" ht="16" x14ac:dyDescent="0.2">
      <c r="A136" s="13">
        <v>45846</v>
      </c>
      <c r="B136" s="4" t="s">
        <v>48</v>
      </c>
      <c r="C136" s="5">
        <v>3573411</v>
      </c>
      <c r="D136" s="5">
        <f t="shared" si="4"/>
        <v>2497519.2857142859</v>
      </c>
      <c r="E136" s="5">
        <f t="shared" si="5"/>
        <v>2653146.5</v>
      </c>
      <c r="F136" s="4" t="s">
        <v>41</v>
      </c>
    </row>
    <row r="137" spans="1:6" ht="16" x14ac:dyDescent="0.2">
      <c r="A137" s="13">
        <v>45847</v>
      </c>
      <c r="B137" s="4" t="s">
        <v>40</v>
      </c>
      <c r="C137" s="5">
        <v>3088038</v>
      </c>
      <c r="D137" s="5">
        <f t="shared" si="4"/>
        <v>2492599.5714285714</v>
      </c>
      <c r="E137" s="5">
        <f t="shared" si="5"/>
        <v>2640106.9333333331</v>
      </c>
      <c r="F137" s="4" t="s">
        <v>41</v>
      </c>
    </row>
    <row r="138" spans="1:6" ht="16" x14ac:dyDescent="0.2">
      <c r="A138" s="13">
        <v>45848</v>
      </c>
      <c r="B138" s="4" t="s">
        <v>45</v>
      </c>
      <c r="C138" s="5">
        <v>2977961</v>
      </c>
      <c r="D138" s="5">
        <f t="shared" ref="D138:D201" si="6">AVERAGE(C132:C138)</f>
        <v>2517351.1428571427</v>
      </c>
      <c r="E138" s="5">
        <f t="shared" si="5"/>
        <v>2628789.4</v>
      </c>
      <c r="F138" s="4" t="s">
        <v>41</v>
      </c>
    </row>
    <row r="139" spans="1:6" ht="16" x14ac:dyDescent="0.2">
      <c r="A139" s="13">
        <v>45849</v>
      </c>
      <c r="B139" s="4" t="s">
        <v>47</v>
      </c>
      <c r="C139" s="5">
        <v>1698839</v>
      </c>
      <c r="D139" s="5">
        <f t="shared" si="6"/>
        <v>2593377.1428571427</v>
      </c>
      <c r="E139" s="5">
        <f t="shared" si="5"/>
        <v>2572030.5333333332</v>
      </c>
      <c r="F139" s="4" t="s">
        <v>41</v>
      </c>
    </row>
    <row r="140" spans="1:6" ht="16" x14ac:dyDescent="0.2">
      <c r="A140" s="13">
        <v>45850</v>
      </c>
      <c r="B140" s="4" t="s">
        <v>49</v>
      </c>
      <c r="C140" s="5">
        <v>1580710</v>
      </c>
      <c r="D140" s="5">
        <f t="shared" si="6"/>
        <v>2586744.4285714286</v>
      </c>
      <c r="E140" s="5">
        <f t="shared" si="5"/>
        <v>2522079.7999999998</v>
      </c>
      <c r="F140" s="4" t="s">
        <v>50</v>
      </c>
    </row>
    <row r="141" spans="1:6" ht="16" x14ac:dyDescent="0.2">
      <c r="A141" s="13">
        <v>45851</v>
      </c>
      <c r="B141" s="4" t="s">
        <v>51</v>
      </c>
      <c r="C141" s="5">
        <v>2356403</v>
      </c>
      <c r="D141" s="5">
        <f t="shared" si="6"/>
        <v>2634996</v>
      </c>
      <c r="E141" s="5">
        <f t="shared" si="5"/>
        <v>2536282.9666666668</v>
      </c>
      <c r="F141" s="4" t="s">
        <v>50</v>
      </c>
    </row>
    <row r="142" spans="1:6" ht="16" x14ac:dyDescent="0.2">
      <c r="A142" s="13">
        <v>45852</v>
      </c>
      <c r="B142" s="4" t="s">
        <v>46</v>
      </c>
      <c r="C142" s="5">
        <v>3272340</v>
      </c>
      <c r="D142" s="5">
        <f t="shared" si="6"/>
        <v>2649671.7142857141</v>
      </c>
      <c r="E142" s="5">
        <f t="shared" si="5"/>
        <v>2591695.2666666666</v>
      </c>
      <c r="F142" s="4" t="s">
        <v>41</v>
      </c>
    </row>
    <row r="143" spans="1:6" ht="16" x14ac:dyDescent="0.2">
      <c r="A143" s="13">
        <v>45853</v>
      </c>
      <c r="B143" s="4" t="s">
        <v>48</v>
      </c>
      <c r="C143" s="5">
        <v>3309799</v>
      </c>
      <c r="D143" s="5">
        <f t="shared" si="6"/>
        <v>2612012.8571428573</v>
      </c>
      <c r="E143" s="5">
        <f t="shared" si="5"/>
        <v>2627147.5</v>
      </c>
      <c r="F143" s="4" t="s">
        <v>41</v>
      </c>
    </row>
    <row r="144" spans="1:6" ht="16" x14ac:dyDescent="0.2">
      <c r="A144" s="13">
        <v>45854</v>
      </c>
      <c r="B144" s="4" t="s">
        <v>40</v>
      </c>
      <c r="C144" s="5">
        <v>3113333</v>
      </c>
      <c r="D144" s="5">
        <f t="shared" si="6"/>
        <v>2615626.4285714286</v>
      </c>
      <c r="E144" s="5">
        <f t="shared" si="5"/>
        <v>2626051.1333333333</v>
      </c>
      <c r="F144" s="4" t="s">
        <v>41</v>
      </c>
    </row>
    <row r="145" spans="1:6" ht="16" x14ac:dyDescent="0.2">
      <c r="A145" s="13">
        <v>45855</v>
      </c>
      <c r="B145" s="4" t="s">
        <v>45</v>
      </c>
      <c r="C145" s="5">
        <v>3053138</v>
      </c>
      <c r="D145" s="5">
        <f t="shared" si="6"/>
        <v>2626366</v>
      </c>
      <c r="E145" s="5">
        <f t="shared" si="5"/>
        <v>2615563.3666666667</v>
      </c>
      <c r="F145" s="4" t="s">
        <v>41</v>
      </c>
    </row>
    <row r="146" spans="1:6" ht="16" x14ac:dyDescent="0.2">
      <c r="A146" s="13">
        <v>45856</v>
      </c>
      <c r="B146" s="4" t="s">
        <v>47</v>
      </c>
      <c r="C146" s="5">
        <v>1791622</v>
      </c>
      <c r="D146" s="5">
        <f t="shared" si="6"/>
        <v>2639620.7142857141</v>
      </c>
      <c r="E146" s="5">
        <f t="shared" si="5"/>
        <v>2568808.4333333331</v>
      </c>
      <c r="F146" s="4" t="s">
        <v>41</v>
      </c>
    </row>
    <row r="147" spans="1:6" ht="16" x14ac:dyDescent="0.2">
      <c r="A147" s="13">
        <v>45857</v>
      </c>
      <c r="B147" s="4" t="s">
        <v>49</v>
      </c>
      <c r="C147" s="5">
        <v>1433656</v>
      </c>
      <c r="D147" s="5">
        <f t="shared" si="6"/>
        <v>2618613</v>
      </c>
      <c r="E147" s="5">
        <f t="shared" si="5"/>
        <v>2513139.8666666667</v>
      </c>
      <c r="F147" s="4" t="s">
        <v>50</v>
      </c>
    </row>
    <row r="148" spans="1:6" ht="16" x14ac:dyDescent="0.2">
      <c r="A148" s="13">
        <v>45858</v>
      </c>
      <c r="B148" s="4" t="s">
        <v>51</v>
      </c>
      <c r="C148" s="5">
        <v>2292707</v>
      </c>
      <c r="D148" s="5">
        <f t="shared" si="6"/>
        <v>2609513.5714285714</v>
      </c>
      <c r="E148" s="5">
        <f t="shared" si="5"/>
        <v>2532223.7000000002</v>
      </c>
      <c r="F148" s="4" t="s">
        <v>50</v>
      </c>
    </row>
    <row r="149" spans="1:6" ht="16" x14ac:dyDescent="0.2">
      <c r="A149" s="13">
        <v>45859</v>
      </c>
      <c r="B149" s="4" t="s">
        <v>46</v>
      </c>
      <c r="C149" s="5">
        <v>3178201</v>
      </c>
      <c r="D149" s="5">
        <f t="shared" si="6"/>
        <v>2596065.1428571427</v>
      </c>
      <c r="E149" s="5">
        <f t="shared" si="5"/>
        <v>2586167.7000000002</v>
      </c>
      <c r="F149" s="4" t="s">
        <v>41</v>
      </c>
    </row>
    <row r="150" spans="1:6" ht="16" x14ac:dyDescent="0.2">
      <c r="A150" s="13">
        <v>45860</v>
      </c>
      <c r="B150" s="4" t="s">
        <v>48</v>
      </c>
      <c r="C150" s="5">
        <v>3117630</v>
      </c>
      <c r="D150" s="5">
        <f t="shared" si="6"/>
        <v>2568612.4285714286</v>
      </c>
      <c r="E150" s="5">
        <f t="shared" si="5"/>
        <v>2613573.2999999998</v>
      </c>
      <c r="F150" s="4" t="s">
        <v>41</v>
      </c>
    </row>
    <row r="151" spans="1:6" ht="16" x14ac:dyDescent="0.2">
      <c r="A151" s="13">
        <v>45861</v>
      </c>
      <c r="B151" s="4" t="s">
        <v>40</v>
      </c>
      <c r="C151" s="5">
        <v>3120125</v>
      </c>
      <c r="D151" s="5">
        <f t="shared" si="6"/>
        <v>2569582.7142857141</v>
      </c>
      <c r="E151" s="5">
        <f t="shared" si="5"/>
        <v>2612024.8333333335</v>
      </c>
      <c r="F151" s="4" t="s">
        <v>41</v>
      </c>
    </row>
    <row r="152" spans="1:6" ht="16" x14ac:dyDescent="0.2">
      <c r="A152" s="13">
        <v>45862</v>
      </c>
      <c r="B152" s="4" t="s">
        <v>45</v>
      </c>
      <c r="C152" s="5">
        <v>3105297</v>
      </c>
      <c r="D152" s="5">
        <f t="shared" si="6"/>
        <v>2577034</v>
      </c>
      <c r="E152" s="5">
        <f t="shared" si="5"/>
        <v>2608671.4666666668</v>
      </c>
      <c r="F152" s="4" t="s">
        <v>41</v>
      </c>
    </row>
    <row r="153" spans="1:6" ht="16" x14ac:dyDescent="0.2">
      <c r="A153" s="13">
        <v>45863</v>
      </c>
      <c r="B153" s="4" t="s">
        <v>47</v>
      </c>
      <c r="C153" s="5">
        <v>1872562</v>
      </c>
      <c r="D153" s="5">
        <f t="shared" si="6"/>
        <v>2588596.8571428573</v>
      </c>
      <c r="E153" s="5">
        <f t="shared" si="5"/>
        <v>2566201.1333333333</v>
      </c>
      <c r="F153" s="4" t="s">
        <v>41</v>
      </c>
    </row>
    <row r="154" spans="1:6" ht="16" x14ac:dyDescent="0.2">
      <c r="A154" s="13">
        <v>45864</v>
      </c>
      <c r="B154" s="4" t="s">
        <v>49</v>
      </c>
      <c r="C154" s="5">
        <v>1455875</v>
      </c>
      <c r="D154" s="5">
        <f t="shared" si="6"/>
        <v>2591771</v>
      </c>
      <c r="E154" s="5">
        <f t="shared" si="5"/>
        <v>2512524.1666666665</v>
      </c>
      <c r="F154" s="4" t="s">
        <v>50</v>
      </c>
    </row>
    <row r="155" spans="1:6" ht="16" x14ac:dyDescent="0.2">
      <c r="A155" s="13">
        <v>45865</v>
      </c>
      <c r="B155" s="4" t="s">
        <v>51</v>
      </c>
      <c r="C155" s="5">
        <v>2509568</v>
      </c>
      <c r="D155" s="5">
        <f t="shared" si="6"/>
        <v>2622751.1428571427</v>
      </c>
      <c r="E155" s="5">
        <f t="shared" si="5"/>
        <v>2534883.0333333332</v>
      </c>
      <c r="F155" s="4" t="s">
        <v>50</v>
      </c>
    </row>
    <row r="156" spans="1:6" ht="16" x14ac:dyDescent="0.2">
      <c r="A156" s="13">
        <v>45866</v>
      </c>
      <c r="B156" s="4" t="s">
        <v>46</v>
      </c>
      <c r="C156" s="5">
        <v>3321526</v>
      </c>
      <c r="D156" s="5">
        <f t="shared" si="6"/>
        <v>2643226.1428571427</v>
      </c>
      <c r="E156" s="5">
        <f t="shared" si="5"/>
        <v>2596144.4333333331</v>
      </c>
      <c r="F156" s="4" t="s">
        <v>41</v>
      </c>
    </row>
    <row r="157" spans="1:6" ht="16" x14ac:dyDescent="0.2">
      <c r="A157" s="13">
        <v>45867</v>
      </c>
      <c r="B157" s="4" t="s">
        <v>48</v>
      </c>
      <c r="C157" s="5">
        <v>3345736</v>
      </c>
      <c r="D157" s="5">
        <f t="shared" si="6"/>
        <v>2675812.7142857141</v>
      </c>
      <c r="E157" s="5">
        <f t="shared" si="5"/>
        <v>2626933.7666666666</v>
      </c>
      <c r="F157" s="4" t="s">
        <v>41</v>
      </c>
    </row>
    <row r="158" spans="1:6" ht="16" x14ac:dyDescent="0.2">
      <c r="A158" s="13">
        <v>45868</v>
      </c>
      <c r="B158" s="4" t="s">
        <v>40</v>
      </c>
      <c r="C158" s="5">
        <v>3136249</v>
      </c>
      <c r="D158" s="5">
        <f t="shared" si="6"/>
        <v>2678116.1428571427</v>
      </c>
      <c r="E158" s="5">
        <f t="shared" si="5"/>
        <v>2625519.7000000002</v>
      </c>
      <c r="F158" s="4" t="s">
        <v>41</v>
      </c>
    </row>
    <row r="159" spans="1:6" ht="16" x14ac:dyDescent="0.2">
      <c r="A159" s="13">
        <v>45869</v>
      </c>
      <c r="B159" s="4" t="s">
        <v>45</v>
      </c>
      <c r="C159" s="5">
        <v>3148911</v>
      </c>
      <c r="D159" s="5">
        <f t="shared" si="6"/>
        <v>2684346.7142857141</v>
      </c>
      <c r="E159" s="5">
        <f t="shared" si="5"/>
        <v>2625428.7000000002</v>
      </c>
      <c r="F159" s="4" t="s">
        <v>41</v>
      </c>
    </row>
    <row r="160" spans="1:6" ht="16" x14ac:dyDescent="0.2">
      <c r="A160" s="13">
        <v>45870</v>
      </c>
      <c r="B160" s="4" t="s">
        <v>47</v>
      </c>
      <c r="C160" s="5">
        <v>2023987</v>
      </c>
      <c r="D160" s="5">
        <f t="shared" si="6"/>
        <v>2705978.8571428573</v>
      </c>
      <c r="E160" s="5">
        <f t="shared" si="5"/>
        <v>2588812.4</v>
      </c>
      <c r="F160" s="4" t="s">
        <v>41</v>
      </c>
    </row>
    <row r="161" spans="1:6" ht="16" x14ac:dyDescent="0.2">
      <c r="A161" s="13">
        <v>45871</v>
      </c>
      <c r="B161" s="4" t="s">
        <v>49</v>
      </c>
      <c r="C161" s="5">
        <v>1484815</v>
      </c>
      <c r="D161" s="5">
        <f t="shared" si="6"/>
        <v>2710113.1428571427</v>
      </c>
      <c r="E161" s="5">
        <f t="shared" ref="E161:E224" si="7">AVERAGE(C132:C161)</f>
        <v>2544816.2333333334</v>
      </c>
      <c r="F161" s="4" t="s">
        <v>50</v>
      </c>
    </row>
    <row r="162" spans="1:6" ht="16" x14ac:dyDescent="0.2">
      <c r="A162" s="13">
        <v>45872</v>
      </c>
      <c r="B162" s="4" t="s">
        <v>51</v>
      </c>
      <c r="C162" s="5">
        <v>2466427</v>
      </c>
      <c r="D162" s="5">
        <f t="shared" si="6"/>
        <v>2703950.1428571427</v>
      </c>
      <c r="E162" s="5">
        <f t="shared" si="7"/>
        <v>2588141.9</v>
      </c>
      <c r="F162" s="4" t="s">
        <v>50</v>
      </c>
    </row>
    <row r="163" spans="1:6" ht="16" x14ac:dyDescent="0.2">
      <c r="A163" s="13">
        <v>45873</v>
      </c>
      <c r="B163" s="4" t="s">
        <v>46</v>
      </c>
      <c r="C163" s="5">
        <v>3334400</v>
      </c>
      <c r="D163" s="5">
        <f t="shared" si="6"/>
        <v>2705789.2857142859</v>
      </c>
      <c r="E163" s="5">
        <f t="shared" si="7"/>
        <v>2645050.6</v>
      </c>
      <c r="F163" s="4" t="s">
        <v>41</v>
      </c>
    </row>
    <row r="164" spans="1:6" ht="16" x14ac:dyDescent="0.2">
      <c r="A164" s="13">
        <v>45874</v>
      </c>
      <c r="B164" s="4" t="s">
        <v>48</v>
      </c>
      <c r="C164" s="5">
        <v>3246672</v>
      </c>
      <c r="D164" s="5">
        <f t="shared" si="6"/>
        <v>2691637.2857142859</v>
      </c>
      <c r="E164" s="5">
        <f t="shared" si="7"/>
        <v>2685984.9333333331</v>
      </c>
      <c r="F164" s="4" t="s">
        <v>41</v>
      </c>
    </row>
    <row r="165" spans="1:6" ht="16" x14ac:dyDescent="0.2">
      <c r="A165" s="13">
        <v>45875</v>
      </c>
      <c r="B165" s="4" t="s">
        <v>40</v>
      </c>
      <c r="C165" s="5">
        <v>3255849</v>
      </c>
      <c r="D165" s="5">
        <f t="shared" si="6"/>
        <v>2708723</v>
      </c>
      <c r="E165" s="5">
        <f t="shared" si="7"/>
        <v>2688859.5666666669</v>
      </c>
      <c r="F165" s="4" t="s">
        <v>41</v>
      </c>
    </row>
    <row r="166" spans="1:6" ht="16" x14ac:dyDescent="0.2">
      <c r="A166" s="13">
        <v>45876</v>
      </c>
      <c r="B166" s="4" t="s">
        <v>45</v>
      </c>
      <c r="C166" s="5">
        <v>3262632</v>
      </c>
      <c r="D166" s="5">
        <f t="shared" si="6"/>
        <v>2724968.8571428573</v>
      </c>
      <c r="E166" s="5">
        <f t="shared" si="7"/>
        <v>2678500.2666666666</v>
      </c>
      <c r="F166" s="4" t="s">
        <v>41</v>
      </c>
    </row>
    <row r="167" spans="1:6" ht="16" x14ac:dyDescent="0.2">
      <c r="A167" s="13">
        <v>45877</v>
      </c>
      <c r="B167" s="4" t="s">
        <v>47</v>
      </c>
      <c r="C167" s="5">
        <v>2000501</v>
      </c>
      <c r="D167" s="5">
        <f t="shared" si="6"/>
        <v>2721613.7142857141</v>
      </c>
      <c r="E167" s="5">
        <f t="shared" si="7"/>
        <v>2642249.0333333332</v>
      </c>
      <c r="F167" s="4" t="s">
        <v>41</v>
      </c>
    </row>
    <row r="168" spans="1:6" ht="16" x14ac:dyDescent="0.2">
      <c r="A168" s="13">
        <v>45878</v>
      </c>
      <c r="B168" s="4" t="s">
        <v>49</v>
      </c>
      <c r="C168" s="5">
        <v>1521872</v>
      </c>
      <c r="D168" s="5">
        <f t="shared" si="6"/>
        <v>2726907.5714285714</v>
      </c>
      <c r="E168" s="5">
        <f t="shared" si="7"/>
        <v>2593712.7333333334</v>
      </c>
      <c r="F168" s="4" t="s">
        <v>50</v>
      </c>
    </row>
    <row r="169" spans="1:6" ht="16" x14ac:dyDescent="0.2">
      <c r="A169" s="13">
        <v>45879</v>
      </c>
      <c r="B169" s="4" t="s">
        <v>51</v>
      </c>
      <c r="C169" s="5">
        <v>2456769</v>
      </c>
      <c r="D169" s="5">
        <f t="shared" si="6"/>
        <v>2725527.8571428573</v>
      </c>
      <c r="E169" s="5">
        <f t="shared" si="7"/>
        <v>2618977.0666666669</v>
      </c>
      <c r="F169" s="4" t="s">
        <v>50</v>
      </c>
    </row>
    <row r="170" spans="1:6" ht="16" x14ac:dyDescent="0.2">
      <c r="A170" s="13">
        <v>45880</v>
      </c>
      <c r="B170" s="4" t="s">
        <v>46</v>
      </c>
      <c r="C170" s="5">
        <v>3361886</v>
      </c>
      <c r="D170" s="5">
        <f t="shared" si="6"/>
        <v>2729454.4285714286</v>
      </c>
      <c r="E170" s="5">
        <f t="shared" si="7"/>
        <v>2678349.6</v>
      </c>
      <c r="F170" s="4" t="s">
        <v>41</v>
      </c>
    </row>
    <row r="171" spans="1:6" ht="16" x14ac:dyDescent="0.2">
      <c r="A171" s="13">
        <v>45881</v>
      </c>
      <c r="B171" s="4" t="s">
        <v>48</v>
      </c>
      <c r="C171" s="5">
        <v>3389225</v>
      </c>
      <c r="D171" s="5">
        <f t="shared" si="6"/>
        <v>2749819.1428571427</v>
      </c>
      <c r="E171" s="5">
        <f t="shared" si="7"/>
        <v>2712777</v>
      </c>
      <c r="F171" s="4" t="s">
        <v>41</v>
      </c>
    </row>
    <row r="172" spans="1:6" ht="16" x14ac:dyDescent="0.2">
      <c r="A172" s="13">
        <v>45882</v>
      </c>
      <c r="B172" s="4" t="s">
        <v>40</v>
      </c>
      <c r="C172" s="5">
        <v>3209317</v>
      </c>
      <c r="D172" s="5">
        <f t="shared" si="6"/>
        <v>2743171.7142857141</v>
      </c>
      <c r="E172" s="5">
        <f t="shared" si="7"/>
        <v>2710676.2333333334</v>
      </c>
      <c r="F172" s="4" t="s">
        <v>41</v>
      </c>
    </row>
    <row r="173" spans="1:6" ht="16" x14ac:dyDescent="0.2">
      <c r="A173" s="13">
        <v>45883</v>
      </c>
      <c r="B173" s="4" t="s">
        <v>45</v>
      </c>
      <c r="C173" s="5">
        <v>3346066</v>
      </c>
      <c r="D173" s="5">
        <f t="shared" si="6"/>
        <v>2755090.8571428573</v>
      </c>
      <c r="E173" s="5">
        <f t="shared" si="7"/>
        <v>2711885.1333333333</v>
      </c>
      <c r="F173" s="4" t="s">
        <v>41</v>
      </c>
    </row>
    <row r="174" spans="1:6" ht="16" x14ac:dyDescent="0.2">
      <c r="A174" s="13">
        <v>45884</v>
      </c>
      <c r="B174" s="4" t="s">
        <v>47</v>
      </c>
      <c r="C174" s="5">
        <v>1918519</v>
      </c>
      <c r="D174" s="5">
        <f t="shared" si="6"/>
        <v>2743379.1428571427</v>
      </c>
      <c r="E174" s="5">
        <f t="shared" si="7"/>
        <v>2672058</v>
      </c>
      <c r="F174" s="4" t="s">
        <v>41</v>
      </c>
    </row>
    <row r="175" spans="1:6" ht="16" x14ac:dyDescent="0.2">
      <c r="A175" s="13">
        <v>45885</v>
      </c>
      <c r="B175" s="4" t="s">
        <v>49</v>
      </c>
      <c r="C175" s="5">
        <v>1586434</v>
      </c>
      <c r="D175" s="5">
        <f t="shared" si="6"/>
        <v>2752602.2857142859</v>
      </c>
      <c r="E175" s="5">
        <f t="shared" si="7"/>
        <v>2623167.8666666667</v>
      </c>
      <c r="F175" s="4" t="s">
        <v>50</v>
      </c>
    </row>
    <row r="176" spans="1:6" ht="16" x14ac:dyDescent="0.2">
      <c r="A176" s="13">
        <v>45886</v>
      </c>
      <c r="B176" s="4" t="s">
        <v>51</v>
      </c>
      <c r="C176" s="5">
        <v>2419507</v>
      </c>
      <c r="D176" s="5">
        <f t="shared" si="6"/>
        <v>2747279.1428571427</v>
      </c>
      <c r="E176" s="5">
        <f t="shared" si="7"/>
        <v>2644097.3666666667</v>
      </c>
      <c r="F176" s="4" t="s">
        <v>50</v>
      </c>
    </row>
    <row r="177" spans="1:6" ht="16" x14ac:dyDescent="0.2">
      <c r="A177" s="13">
        <v>45887</v>
      </c>
      <c r="B177" s="4" t="s">
        <v>46</v>
      </c>
      <c r="C177" s="5">
        <v>3389499</v>
      </c>
      <c r="D177" s="5">
        <f t="shared" si="6"/>
        <v>2751223.8571428573</v>
      </c>
      <c r="E177" s="5">
        <f t="shared" si="7"/>
        <v>2709292.1333333333</v>
      </c>
      <c r="F177" s="4" t="s">
        <v>41</v>
      </c>
    </row>
    <row r="178" spans="1:6" ht="16" x14ac:dyDescent="0.2">
      <c r="A178" s="13">
        <v>45888</v>
      </c>
      <c r="B178" s="4" t="s">
        <v>48</v>
      </c>
      <c r="C178" s="5">
        <v>3215276</v>
      </c>
      <c r="D178" s="5">
        <f t="shared" si="6"/>
        <v>2726374</v>
      </c>
      <c r="E178" s="5">
        <f t="shared" si="7"/>
        <v>2740044.4333333331</v>
      </c>
      <c r="F178" s="4" t="s">
        <v>41</v>
      </c>
    </row>
    <row r="179" spans="1:6" ht="16" x14ac:dyDescent="0.2">
      <c r="A179" s="13">
        <v>45889</v>
      </c>
      <c r="B179" s="4" t="s">
        <v>40</v>
      </c>
      <c r="C179" s="5">
        <v>3111127</v>
      </c>
      <c r="D179" s="5">
        <f t="shared" si="6"/>
        <v>2712346.8571428573</v>
      </c>
      <c r="E179" s="5">
        <f t="shared" si="7"/>
        <v>2737808.6333333333</v>
      </c>
      <c r="F179" s="4" t="s">
        <v>41</v>
      </c>
    </row>
    <row r="180" spans="1:6" ht="16" x14ac:dyDescent="0.2">
      <c r="A180" s="13">
        <v>45890</v>
      </c>
      <c r="B180" s="4" t="s">
        <v>45</v>
      </c>
      <c r="C180" s="5">
        <v>3074762</v>
      </c>
      <c r="D180" s="5">
        <f t="shared" si="6"/>
        <v>2673589.1428571427</v>
      </c>
      <c r="E180" s="5">
        <f t="shared" si="7"/>
        <v>2736379.7</v>
      </c>
      <c r="F180" s="4" t="s">
        <v>41</v>
      </c>
    </row>
    <row r="181" spans="1:6" ht="16" x14ac:dyDescent="0.2">
      <c r="A181" s="13">
        <v>45891</v>
      </c>
      <c r="B181" s="4" t="s">
        <v>47</v>
      </c>
      <c r="C181" s="5">
        <v>1768893</v>
      </c>
      <c r="D181" s="5">
        <f t="shared" si="6"/>
        <v>2652214</v>
      </c>
      <c r="E181" s="5">
        <f t="shared" si="7"/>
        <v>2691338.6333333333</v>
      </c>
      <c r="F181" s="4" t="s">
        <v>41</v>
      </c>
    </row>
    <row r="182" spans="1:6" ht="16" x14ac:dyDescent="0.2">
      <c r="A182" s="13">
        <v>45892</v>
      </c>
      <c r="B182" s="4" t="s">
        <v>49</v>
      </c>
      <c r="C182" s="5">
        <v>1536066</v>
      </c>
      <c r="D182" s="5">
        <f t="shared" si="6"/>
        <v>2645018.5714285714</v>
      </c>
      <c r="E182" s="5">
        <f t="shared" si="7"/>
        <v>2639030.9333333331</v>
      </c>
      <c r="F182" s="4" t="s">
        <v>50</v>
      </c>
    </row>
    <row r="183" spans="1:6" ht="16" x14ac:dyDescent="0.2">
      <c r="A183" s="13">
        <v>45893</v>
      </c>
      <c r="B183" s="4" t="s">
        <v>51</v>
      </c>
      <c r="C183" s="5">
        <v>2576694</v>
      </c>
      <c r="D183" s="5">
        <f t="shared" si="6"/>
        <v>2667473.8571428573</v>
      </c>
      <c r="E183" s="5">
        <f t="shared" si="7"/>
        <v>2662502</v>
      </c>
      <c r="F183" s="4" t="s">
        <v>50</v>
      </c>
    </row>
    <row r="184" spans="1:6" ht="16" x14ac:dyDescent="0.2">
      <c r="A184" s="13">
        <v>45894</v>
      </c>
      <c r="B184" s="4" t="s">
        <v>46</v>
      </c>
      <c r="C184" s="5">
        <v>3319040</v>
      </c>
      <c r="D184" s="5">
        <f t="shared" si="6"/>
        <v>2657408.2857142859</v>
      </c>
      <c r="E184" s="5">
        <f t="shared" si="7"/>
        <v>2724607.5</v>
      </c>
      <c r="F184" s="4" t="s">
        <v>41</v>
      </c>
    </row>
    <row r="185" spans="1:6" ht="16" x14ac:dyDescent="0.2">
      <c r="A185" s="13">
        <v>45895</v>
      </c>
      <c r="B185" s="4" t="s">
        <v>48</v>
      </c>
      <c r="C185" s="5">
        <v>3435280</v>
      </c>
      <c r="D185" s="5">
        <f t="shared" si="6"/>
        <v>2688837.4285714286</v>
      </c>
      <c r="E185" s="5">
        <f t="shared" si="7"/>
        <v>2755464.5666666669</v>
      </c>
      <c r="F185" s="4" t="s">
        <v>41</v>
      </c>
    </row>
    <row r="186" spans="1:6" ht="16" x14ac:dyDescent="0.2">
      <c r="A186" s="13">
        <v>45896</v>
      </c>
      <c r="B186" s="4" t="s">
        <v>40</v>
      </c>
      <c r="C186" s="5">
        <v>3218109</v>
      </c>
      <c r="D186" s="5">
        <f t="shared" si="6"/>
        <v>2704120.5714285714</v>
      </c>
      <c r="E186" s="5">
        <f t="shared" si="7"/>
        <v>2752017.3333333335</v>
      </c>
      <c r="F186" s="4" t="s">
        <v>41</v>
      </c>
    </row>
    <row r="187" spans="1:6" ht="16" x14ac:dyDescent="0.2">
      <c r="A187" s="13">
        <v>45897</v>
      </c>
      <c r="B187" s="4" t="s">
        <v>45</v>
      </c>
      <c r="C187" s="5">
        <v>3194342</v>
      </c>
      <c r="D187" s="5">
        <f t="shared" si="6"/>
        <v>2721203.4285714286</v>
      </c>
      <c r="E187" s="5">
        <f t="shared" si="7"/>
        <v>2746970.8666666667</v>
      </c>
      <c r="F187" s="4" t="s">
        <v>41</v>
      </c>
    </row>
    <row r="188" spans="1:6" ht="16" x14ac:dyDescent="0.2">
      <c r="A188" s="13">
        <v>45898</v>
      </c>
      <c r="B188" s="4" t="s">
        <v>47</v>
      </c>
      <c r="C188" s="5">
        <v>1885045</v>
      </c>
      <c r="D188" s="5">
        <f t="shared" si="6"/>
        <v>2737796.5714285714</v>
      </c>
      <c r="E188" s="5">
        <f t="shared" si="7"/>
        <v>2705264.0666666669</v>
      </c>
      <c r="F188" s="4" t="s">
        <v>41</v>
      </c>
    </row>
    <row r="189" spans="1:6" ht="16" x14ac:dyDescent="0.2">
      <c r="A189" s="13">
        <v>45899</v>
      </c>
      <c r="B189" s="4" t="s">
        <v>49</v>
      </c>
      <c r="C189" s="5">
        <v>1534214</v>
      </c>
      <c r="D189" s="5">
        <f t="shared" si="6"/>
        <v>2737532</v>
      </c>
      <c r="E189" s="5">
        <f t="shared" si="7"/>
        <v>2651440.8333333335</v>
      </c>
      <c r="F189" s="4" t="s">
        <v>50</v>
      </c>
    </row>
    <row r="190" spans="1:6" ht="16" x14ac:dyDescent="0.2">
      <c r="A190" s="13">
        <v>45900</v>
      </c>
      <c r="B190" s="4" t="s">
        <v>51</v>
      </c>
      <c r="C190" s="5">
        <v>2281552</v>
      </c>
      <c r="D190" s="5">
        <f t="shared" si="6"/>
        <v>2695368.8571428573</v>
      </c>
      <c r="E190" s="5">
        <f t="shared" si="7"/>
        <v>2660026.3333333335</v>
      </c>
      <c r="F190" s="4" t="s">
        <v>50</v>
      </c>
    </row>
    <row r="191" spans="1:6" ht="16" x14ac:dyDescent="0.2">
      <c r="A191" s="13">
        <v>45901</v>
      </c>
      <c r="B191" s="4" t="s">
        <v>46</v>
      </c>
      <c r="C191" s="5">
        <v>1192959</v>
      </c>
      <c r="D191" s="5">
        <f t="shared" si="6"/>
        <v>2391643</v>
      </c>
      <c r="E191" s="5">
        <f t="shared" si="7"/>
        <v>2650297.7999999998</v>
      </c>
      <c r="F191" s="4" t="s">
        <v>41</v>
      </c>
    </row>
    <row r="192" spans="1:6" ht="16" x14ac:dyDescent="0.2">
      <c r="A192" s="13">
        <v>45902</v>
      </c>
      <c r="B192" s="4" t="s">
        <v>48</v>
      </c>
      <c r="C192" s="5">
        <v>3403494</v>
      </c>
      <c r="D192" s="5">
        <f t="shared" si="6"/>
        <v>2387102.1428571427</v>
      </c>
      <c r="E192" s="5">
        <f t="shared" si="7"/>
        <v>2681533.3666666667</v>
      </c>
      <c r="F192" s="4" t="s">
        <v>41</v>
      </c>
    </row>
    <row r="193" spans="1:6" ht="16" x14ac:dyDescent="0.2">
      <c r="A193" s="13">
        <v>45903</v>
      </c>
      <c r="B193" s="4" t="s">
        <v>40</v>
      </c>
      <c r="C193" s="5">
        <v>3356439</v>
      </c>
      <c r="D193" s="5">
        <f t="shared" si="6"/>
        <v>2406863.5714285714</v>
      </c>
      <c r="E193" s="5">
        <f t="shared" si="7"/>
        <v>2682268</v>
      </c>
      <c r="F193" s="4" t="s">
        <v>41</v>
      </c>
    </row>
    <row r="194" spans="1:6" ht="16" x14ac:dyDescent="0.2">
      <c r="A194" s="13">
        <v>45904</v>
      </c>
      <c r="B194" s="4" t="s">
        <v>45</v>
      </c>
      <c r="C194" s="5">
        <v>3318489</v>
      </c>
      <c r="D194" s="5">
        <f t="shared" si="6"/>
        <v>2424598.8571428573</v>
      </c>
      <c r="E194" s="5">
        <f t="shared" si="7"/>
        <v>2684661.9</v>
      </c>
      <c r="F194" s="4" t="s">
        <v>41</v>
      </c>
    </row>
    <row r="195" spans="1:6" ht="16" x14ac:dyDescent="0.2">
      <c r="A195" s="13">
        <v>45905</v>
      </c>
      <c r="B195" s="4" t="s">
        <v>47</v>
      </c>
      <c r="C195" s="5">
        <v>1964848</v>
      </c>
      <c r="D195" s="5">
        <f t="shared" si="6"/>
        <v>2435999.2857142859</v>
      </c>
      <c r="E195" s="5">
        <f t="shared" si="7"/>
        <v>2641628.5333333332</v>
      </c>
      <c r="F195" s="4" t="s">
        <v>41</v>
      </c>
    </row>
    <row r="196" spans="1:6" ht="16" x14ac:dyDescent="0.2">
      <c r="A196" s="13">
        <v>45906</v>
      </c>
      <c r="B196" s="4" t="s">
        <v>49</v>
      </c>
      <c r="C196" s="5">
        <v>1565541</v>
      </c>
      <c r="D196" s="5">
        <f t="shared" si="6"/>
        <v>2440474.5714285714</v>
      </c>
      <c r="E196" s="5">
        <f t="shared" si="7"/>
        <v>2585058.8333333335</v>
      </c>
      <c r="F196" s="4" t="s">
        <v>50</v>
      </c>
    </row>
    <row r="197" spans="1:6" ht="16" x14ac:dyDescent="0.2">
      <c r="A197" s="13">
        <v>45907</v>
      </c>
      <c r="B197" s="4" t="s">
        <v>51</v>
      </c>
      <c r="C197" s="5">
        <v>2638187</v>
      </c>
      <c r="D197" s="5">
        <f t="shared" si="6"/>
        <v>2491422.4285714286</v>
      </c>
      <c r="E197" s="5">
        <f t="shared" si="7"/>
        <v>2606315.0333333332</v>
      </c>
      <c r="F197" s="4" t="s">
        <v>50</v>
      </c>
    </row>
    <row r="198" spans="1:6" ht="16" x14ac:dyDescent="0.2">
      <c r="A198" s="13">
        <v>45908</v>
      </c>
      <c r="B198" s="4" t="s">
        <v>46</v>
      </c>
      <c r="C198" s="5">
        <v>3440425</v>
      </c>
      <c r="D198" s="5">
        <f t="shared" si="6"/>
        <v>2812489</v>
      </c>
      <c r="E198" s="5">
        <f t="shared" si="7"/>
        <v>2670266.7999999998</v>
      </c>
      <c r="F198" s="4" t="s">
        <v>41</v>
      </c>
    </row>
    <row r="199" spans="1:6" ht="16" x14ac:dyDescent="0.2">
      <c r="A199" s="13">
        <v>45909</v>
      </c>
      <c r="B199" s="4" t="s">
        <v>48</v>
      </c>
      <c r="C199" s="5">
        <v>3641440</v>
      </c>
      <c r="D199" s="5">
        <f t="shared" si="6"/>
        <v>2846481.2857142859</v>
      </c>
      <c r="E199" s="5">
        <f t="shared" si="7"/>
        <v>2709755.8333333335</v>
      </c>
      <c r="F199" s="4" t="s">
        <v>41</v>
      </c>
    </row>
    <row r="200" spans="1:6" ht="16" x14ac:dyDescent="0.2">
      <c r="A200" s="13">
        <v>45910</v>
      </c>
      <c r="B200" s="4" t="s">
        <v>40</v>
      </c>
      <c r="C200" s="5">
        <v>3671630</v>
      </c>
      <c r="D200" s="5">
        <f t="shared" si="6"/>
        <v>2891508.5714285714</v>
      </c>
      <c r="E200" s="5">
        <f t="shared" si="7"/>
        <v>2720080.6333333333</v>
      </c>
      <c r="F200" s="4" t="s">
        <v>41</v>
      </c>
    </row>
    <row r="201" spans="1:6" ht="16" x14ac:dyDescent="0.2">
      <c r="A201" s="13">
        <v>45911</v>
      </c>
      <c r="B201" s="4" t="s">
        <v>45</v>
      </c>
      <c r="C201" s="5">
        <v>3663534</v>
      </c>
      <c r="D201" s="5">
        <f t="shared" si="6"/>
        <v>2940800.7142857141</v>
      </c>
      <c r="E201" s="5">
        <f t="shared" si="7"/>
        <v>2729224.2666666666</v>
      </c>
      <c r="F201" s="4" t="s">
        <v>41</v>
      </c>
    </row>
    <row r="202" spans="1:6" ht="16" x14ac:dyDescent="0.2">
      <c r="A202" s="13">
        <v>45912</v>
      </c>
      <c r="B202" s="4" t="s">
        <v>47</v>
      </c>
      <c r="C202" s="5">
        <v>1820236</v>
      </c>
      <c r="D202" s="5">
        <f t="shared" ref="D202:D265" si="8">AVERAGE(C196:C202)</f>
        <v>2920141.8571428573</v>
      </c>
      <c r="E202" s="5">
        <f t="shared" si="7"/>
        <v>2682921.5666666669</v>
      </c>
      <c r="F202" s="4" t="s">
        <v>41</v>
      </c>
    </row>
    <row r="203" spans="1:6" ht="16" x14ac:dyDescent="0.2">
      <c r="A203" s="13">
        <v>45913</v>
      </c>
      <c r="B203" s="4" t="s">
        <v>49</v>
      </c>
      <c r="C203" s="5">
        <v>1511269</v>
      </c>
      <c r="D203" s="5">
        <f t="shared" si="8"/>
        <v>2912388.7142857141</v>
      </c>
      <c r="E203" s="5">
        <f t="shared" si="7"/>
        <v>2621761.6666666665</v>
      </c>
      <c r="F203" s="4" t="s">
        <v>50</v>
      </c>
    </row>
    <row r="204" spans="1:6" ht="16" x14ac:dyDescent="0.2">
      <c r="A204" s="13">
        <v>45914</v>
      </c>
      <c r="B204" s="4" t="s">
        <v>51</v>
      </c>
      <c r="C204" s="5">
        <v>2621485</v>
      </c>
      <c r="D204" s="5">
        <f t="shared" si="8"/>
        <v>2910002.7142857141</v>
      </c>
      <c r="E204" s="5">
        <f t="shared" si="7"/>
        <v>2645193.8666666667</v>
      </c>
      <c r="F204" s="4" t="s">
        <v>50</v>
      </c>
    </row>
    <row r="205" spans="1:6" ht="16" x14ac:dyDescent="0.2">
      <c r="A205" s="13">
        <v>45915</v>
      </c>
      <c r="B205" s="4" t="s">
        <v>46</v>
      </c>
      <c r="C205" s="5">
        <v>3439972</v>
      </c>
      <c r="D205" s="5">
        <f t="shared" si="8"/>
        <v>2909938</v>
      </c>
      <c r="E205" s="5">
        <f t="shared" si="7"/>
        <v>2706978.4666666668</v>
      </c>
      <c r="F205" s="4" t="s">
        <v>41</v>
      </c>
    </row>
    <row r="206" spans="1:6" ht="16" x14ac:dyDescent="0.2">
      <c r="A206" s="13">
        <v>45916</v>
      </c>
      <c r="B206" s="4" t="s">
        <v>48</v>
      </c>
      <c r="C206" s="5">
        <v>3385654</v>
      </c>
      <c r="D206" s="5">
        <f t="shared" si="8"/>
        <v>2873397.1428571427</v>
      </c>
      <c r="E206" s="5">
        <f t="shared" si="7"/>
        <v>2739183.3666666667</v>
      </c>
      <c r="F206" s="4" t="s">
        <v>41</v>
      </c>
    </row>
    <row r="207" spans="1:6" ht="16" x14ac:dyDescent="0.2">
      <c r="A207" s="13">
        <v>45917</v>
      </c>
      <c r="B207" s="4" t="s">
        <v>40</v>
      </c>
      <c r="C207" s="5">
        <v>3576693</v>
      </c>
      <c r="D207" s="5">
        <f t="shared" si="8"/>
        <v>2859834.7142857141</v>
      </c>
      <c r="E207" s="5">
        <f t="shared" si="7"/>
        <v>2745423.1666666665</v>
      </c>
      <c r="F207" s="4" t="s">
        <v>41</v>
      </c>
    </row>
    <row r="208" spans="1:6" ht="16" x14ac:dyDescent="0.2">
      <c r="A208" s="13">
        <v>45918</v>
      </c>
      <c r="B208" s="4" t="s">
        <v>45</v>
      </c>
      <c r="C208" s="5">
        <v>3181391</v>
      </c>
      <c r="D208" s="5">
        <f t="shared" si="8"/>
        <v>2790957.1428571427</v>
      </c>
      <c r="E208" s="5">
        <f t="shared" si="7"/>
        <v>2744293.6666666665</v>
      </c>
      <c r="F208" s="4" t="s">
        <v>41</v>
      </c>
    </row>
    <row r="209" spans="1:6" ht="16" x14ac:dyDescent="0.2">
      <c r="A209" s="13">
        <v>45919</v>
      </c>
      <c r="B209" s="4" t="s">
        <v>47</v>
      </c>
      <c r="C209" s="5">
        <v>1882101</v>
      </c>
      <c r="D209" s="5">
        <f t="shared" si="8"/>
        <v>2799795</v>
      </c>
      <c r="E209" s="5">
        <f t="shared" si="7"/>
        <v>2703326.1333333333</v>
      </c>
      <c r="F209" s="4" t="s">
        <v>41</v>
      </c>
    </row>
    <row r="210" spans="1:6" ht="16" x14ac:dyDescent="0.2">
      <c r="A210" s="13">
        <v>45920</v>
      </c>
      <c r="B210" s="4" t="s">
        <v>49</v>
      </c>
      <c r="C210" s="5">
        <v>1517299</v>
      </c>
      <c r="D210" s="5">
        <f t="shared" si="8"/>
        <v>2800656.4285714286</v>
      </c>
      <c r="E210" s="5">
        <f t="shared" si="7"/>
        <v>2651410.7000000002</v>
      </c>
      <c r="F210" s="4" t="s">
        <v>50</v>
      </c>
    </row>
    <row r="211" spans="1:6" ht="16" x14ac:dyDescent="0.2">
      <c r="A211" s="13">
        <v>45921</v>
      </c>
      <c r="B211" s="4" t="s">
        <v>51</v>
      </c>
      <c r="C211" s="5">
        <v>2452672</v>
      </c>
      <c r="D211" s="5">
        <f t="shared" si="8"/>
        <v>2776540.2857142859</v>
      </c>
      <c r="E211" s="5">
        <f t="shared" si="7"/>
        <v>2674203.3333333335</v>
      </c>
      <c r="F211" s="4" t="s">
        <v>50</v>
      </c>
    </row>
    <row r="212" spans="1:6" ht="16" x14ac:dyDescent="0.2">
      <c r="A212" s="13">
        <v>45922</v>
      </c>
      <c r="B212" s="4" t="s">
        <v>46</v>
      </c>
      <c r="C212" s="5">
        <v>3229391</v>
      </c>
      <c r="D212" s="5">
        <f t="shared" si="8"/>
        <v>2746457.2857142859</v>
      </c>
      <c r="E212" s="5">
        <f t="shared" si="7"/>
        <v>2730647.5</v>
      </c>
      <c r="F212" s="4" t="s">
        <v>41</v>
      </c>
    </row>
    <row r="213" spans="1:6" ht="16" x14ac:dyDescent="0.2">
      <c r="A213" s="13">
        <v>45923</v>
      </c>
      <c r="B213" s="4" t="s">
        <v>48</v>
      </c>
      <c r="C213" s="5">
        <v>3266934</v>
      </c>
      <c r="D213" s="5">
        <f t="shared" si="8"/>
        <v>2729497.2857142859</v>
      </c>
      <c r="E213" s="5">
        <f t="shared" si="7"/>
        <v>2753655.5</v>
      </c>
      <c r="F213" s="4" t="s">
        <v>41</v>
      </c>
    </row>
    <row r="214" spans="1:6" ht="16" x14ac:dyDescent="0.2">
      <c r="A214" s="13">
        <v>45924</v>
      </c>
      <c r="B214" s="4" t="s">
        <v>40</v>
      </c>
      <c r="C214" s="5">
        <v>3360624</v>
      </c>
      <c r="D214" s="5">
        <f t="shared" si="8"/>
        <v>2698630.2857142859</v>
      </c>
      <c r="E214" s="5">
        <f t="shared" si="7"/>
        <v>2755041.6333333333</v>
      </c>
      <c r="F214" s="4" t="s">
        <v>41</v>
      </c>
    </row>
    <row r="215" spans="1:6" ht="16" x14ac:dyDescent="0.2">
      <c r="A215" s="13">
        <v>45925</v>
      </c>
      <c r="B215" s="4" t="s">
        <v>45</v>
      </c>
      <c r="C215" s="5">
        <v>3323209</v>
      </c>
      <c r="D215" s="5">
        <f t="shared" si="8"/>
        <v>2718890</v>
      </c>
      <c r="E215" s="5">
        <f t="shared" si="7"/>
        <v>2751305.9333333331</v>
      </c>
      <c r="F215" s="4" t="s">
        <v>41</v>
      </c>
    </row>
    <row r="216" spans="1:6" ht="16" x14ac:dyDescent="0.2">
      <c r="A216" s="13">
        <v>45926</v>
      </c>
      <c r="B216" s="4" t="s">
        <v>47</v>
      </c>
      <c r="C216" s="5">
        <v>1981622</v>
      </c>
      <c r="D216" s="5">
        <f t="shared" si="8"/>
        <v>2733107.2857142859</v>
      </c>
      <c r="E216" s="5">
        <f t="shared" si="7"/>
        <v>2710089.7</v>
      </c>
      <c r="F216" s="4" t="s">
        <v>41</v>
      </c>
    </row>
    <row r="217" spans="1:6" ht="16" x14ac:dyDescent="0.2">
      <c r="A217" s="13">
        <v>45927</v>
      </c>
      <c r="B217" s="4" t="s">
        <v>49</v>
      </c>
      <c r="C217" s="5">
        <v>1521398</v>
      </c>
      <c r="D217" s="5">
        <f t="shared" si="8"/>
        <v>2733692.8571428573</v>
      </c>
      <c r="E217" s="5">
        <f t="shared" si="7"/>
        <v>2654324.9</v>
      </c>
      <c r="F217" s="4" t="s">
        <v>50</v>
      </c>
    </row>
    <row r="218" spans="1:6" ht="16" x14ac:dyDescent="0.2">
      <c r="A218" s="13">
        <v>45928</v>
      </c>
      <c r="B218" s="4" t="s">
        <v>51</v>
      </c>
      <c r="C218" s="5">
        <v>2345313</v>
      </c>
      <c r="D218" s="5">
        <f t="shared" si="8"/>
        <v>2718355.8571428573</v>
      </c>
      <c r="E218" s="5">
        <f t="shared" si="7"/>
        <v>2669667.1666666665</v>
      </c>
      <c r="F218" s="4" t="s">
        <v>50</v>
      </c>
    </row>
    <row r="219" spans="1:6" ht="16" x14ac:dyDescent="0.2">
      <c r="A219" s="13">
        <v>45929</v>
      </c>
      <c r="B219" s="4" t="s">
        <v>46</v>
      </c>
      <c r="C219" s="5">
        <v>3055439</v>
      </c>
      <c r="D219" s="5">
        <f t="shared" si="8"/>
        <v>2693505.5714285714</v>
      </c>
      <c r="E219" s="5">
        <f t="shared" si="7"/>
        <v>2720374.6666666665</v>
      </c>
      <c r="F219" s="4" t="s">
        <v>41</v>
      </c>
    </row>
    <row r="220" spans="1:6" ht="16" x14ac:dyDescent="0.2">
      <c r="A220" s="13">
        <v>45930</v>
      </c>
      <c r="B220" s="4" t="s">
        <v>48</v>
      </c>
      <c r="C220" s="5">
        <v>3359211</v>
      </c>
      <c r="D220" s="5">
        <f t="shared" si="8"/>
        <v>2706688</v>
      </c>
      <c r="E220" s="5">
        <f t="shared" si="7"/>
        <v>2756296.6333333333</v>
      </c>
      <c r="F220" s="4" t="s">
        <v>41</v>
      </c>
    </row>
    <row r="221" spans="1:6" ht="16" x14ac:dyDescent="0.2">
      <c r="A221" s="13">
        <v>45931</v>
      </c>
      <c r="B221" s="4" t="s">
        <v>40</v>
      </c>
      <c r="C221" s="5">
        <v>3397397</v>
      </c>
      <c r="D221" s="5">
        <f t="shared" si="8"/>
        <v>2711941.2857142859</v>
      </c>
      <c r="E221" s="5">
        <f t="shared" si="7"/>
        <v>2829777.9</v>
      </c>
      <c r="F221" s="4" t="s">
        <v>41</v>
      </c>
    </row>
    <row r="222" spans="1:6" ht="16" x14ac:dyDescent="0.2">
      <c r="A222" s="13">
        <v>45932</v>
      </c>
      <c r="B222" s="4" t="s">
        <v>45</v>
      </c>
      <c r="C222" s="5">
        <v>3097838</v>
      </c>
      <c r="D222" s="5">
        <f t="shared" si="8"/>
        <v>2679745.4285714286</v>
      </c>
      <c r="E222" s="5">
        <f t="shared" si="7"/>
        <v>2819589.3666666667</v>
      </c>
      <c r="F222" s="4" t="s">
        <v>41</v>
      </c>
    </row>
    <row r="223" spans="1:6" ht="16" x14ac:dyDescent="0.2">
      <c r="A223" s="13">
        <v>45933</v>
      </c>
      <c r="B223" s="4" t="s">
        <v>47</v>
      </c>
      <c r="C223" s="5">
        <v>1830067</v>
      </c>
      <c r="D223" s="5">
        <f t="shared" si="8"/>
        <v>2658094.7142857141</v>
      </c>
      <c r="E223" s="5">
        <f t="shared" si="7"/>
        <v>2768710.3</v>
      </c>
      <c r="F223" s="4" t="s">
        <v>41</v>
      </c>
    </row>
    <row r="224" spans="1:6" ht="16" x14ac:dyDescent="0.2">
      <c r="A224" s="13">
        <v>45934</v>
      </c>
      <c r="B224" s="4" t="s">
        <v>49</v>
      </c>
      <c r="C224" s="5">
        <v>1508585</v>
      </c>
      <c r="D224" s="5">
        <f t="shared" si="8"/>
        <v>2656264.2857142859</v>
      </c>
      <c r="E224" s="5">
        <f t="shared" si="7"/>
        <v>2708380.1666666665</v>
      </c>
      <c r="F224" s="4" t="s">
        <v>50</v>
      </c>
    </row>
    <row r="225" spans="1:6" ht="16" x14ac:dyDescent="0.2">
      <c r="A225" s="13">
        <v>45935</v>
      </c>
      <c r="B225" s="4" t="s">
        <v>51</v>
      </c>
      <c r="C225" s="5">
        <v>2492968</v>
      </c>
      <c r="D225" s="5">
        <f t="shared" si="8"/>
        <v>2677357.8571428573</v>
      </c>
      <c r="E225" s="5">
        <f t="shared" ref="E225:E288" si="9">AVERAGE(C196:C225)</f>
        <v>2725984.1666666665</v>
      </c>
      <c r="F225" s="4" t="s">
        <v>50</v>
      </c>
    </row>
    <row r="226" spans="1:6" ht="16" x14ac:dyDescent="0.2">
      <c r="A226" s="13">
        <v>45936</v>
      </c>
      <c r="B226" s="4" t="s">
        <v>46</v>
      </c>
      <c r="C226" s="5">
        <v>3257105</v>
      </c>
      <c r="D226" s="5">
        <f t="shared" si="8"/>
        <v>2706167.2857142859</v>
      </c>
      <c r="E226" s="5">
        <f t="shared" si="9"/>
        <v>2782369.6333333333</v>
      </c>
      <c r="F226" s="4" t="s">
        <v>41</v>
      </c>
    </row>
    <row r="227" spans="1:6" ht="16" x14ac:dyDescent="0.2">
      <c r="A227" s="13">
        <v>45937</v>
      </c>
      <c r="B227" s="4" t="s">
        <v>48</v>
      </c>
      <c r="C227" s="5">
        <v>3463835</v>
      </c>
      <c r="D227" s="5">
        <f t="shared" si="8"/>
        <v>2721113.5714285714</v>
      </c>
      <c r="E227" s="5">
        <f t="shared" si="9"/>
        <v>2809891.2333333334</v>
      </c>
      <c r="F227" s="4" t="s">
        <v>41</v>
      </c>
    </row>
    <row r="228" spans="1:6" ht="16" x14ac:dyDescent="0.2">
      <c r="A228" s="13">
        <v>45938</v>
      </c>
      <c r="B228" s="4" t="s">
        <v>40</v>
      </c>
      <c r="C228" s="5">
        <v>3481639</v>
      </c>
      <c r="D228" s="5">
        <f t="shared" si="8"/>
        <v>2733148.1428571427</v>
      </c>
      <c r="E228" s="5">
        <f t="shared" si="9"/>
        <v>2811265.0333333332</v>
      </c>
      <c r="F228" s="4" t="s">
        <v>41</v>
      </c>
    </row>
    <row r="229" spans="1:6" ht="16" x14ac:dyDescent="0.2">
      <c r="A229" s="13">
        <v>45939</v>
      </c>
      <c r="B229" s="4" t="s">
        <v>45</v>
      </c>
      <c r="C229" s="5">
        <v>3350701</v>
      </c>
      <c r="D229" s="5">
        <f t="shared" si="8"/>
        <v>2769271.4285714286</v>
      </c>
      <c r="E229" s="5">
        <f t="shared" si="9"/>
        <v>2801573.7333333334</v>
      </c>
      <c r="F229" s="4" t="s">
        <v>41</v>
      </c>
    </row>
    <row r="230" spans="1:6" ht="16" x14ac:dyDescent="0.2">
      <c r="A230" s="13">
        <v>45940</v>
      </c>
      <c r="B230" s="4" t="s">
        <v>47</v>
      </c>
      <c r="C230" s="5">
        <v>1935208</v>
      </c>
      <c r="D230" s="5">
        <f t="shared" si="8"/>
        <v>2784291.5714285714</v>
      </c>
      <c r="E230" s="5">
        <f t="shared" si="9"/>
        <v>2743693</v>
      </c>
      <c r="F230" s="4" t="s">
        <v>41</v>
      </c>
    </row>
    <row r="231" spans="1:6" ht="16" x14ac:dyDescent="0.2">
      <c r="A231" s="13">
        <v>45941</v>
      </c>
      <c r="B231" s="4" t="s">
        <v>49</v>
      </c>
      <c r="C231" s="5">
        <v>1580311</v>
      </c>
      <c r="D231" s="5">
        <f t="shared" si="8"/>
        <v>2794538.1428571427</v>
      </c>
      <c r="E231" s="5">
        <f t="shared" si="9"/>
        <v>2674252.2333333334</v>
      </c>
      <c r="F231" s="4" t="s">
        <v>50</v>
      </c>
    </row>
    <row r="232" spans="1:6" ht="16" x14ac:dyDescent="0.2">
      <c r="A232" s="13">
        <v>45942</v>
      </c>
      <c r="B232" s="4" t="s">
        <v>51</v>
      </c>
      <c r="C232" s="5">
        <v>2516309</v>
      </c>
      <c r="D232" s="5">
        <f t="shared" si="8"/>
        <v>2797872.5714285714</v>
      </c>
      <c r="E232" s="5">
        <f t="shared" si="9"/>
        <v>2697454.6666666665</v>
      </c>
      <c r="F232" s="4" t="s">
        <v>50</v>
      </c>
    </row>
    <row r="233" spans="1:6" ht="16" x14ac:dyDescent="0.2">
      <c r="A233" s="13">
        <v>45943</v>
      </c>
      <c r="B233" s="4" t="s">
        <v>46</v>
      </c>
      <c r="C233" s="5">
        <v>3334529</v>
      </c>
      <c r="D233" s="5">
        <f t="shared" si="8"/>
        <v>2808933.1428571427</v>
      </c>
      <c r="E233" s="5">
        <f t="shared" si="9"/>
        <v>2758230</v>
      </c>
      <c r="F233" s="4" t="s">
        <v>41</v>
      </c>
    </row>
    <row r="234" spans="1:6" ht="16" x14ac:dyDescent="0.2">
      <c r="A234" s="13">
        <v>45944</v>
      </c>
      <c r="B234" s="4" t="s">
        <v>48</v>
      </c>
      <c r="C234" s="5">
        <v>3580269</v>
      </c>
      <c r="D234" s="5">
        <f t="shared" si="8"/>
        <v>2825566.5714285714</v>
      </c>
      <c r="E234" s="5">
        <f t="shared" si="9"/>
        <v>2790189.4666666668</v>
      </c>
      <c r="F234" s="4" t="s">
        <v>41</v>
      </c>
    </row>
    <row r="235" spans="1:6" ht="16" x14ac:dyDescent="0.2">
      <c r="A235" s="13">
        <v>45945</v>
      </c>
      <c r="B235" s="4" t="s">
        <v>40</v>
      </c>
      <c r="C235" s="5">
        <v>3371483</v>
      </c>
      <c r="D235" s="5">
        <f t="shared" si="8"/>
        <v>2809830</v>
      </c>
      <c r="E235" s="5">
        <f t="shared" si="9"/>
        <v>2787906.5</v>
      </c>
      <c r="F235" s="4" t="s">
        <v>41</v>
      </c>
    </row>
    <row r="236" spans="1:6" ht="16" x14ac:dyDescent="0.2">
      <c r="A236" s="13">
        <v>45946</v>
      </c>
      <c r="B236" s="4" t="s">
        <v>45</v>
      </c>
      <c r="C236" s="5">
        <v>3560694</v>
      </c>
      <c r="D236" s="5">
        <f t="shared" si="8"/>
        <v>2839829</v>
      </c>
      <c r="E236" s="5">
        <f t="shared" si="9"/>
        <v>2793741.1666666665</v>
      </c>
      <c r="F236" s="4" t="s">
        <v>41</v>
      </c>
    </row>
    <row r="237" spans="1:6" ht="16" x14ac:dyDescent="0.2">
      <c r="A237" s="13">
        <v>45947</v>
      </c>
      <c r="B237" s="4" t="s">
        <v>47</v>
      </c>
      <c r="C237" s="5">
        <v>1932931</v>
      </c>
      <c r="D237" s="5">
        <f t="shared" si="8"/>
        <v>2839503.7142857141</v>
      </c>
      <c r="E237" s="5">
        <f t="shared" si="9"/>
        <v>2738949.1</v>
      </c>
      <c r="F237" s="4" t="s">
        <v>41</v>
      </c>
    </row>
    <row r="238" spans="1:6" ht="16" x14ac:dyDescent="0.2">
      <c r="A238" s="13">
        <v>45948</v>
      </c>
      <c r="B238" s="4" t="s">
        <v>49</v>
      </c>
      <c r="C238" s="5">
        <v>1275385</v>
      </c>
      <c r="D238" s="5">
        <f t="shared" si="8"/>
        <v>2795942.8571428573</v>
      </c>
      <c r="E238" s="5">
        <f t="shared" si="9"/>
        <v>2675415.5666666669</v>
      </c>
      <c r="F238" s="4" t="s">
        <v>50</v>
      </c>
    </row>
    <row r="239" spans="1:6" ht="16" x14ac:dyDescent="0.2">
      <c r="A239" s="13">
        <v>45949</v>
      </c>
      <c r="B239" s="4" t="s">
        <v>51</v>
      </c>
      <c r="C239" s="5">
        <v>2691752</v>
      </c>
      <c r="D239" s="5">
        <f t="shared" si="8"/>
        <v>2821006.1428571427</v>
      </c>
      <c r="E239" s="5">
        <f t="shared" si="9"/>
        <v>2702403.9333333331</v>
      </c>
      <c r="F239" s="4" t="s">
        <v>50</v>
      </c>
    </row>
    <row r="240" spans="1:6" ht="16" x14ac:dyDescent="0.2">
      <c r="A240" s="13">
        <v>45950</v>
      </c>
      <c r="B240" s="4" t="s">
        <v>46</v>
      </c>
      <c r="C240" s="5">
        <v>3476334</v>
      </c>
      <c r="D240" s="5">
        <f t="shared" si="8"/>
        <v>2841264</v>
      </c>
      <c r="E240" s="5">
        <f t="shared" si="9"/>
        <v>2767705.1</v>
      </c>
      <c r="F240" s="4" t="s">
        <v>41</v>
      </c>
    </row>
    <row r="241" spans="1:6" ht="16" x14ac:dyDescent="0.2">
      <c r="A241" s="13">
        <v>45951</v>
      </c>
      <c r="B241" s="4" t="s">
        <v>48</v>
      </c>
      <c r="C241" s="5">
        <v>3306658</v>
      </c>
      <c r="D241" s="5">
        <f t="shared" si="8"/>
        <v>2802176.7142857141</v>
      </c>
      <c r="E241" s="5">
        <f t="shared" si="9"/>
        <v>2796171.3</v>
      </c>
      <c r="F241" s="4" t="s">
        <v>41</v>
      </c>
    </row>
    <row r="242" spans="1:6" ht="16" x14ac:dyDescent="0.2">
      <c r="A242" s="13">
        <v>45952</v>
      </c>
      <c r="B242" s="4" t="s">
        <v>40</v>
      </c>
      <c r="C242" s="5">
        <v>3643536</v>
      </c>
      <c r="D242" s="5">
        <f t="shared" si="8"/>
        <v>2841041.4285714286</v>
      </c>
      <c r="E242" s="5">
        <f t="shared" si="9"/>
        <v>2809976.1333333333</v>
      </c>
      <c r="F242" s="4" t="s">
        <v>41</v>
      </c>
    </row>
    <row r="243" spans="1:6" ht="16" x14ac:dyDescent="0.2">
      <c r="A243" s="13">
        <v>45953</v>
      </c>
      <c r="B243" s="4" t="s">
        <v>45</v>
      </c>
      <c r="C243" s="5">
        <v>3312676</v>
      </c>
      <c r="D243" s="5">
        <f t="shared" si="8"/>
        <v>2805610.2857142859</v>
      </c>
      <c r="E243" s="5">
        <f t="shared" si="9"/>
        <v>2811500.8666666667</v>
      </c>
      <c r="F243" s="4" t="s">
        <v>41</v>
      </c>
    </row>
    <row r="244" spans="1:6" ht="16" x14ac:dyDescent="0.2">
      <c r="A244" s="13">
        <v>45954</v>
      </c>
      <c r="B244" s="4" t="s">
        <v>47</v>
      </c>
      <c r="C244" s="5">
        <v>3110717</v>
      </c>
      <c r="D244" s="5">
        <f t="shared" si="8"/>
        <v>2973865.4285714286</v>
      </c>
      <c r="E244" s="5">
        <f t="shared" si="9"/>
        <v>2803170.6333333333</v>
      </c>
      <c r="F244" s="4" t="s">
        <v>41</v>
      </c>
    </row>
    <row r="245" spans="1:6" ht="16" x14ac:dyDescent="0.2">
      <c r="A245" s="13">
        <v>45955</v>
      </c>
      <c r="B245" s="4" t="s">
        <v>49</v>
      </c>
      <c r="C245" s="5">
        <v>2004265</v>
      </c>
      <c r="D245" s="5">
        <f t="shared" si="8"/>
        <v>3077991.1428571427</v>
      </c>
      <c r="E245" s="5">
        <f t="shared" si="9"/>
        <v>2759205.8333333335</v>
      </c>
      <c r="F245" s="4" t="s">
        <v>50</v>
      </c>
    </row>
    <row r="246" spans="1:6" ht="16" x14ac:dyDescent="0.2">
      <c r="A246" s="13">
        <v>45956</v>
      </c>
      <c r="B246" s="4" t="s">
        <v>51</v>
      </c>
      <c r="C246" s="5">
        <v>3252432</v>
      </c>
      <c r="D246" s="5">
        <f t="shared" si="8"/>
        <v>3158088.2857142859</v>
      </c>
      <c r="E246" s="5">
        <f t="shared" si="9"/>
        <v>2801566.1666666665</v>
      </c>
      <c r="F246" s="4" t="s">
        <v>50</v>
      </c>
    </row>
    <row r="247" spans="1:6" ht="16" x14ac:dyDescent="0.2">
      <c r="A247" s="13">
        <v>45957</v>
      </c>
      <c r="B247" s="4" t="s">
        <v>46</v>
      </c>
      <c r="C247" s="5">
        <v>4247668</v>
      </c>
      <c r="D247" s="5">
        <f t="shared" si="8"/>
        <v>3268278.8571428573</v>
      </c>
      <c r="E247" s="5">
        <f t="shared" si="9"/>
        <v>2892441.8333333335</v>
      </c>
      <c r="F247" s="4" t="s">
        <v>41</v>
      </c>
    </row>
    <row r="248" spans="1:6" ht="16" x14ac:dyDescent="0.2">
      <c r="A248" s="13">
        <v>45958</v>
      </c>
      <c r="B248" s="4" t="s">
        <v>48</v>
      </c>
      <c r="C248" s="5">
        <v>4300087</v>
      </c>
      <c r="D248" s="5">
        <f t="shared" si="8"/>
        <v>3410197.2857142859</v>
      </c>
      <c r="E248" s="5">
        <f t="shared" si="9"/>
        <v>2957600.9666666668</v>
      </c>
      <c r="F248" s="4" t="s">
        <v>41</v>
      </c>
    </row>
    <row r="249" spans="1:6" ht="16" x14ac:dyDescent="0.2">
      <c r="A249" s="13">
        <v>45959</v>
      </c>
      <c r="B249" s="4" t="s">
        <v>40</v>
      </c>
      <c r="C249" s="5">
        <v>4744359</v>
      </c>
      <c r="D249" s="5">
        <f t="shared" si="8"/>
        <v>3567457.7142857141</v>
      </c>
      <c r="E249" s="5">
        <f t="shared" si="9"/>
        <v>3013898.3</v>
      </c>
      <c r="F249" s="4" t="s">
        <v>41</v>
      </c>
    </row>
    <row r="250" spans="1:6" ht="16" x14ac:dyDescent="0.2">
      <c r="A250" s="13">
        <v>45960</v>
      </c>
      <c r="B250" s="4" t="s">
        <v>45</v>
      </c>
      <c r="C250" s="5">
        <v>4049749</v>
      </c>
      <c r="D250" s="5">
        <f t="shared" si="8"/>
        <v>3672753.8571428573</v>
      </c>
      <c r="E250" s="5">
        <f t="shared" si="9"/>
        <v>3036916.2333333334</v>
      </c>
      <c r="F250" s="4" t="s">
        <v>41</v>
      </c>
    </row>
    <row r="251" spans="1:6" ht="16" x14ac:dyDescent="0.2">
      <c r="A251" s="13">
        <v>45961</v>
      </c>
      <c r="B251" s="4" t="s">
        <v>47</v>
      </c>
      <c r="C251" s="5">
        <v>2752874</v>
      </c>
      <c r="D251" s="5">
        <f t="shared" si="8"/>
        <v>3621633.4285714286</v>
      </c>
      <c r="E251" s="5">
        <f t="shared" si="9"/>
        <v>3015432.1333333333</v>
      </c>
      <c r="F251" s="4" t="s">
        <v>41</v>
      </c>
    </row>
    <row r="252" spans="1:6" ht="16" x14ac:dyDescent="0.2">
      <c r="A252" s="13">
        <v>45962</v>
      </c>
      <c r="B252" s="4" t="s">
        <v>49</v>
      </c>
      <c r="C252" s="5">
        <v>1917900</v>
      </c>
      <c r="D252" s="5">
        <f t="shared" si="8"/>
        <v>3609295.5714285714</v>
      </c>
      <c r="E252" s="5">
        <f t="shared" si="9"/>
        <v>2976100.8666666667</v>
      </c>
      <c r="F252" s="4" t="s">
        <v>50</v>
      </c>
    </row>
    <row r="253" spans="1:6" ht="16" x14ac:dyDescent="0.2">
      <c r="A253" s="13">
        <v>45963</v>
      </c>
      <c r="B253" s="4" t="s">
        <v>51</v>
      </c>
      <c r="C253" s="5">
        <v>3556361</v>
      </c>
      <c r="D253" s="5">
        <f t="shared" si="8"/>
        <v>3652714</v>
      </c>
      <c r="E253" s="5">
        <f t="shared" si="9"/>
        <v>3033644</v>
      </c>
      <c r="F253" s="4" t="s">
        <v>50</v>
      </c>
    </row>
    <row r="254" spans="1:6" ht="16" x14ac:dyDescent="0.2">
      <c r="A254" s="13">
        <v>45964</v>
      </c>
      <c r="B254" s="4" t="s">
        <v>46</v>
      </c>
      <c r="C254" s="5">
        <v>4522633</v>
      </c>
      <c r="D254" s="5">
        <f t="shared" si="8"/>
        <v>3691994.7142857141</v>
      </c>
      <c r="E254" s="5">
        <f t="shared" si="9"/>
        <v>3134112.2666666666</v>
      </c>
      <c r="F254" s="4" t="s">
        <v>41</v>
      </c>
    </row>
    <row r="255" spans="1:6" ht="16" x14ac:dyDescent="0.2">
      <c r="A255" s="13">
        <v>45965</v>
      </c>
      <c r="B255" s="4" t="s">
        <v>48</v>
      </c>
      <c r="C255" s="5">
        <v>4424012</v>
      </c>
      <c r="D255" s="5">
        <f t="shared" si="8"/>
        <v>3709698.2857142859</v>
      </c>
      <c r="E255" s="5">
        <f t="shared" si="9"/>
        <v>3198480.4</v>
      </c>
      <c r="F255" s="4" t="s">
        <v>41</v>
      </c>
    </row>
    <row r="256" spans="1:6" ht="16" x14ac:dyDescent="0.2">
      <c r="A256" s="13">
        <v>45966</v>
      </c>
      <c r="B256" s="4" t="s">
        <v>40</v>
      </c>
      <c r="C256" s="5">
        <v>4298326</v>
      </c>
      <c r="D256" s="5">
        <f t="shared" si="8"/>
        <v>3645979.2857142859</v>
      </c>
      <c r="E256" s="5">
        <f t="shared" si="9"/>
        <v>3233187.7666666666</v>
      </c>
      <c r="F256" s="4" t="s">
        <v>41</v>
      </c>
    </row>
    <row r="257" spans="1:6" ht="16" x14ac:dyDescent="0.2">
      <c r="A257" s="13">
        <v>45967</v>
      </c>
      <c r="B257" s="4" t="s">
        <v>45</v>
      </c>
      <c r="C257" s="5">
        <v>4800163</v>
      </c>
      <c r="D257" s="5">
        <f t="shared" si="8"/>
        <v>3753181.2857142859</v>
      </c>
      <c r="E257" s="5">
        <f t="shared" si="9"/>
        <v>3277732.0333333332</v>
      </c>
      <c r="F257" s="4" t="s">
        <v>41</v>
      </c>
    </row>
    <row r="258" spans="1:6" ht="16" x14ac:dyDescent="0.2">
      <c r="A258" s="13">
        <v>45968</v>
      </c>
      <c r="B258" s="4" t="s">
        <v>47</v>
      </c>
      <c r="C258" s="5">
        <v>4429114</v>
      </c>
      <c r="D258" s="5">
        <f t="shared" si="8"/>
        <v>3992644.1428571427</v>
      </c>
      <c r="E258" s="5">
        <f t="shared" si="9"/>
        <v>3309314.5333333332</v>
      </c>
      <c r="F258" s="4" t="s">
        <v>41</v>
      </c>
    </row>
    <row r="259" spans="1:6" ht="16" x14ac:dyDescent="0.2">
      <c r="A259" s="13">
        <v>45969</v>
      </c>
      <c r="B259" s="4" t="s">
        <v>49</v>
      </c>
      <c r="C259" s="5">
        <v>2280987</v>
      </c>
      <c r="D259" s="5">
        <f t="shared" si="8"/>
        <v>4044513.7142857141</v>
      </c>
      <c r="E259" s="5">
        <f t="shared" si="9"/>
        <v>3273657.4</v>
      </c>
      <c r="F259" s="4" t="s">
        <v>50</v>
      </c>
    </row>
    <row r="260" spans="1:6" ht="16" x14ac:dyDescent="0.2">
      <c r="A260" s="13">
        <v>45970</v>
      </c>
      <c r="B260" s="4" t="s">
        <v>51</v>
      </c>
      <c r="C260" s="5">
        <v>3692905</v>
      </c>
      <c r="D260" s="5">
        <f t="shared" si="8"/>
        <v>4064020</v>
      </c>
      <c r="E260" s="5">
        <f t="shared" si="9"/>
        <v>3332247.3</v>
      </c>
      <c r="F260" s="4" t="s">
        <v>50</v>
      </c>
    </row>
    <row r="261" spans="1:6" ht="16" x14ac:dyDescent="0.2">
      <c r="A261" s="13">
        <v>45971</v>
      </c>
      <c r="B261" s="4" t="s">
        <v>46</v>
      </c>
      <c r="C261" s="5">
        <v>4597191</v>
      </c>
      <c r="D261" s="5">
        <f t="shared" si="8"/>
        <v>4074671.1428571427</v>
      </c>
      <c r="E261" s="5">
        <f t="shared" si="9"/>
        <v>3432809.9666666668</v>
      </c>
      <c r="F261" s="4" t="s">
        <v>41</v>
      </c>
    </row>
    <row r="262" spans="1:6" ht="16" x14ac:dyDescent="0.2">
      <c r="A262" s="13">
        <v>45972</v>
      </c>
      <c r="B262" s="4" t="s">
        <v>48</v>
      </c>
      <c r="C262" s="5">
        <v>4410752</v>
      </c>
      <c r="D262" s="5">
        <f t="shared" si="8"/>
        <v>4072776.8571428573</v>
      </c>
      <c r="E262" s="5">
        <f t="shared" si="9"/>
        <v>3495958.0666666669</v>
      </c>
      <c r="F262" s="4" t="s">
        <v>41</v>
      </c>
    </row>
    <row r="263" spans="1:6" ht="16" x14ac:dyDescent="0.2">
      <c r="A263" s="13">
        <v>45973</v>
      </c>
      <c r="B263" s="4" t="s">
        <v>40</v>
      </c>
      <c r="C263" s="5">
        <v>3953416</v>
      </c>
      <c r="D263" s="5">
        <f t="shared" si="8"/>
        <v>4023504</v>
      </c>
      <c r="E263" s="5">
        <f t="shared" si="9"/>
        <v>3516587.6333333333</v>
      </c>
      <c r="F263" s="4" t="s">
        <v>41</v>
      </c>
    </row>
    <row r="264" spans="1:6" ht="16" x14ac:dyDescent="0.2">
      <c r="A264" s="13">
        <v>45974</v>
      </c>
      <c r="B264" s="4" t="s">
        <v>45</v>
      </c>
      <c r="C264" s="5">
        <v>4305035</v>
      </c>
      <c r="D264" s="5">
        <f t="shared" si="8"/>
        <v>3952771.4285714286</v>
      </c>
      <c r="E264" s="5">
        <f t="shared" si="9"/>
        <v>3540746.5</v>
      </c>
      <c r="F264" s="4" t="s">
        <v>41</v>
      </c>
    </row>
    <row r="265" spans="1:6" ht="16" x14ac:dyDescent="0.2">
      <c r="A265" s="13">
        <v>45975</v>
      </c>
      <c r="B265" s="4" t="s">
        <v>47</v>
      </c>
      <c r="C265" s="5">
        <v>4099751</v>
      </c>
      <c r="D265" s="5">
        <f t="shared" si="8"/>
        <v>3905719.5714285714</v>
      </c>
      <c r="E265" s="5">
        <f t="shared" si="9"/>
        <v>3565022.1</v>
      </c>
      <c r="F265" s="4" t="s">
        <v>41</v>
      </c>
    </row>
    <row r="266" spans="1:6" ht="16" x14ac:dyDescent="0.2">
      <c r="A266" s="13">
        <v>45976</v>
      </c>
      <c r="B266" s="4" t="s">
        <v>49</v>
      </c>
      <c r="C266" s="5">
        <v>2235168</v>
      </c>
      <c r="D266" s="5">
        <f t="shared" ref="D266:D329" si="10">AVERAGE(C260:C266)</f>
        <v>3899174</v>
      </c>
      <c r="E266" s="5">
        <f t="shared" si="9"/>
        <v>3520837.9</v>
      </c>
      <c r="F266" s="4" t="s">
        <v>50</v>
      </c>
    </row>
    <row r="267" spans="1:6" ht="16" x14ac:dyDescent="0.2">
      <c r="A267" s="13">
        <v>45977</v>
      </c>
      <c r="B267" s="4" t="s">
        <v>51</v>
      </c>
      <c r="C267" s="5">
        <v>3929392</v>
      </c>
      <c r="D267" s="5">
        <f t="shared" si="10"/>
        <v>3932957.8571428573</v>
      </c>
      <c r="E267" s="5">
        <f t="shared" si="9"/>
        <v>3587386.6</v>
      </c>
      <c r="F267" s="4" t="s">
        <v>50</v>
      </c>
    </row>
    <row r="268" spans="1:6" ht="16" x14ac:dyDescent="0.2">
      <c r="A268" s="13">
        <v>45978</v>
      </c>
      <c r="B268" s="4" t="s">
        <v>46</v>
      </c>
      <c r="C268" s="5">
        <v>4783157</v>
      </c>
      <c r="D268" s="5">
        <f t="shared" si="10"/>
        <v>3959524.4285714286</v>
      </c>
      <c r="E268" s="5">
        <f t="shared" si="9"/>
        <v>3704312.3333333335</v>
      </c>
      <c r="F268" s="4" t="s">
        <v>41</v>
      </c>
    </row>
    <row r="269" spans="1:6" ht="16" x14ac:dyDescent="0.2">
      <c r="A269" s="13">
        <v>45979</v>
      </c>
      <c r="B269" s="4" t="s">
        <v>48</v>
      </c>
      <c r="C269" s="5">
        <v>4582127</v>
      </c>
      <c r="D269" s="5">
        <f t="shared" si="10"/>
        <v>3984006.5714285714</v>
      </c>
      <c r="E269" s="5">
        <f t="shared" si="9"/>
        <v>3767324.8333333335</v>
      </c>
      <c r="F269" s="4" t="s">
        <v>41</v>
      </c>
    </row>
    <row r="270" spans="1:6" ht="16" x14ac:dyDescent="0.2">
      <c r="A270" s="13">
        <v>45980</v>
      </c>
      <c r="B270" s="4" t="s">
        <v>40</v>
      </c>
      <c r="C270" s="5">
        <v>4498950</v>
      </c>
      <c r="D270" s="5">
        <f t="shared" si="10"/>
        <v>4061940</v>
      </c>
      <c r="E270" s="5">
        <f t="shared" si="9"/>
        <v>3801412.0333333332</v>
      </c>
      <c r="F270" s="4" t="s">
        <v>41</v>
      </c>
    </row>
    <row r="271" spans="1:6" ht="16" x14ac:dyDescent="0.2">
      <c r="A271" s="13">
        <v>45981</v>
      </c>
      <c r="B271" s="4" t="s">
        <v>45</v>
      </c>
      <c r="C271" s="5">
        <v>4218325</v>
      </c>
      <c r="D271" s="5">
        <f t="shared" si="10"/>
        <v>4049552.8571428573</v>
      </c>
      <c r="E271" s="5">
        <f t="shared" si="9"/>
        <v>3831800.9333333331</v>
      </c>
      <c r="F271" s="4" t="s">
        <v>41</v>
      </c>
    </row>
    <row r="272" spans="1:6" ht="16" x14ac:dyDescent="0.2">
      <c r="A272" s="13">
        <v>45982</v>
      </c>
      <c r="B272" s="4" t="s">
        <v>47</v>
      </c>
      <c r="C272" s="5">
        <v>3504357</v>
      </c>
      <c r="D272" s="5">
        <f t="shared" si="10"/>
        <v>3964496.5714285714</v>
      </c>
      <c r="E272" s="5">
        <f t="shared" si="9"/>
        <v>3827161.6333333333</v>
      </c>
      <c r="F272" s="4" t="s">
        <v>41</v>
      </c>
    </row>
    <row r="273" spans="1:6" ht="16" x14ac:dyDescent="0.2">
      <c r="A273" s="13">
        <v>45983</v>
      </c>
      <c r="B273" s="4" t="s">
        <v>49</v>
      </c>
      <c r="C273" s="5">
        <v>1819803</v>
      </c>
      <c r="D273" s="5">
        <f t="shared" si="10"/>
        <v>3905158.7142857141</v>
      </c>
      <c r="E273" s="5">
        <f t="shared" si="9"/>
        <v>3777399.2</v>
      </c>
      <c r="F273" s="4" t="s">
        <v>50</v>
      </c>
    </row>
    <row r="274" spans="1:6" ht="16" x14ac:dyDescent="0.2">
      <c r="A274" s="13">
        <v>45984</v>
      </c>
      <c r="B274" s="4" t="s">
        <v>51</v>
      </c>
      <c r="C274" s="5">
        <v>3254389</v>
      </c>
      <c r="D274" s="5">
        <f t="shared" si="10"/>
        <v>3808729.7142857141</v>
      </c>
      <c r="E274" s="5">
        <f t="shared" si="9"/>
        <v>3782188.2666666666</v>
      </c>
      <c r="F274" s="4" t="s">
        <v>50</v>
      </c>
    </row>
    <row r="275" spans="1:6" ht="16" x14ac:dyDescent="0.2">
      <c r="A275" s="13">
        <v>45985</v>
      </c>
      <c r="B275" s="4" t="s">
        <v>46</v>
      </c>
      <c r="C275" s="5">
        <v>4206007</v>
      </c>
      <c r="D275" s="5">
        <f t="shared" si="10"/>
        <v>3726279.7142857141</v>
      </c>
      <c r="E275" s="5">
        <f t="shared" si="9"/>
        <v>3855579.6666666665</v>
      </c>
      <c r="F275" s="4" t="s">
        <v>41</v>
      </c>
    </row>
    <row r="276" spans="1:6" ht="16" x14ac:dyDescent="0.2">
      <c r="A276" s="13">
        <v>45986</v>
      </c>
      <c r="B276" s="4" t="s">
        <v>48</v>
      </c>
      <c r="C276" s="5">
        <v>4127664</v>
      </c>
      <c r="D276" s="5">
        <f t="shared" si="10"/>
        <v>3661356.4285714286</v>
      </c>
      <c r="E276" s="5">
        <f t="shared" si="9"/>
        <v>3884754.0666666669</v>
      </c>
      <c r="F276" s="4" t="s">
        <v>41</v>
      </c>
    </row>
    <row r="277" spans="1:6" ht="16" x14ac:dyDescent="0.2">
      <c r="A277" s="13">
        <v>45987</v>
      </c>
      <c r="B277" s="4" t="s">
        <v>40</v>
      </c>
      <c r="C277" s="5">
        <v>4354258</v>
      </c>
      <c r="D277" s="5">
        <f t="shared" si="10"/>
        <v>3640686.1428571427</v>
      </c>
      <c r="E277" s="5">
        <f t="shared" si="9"/>
        <v>3888307.0666666669</v>
      </c>
      <c r="F277" s="4" t="s">
        <v>41</v>
      </c>
    </row>
    <row r="278" spans="1:6" ht="16" x14ac:dyDescent="0.2">
      <c r="A278" s="13">
        <v>45988</v>
      </c>
      <c r="B278" s="4" t="s">
        <v>45</v>
      </c>
      <c r="C278" s="5">
        <v>1958069</v>
      </c>
      <c r="D278" s="5">
        <f t="shared" si="10"/>
        <v>3317792.4285714286</v>
      </c>
      <c r="E278" s="5">
        <f t="shared" si="9"/>
        <v>3810239.8</v>
      </c>
      <c r="F278" s="4" t="s">
        <v>41</v>
      </c>
    </row>
    <row r="279" spans="1:6" ht="16" x14ac:dyDescent="0.2">
      <c r="A279" s="13">
        <v>45989</v>
      </c>
      <c r="B279" s="4" t="s">
        <v>47</v>
      </c>
      <c r="C279" s="5">
        <v>2122297</v>
      </c>
      <c r="D279" s="5">
        <f t="shared" si="10"/>
        <v>3120355.2857142859</v>
      </c>
      <c r="E279" s="5">
        <f t="shared" si="9"/>
        <v>3722837.7333333334</v>
      </c>
      <c r="F279" s="4" t="s">
        <v>41</v>
      </c>
    </row>
    <row r="280" spans="1:6" ht="16" x14ac:dyDescent="0.2">
      <c r="A280" s="13">
        <v>45990</v>
      </c>
      <c r="B280" s="4" t="s">
        <v>49</v>
      </c>
      <c r="C280" s="5">
        <v>1853998</v>
      </c>
      <c r="D280" s="5">
        <f t="shared" si="10"/>
        <v>3125240.2857142859</v>
      </c>
      <c r="E280" s="5">
        <f t="shared" si="9"/>
        <v>3649646.0333333332</v>
      </c>
      <c r="F280" s="4" t="s">
        <v>50</v>
      </c>
    </row>
    <row r="281" spans="1:6" ht="16" x14ac:dyDescent="0.2">
      <c r="A281" s="13">
        <v>45991</v>
      </c>
      <c r="B281" s="4" t="s">
        <v>51</v>
      </c>
      <c r="C281" s="5">
        <v>3214072</v>
      </c>
      <c r="D281" s="5">
        <f t="shared" si="10"/>
        <v>3119480.7142857141</v>
      </c>
      <c r="E281" s="5">
        <f t="shared" si="9"/>
        <v>3665019.3</v>
      </c>
      <c r="F281" s="4" t="s">
        <v>50</v>
      </c>
    </row>
    <row r="282" spans="1:6" ht="16" x14ac:dyDescent="0.2">
      <c r="A282" s="13">
        <v>45992</v>
      </c>
      <c r="B282" s="4" t="s">
        <v>46</v>
      </c>
      <c r="C282" s="5">
        <v>4195875</v>
      </c>
      <c r="D282" s="5">
        <f t="shared" si="10"/>
        <v>3118033.2857142859</v>
      </c>
      <c r="E282" s="5">
        <f t="shared" si="9"/>
        <v>3740951.8</v>
      </c>
      <c r="F282" s="4" t="s">
        <v>41</v>
      </c>
    </row>
    <row r="283" spans="1:6" ht="16" x14ac:dyDescent="0.2">
      <c r="A283" s="13">
        <v>45993</v>
      </c>
      <c r="B283" s="4" t="s">
        <v>48</v>
      </c>
      <c r="C283" s="5">
        <v>4758493</v>
      </c>
      <c r="D283" s="5">
        <f t="shared" si="10"/>
        <v>3208151.7142857141</v>
      </c>
      <c r="E283" s="5">
        <f t="shared" si="9"/>
        <v>3781022.8666666667</v>
      </c>
      <c r="F283" s="4" t="s">
        <v>41</v>
      </c>
    </row>
    <row r="284" spans="1:6" ht="16" x14ac:dyDescent="0.2">
      <c r="A284" s="13">
        <v>45994</v>
      </c>
      <c r="B284" s="4" t="s">
        <v>40</v>
      </c>
      <c r="C284" s="5">
        <v>4879857</v>
      </c>
      <c r="D284" s="5">
        <f t="shared" si="10"/>
        <v>3283237.2857142859</v>
      </c>
      <c r="E284" s="5">
        <f t="shared" si="9"/>
        <v>3792930.3333333335</v>
      </c>
      <c r="F284" s="4" t="s">
        <v>41</v>
      </c>
    </row>
    <row r="285" spans="1:6" ht="16" x14ac:dyDescent="0.2">
      <c r="A285" s="13">
        <v>45995</v>
      </c>
      <c r="B285" s="4" t="s">
        <v>45</v>
      </c>
      <c r="C285" s="5">
        <v>4794773</v>
      </c>
      <c r="D285" s="5">
        <f t="shared" si="10"/>
        <v>3688480.7142857141</v>
      </c>
      <c r="E285" s="5">
        <f t="shared" si="9"/>
        <v>3805289.0333333332</v>
      </c>
      <c r="F285" s="4" t="s">
        <v>41</v>
      </c>
    </row>
    <row r="286" spans="1:6" ht="16" x14ac:dyDescent="0.2">
      <c r="A286" s="13">
        <v>45996</v>
      </c>
      <c r="B286" s="4" t="s">
        <v>47</v>
      </c>
      <c r="C286" s="5">
        <v>2905408</v>
      </c>
      <c r="D286" s="5">
        <f t="shared" si="10"/>
        <v>3800353.7142857141</v>
      </c>
      <c r="E286" s="5">
        <f t="shared" si="9"/>
        <v>3758858.4333333331</v>
      </c>
      <c r="F286" s="4" t="s">
        <v>41</v>
      </c>
    </row>
    <row r="287" spans="1:6" ht="16" x14ac:dyDescent="0.2">
      <c r="A287" s="13">
        <v>45997</v>
      </c>
      <c r="B287" s="4" t="s">
        <v>49</v>
      </c>
      <c r="C287" s="5">
        <v>1949156</v>
      </c>
      <c r="D287" s="5">
        <f t="shared" si="10"/>
        <v>3813947.7142857141</v>
      </c>
      <c r="E287" s="5">
        <f t="shared" si="9"/>
        <v>3663824.8666666667</v>
      </c>
      <c r="F287" s="4" t="s">
        <v>50</v>
      </c>
    </row>
    <row r="288" spans="1:6" ht="16" x14ac:dyDescent="0.2">
      <c r="A288" s="13">
        <v>45998</v>
      </c>
      <c r="B288" s="4" t="s">
        <v>51</v>
      </c>
      <c r="C288" s="5">
        <v>3496845</v>
      </c>
      <c r="D288" s="5">
        <f t="shared" si="10"/>
        <v>3854343.8571428573</v>
      </c>
      <c r="E288" s="5">
        <f t="shared" si="9"/>
        <v>3632749.2333333334</v>
      </c>
      <c r="F288" s="4" t="s">
        <v>50</v>
      </c>
    </row>
    <row r="289" spans="1:6" ht="16" x14ac:dyDescent="0.2">
      <c r="A289" s="13">
        <v>45999</v>
      </c>
      <c r="B289" s="4" t="s">
        <v>46</v>
      </c>
      <c r="C289" s="5">
        <v>5031084</v>
      </c>
      <c r="D289" s="5">
        <f t="shared" si="10"/>
        <v>3973659.4285714286</v>
      </c>
      <c r="E289" s="5">
        <f t="shared" ref="E289:E352" si="11">AVERAGE(C260:C289)</f>
        <v>3724419.1333333333</v>
      </c>
      <c r="F289" s="4" t="s">
        <v>41</v>
      </c>
    </row>
    <row r="290" spans="1:6" ht="16" x14ac:dyDescent="0.2">
      <c r="A290" s="13">
        <v>46000</v>
      </c>
      <c r="B290" s="4" t="s">
        <v>48</v>
      </c>
      <c r="C290" s="5">
        <v>5136258</v>
      </c>
      <c r="D290" s="5">
        <f t="shared" si="10"/>
        <v>4027625.8571428573</v>
      </c>
      <c r="E290" s="5">
        <f t="shared" si="11"/>
        <v>3772530.9</v>
      </c>
      <c r="F290" s="4" t="s">
        <v>41</v>
      </c>
    </row>
    <row r="291" spans="1:6" ht="16" x14ac:dyDescent="0.2">
      <c r="A291" s="13">
        <v>46001</v>
      </c>
      <c r="B291" s="4" t="s">
        <v>40</v>
      </c>
      <c r="C291" s="5">
        <v>4595341</v>
      </c>
      <c r="D291" s="5">
        <f t="shared" si="10"/>
        <v>3986980.7142857141</v>
      </c>
      <c r="E291" s="5">
        <f t="shared" si="11"/>
        <v>3772469.2333333334</v>
      </c>
      <c r="F291" s="4" t="s">
        <v>41</v>
      </c>
    </row>
    <row r="292" spans="1:6" ht="16" x14ac:dyDescent="0.2">
      <c r="A292" s="13">
        <v>46002</v>
      </c>
      <c r="B292" s="4" t="s">
        <v>45</v>
      </c>
      <c r="C292" s="5">
        <v>4609952</v>
      </c>
      <c r="D292" s="5">
        <f t="shared" si="10"/>
        <v>3960577.7142857141</v>
      </c>
      <c r="E292" s="5">
        <f t="shared" si="11"/>
        <v>3779109.2333333334</v>
      </c>
      <c r="F292" s="4" t="s">
        <v>41</v>
      </c>
    </row>
    <row r="293" spans="1:6" ht="16" x14ac:dyDescent="0.2">
      <c r="A293" s="13">
        <v>46003</v>
      </c>
      <c r="B293" s="4" t="s">
        <v>47</v>
      </c>
      <c r="C293" s="5">
        <v>2779969</v>
      </c>
      <c r="D293" s="5">
        <f t="shared" si="10"/>
        <v>3942657.8571428573</v>
      </c>
      <c r="E293" s="5">
        <f t="shared" si="11"/>
        <v>3739994.3333333335</v>
      </c>
      <c r="F293" s="4" t="s">
        <v>41</v>
      </c>
    </row>
    <row r="294" spans="1:6" ht="16" x14ac:dyDescent="0.2">
      <c r="A294" s="13">
        <v>46004</v>
      </c>
      <c r="B294" s="4" t="s">
        <v>49</v>
      </c>
      <c r="C294" s="5">
        <v>1827550</v>
      </c>
      <c r="D294" s="5">
        <f t="shared" si="10"/>
        <v>3925285.5714285714</v>
      </c>
      <c r="E294" s="5">
        <f t="shared" si="11"/>
        <v>3657411.5</v>
      </c>
      <c r="F294" s="4" t="s">
        <v>50</v>
      </c>
    </row>
    <row r="295" spans="1:6" ht="16" x14ac:dyDescent="0.2">
      <c r="A295" s="13">
        <v>46005</v>
      </c>
      <c r="B295" s="4" t="s">
        <v>51</v>
      </c>
      <c r="C295" s="5">
        <v>3933962</v>
      </c>
      <c r="D295" s="5">
        <f t="shared" si="10"/>
        <v>3987730.8571428573</v>
      </c>
      <c r="E295" s="5">
        <f t="shared" si="11"/>
        <v>3651885.2</v>
      </c>
      <c r="F295" s="4" t="s">
        <v>50</v>
      </c>
    </row>
    <row r="296" spans="1:6" ht="16" x14ac:dyDescent="0.2">
      <c r="A296" s="13">
        <v>46006</v>
      </c>
      <c r="B296" s="4" t="s">
        <v>46</v>
      </c>
      <c r="C296" s="5">
        <v>4698112</v>
      </c>
      <c r="D296" s="5">
        <f t="shared" si="10"/>
        <v>3940163.4285714286</v>
      </c>
      <c r="E296" s="5">
        <f t="shared" si="11"/>
        <v>3733983.3333333335</v>
      </c>
      <c r="F296" s="4" t="s">
        <v>41</v>
      </c>
    </row>
    <row r="297" spans="1:6" ht="16" x14ac:dyDescent="0.2">
      <c r="A297" s="13">
        <v>46007</v>
      </c>
      <c r="B297" s="4" t="s">
        <v>48</v>
      </c>
      <c r="C297" s="5">
        <v>4951631</v>
      </c>
      <c r="D297" s="5">
        <f t="shared" si="10"/>
        <v>3913788.1428571427</v>
      </c>
      <c r="E297" s="5">
        <f t="shared" si="11"/>
        <v>3768057.9666666668</v>
      </c>
      <c r="F297" s="4" t="s">
        <v>41</v>
      </c>
    </row>
    <row r="298" spans="1:6" ht="16" x14ac:dyDescent="0.2">
      <c r="A298" s="13">
        <v>46008</v>
      </c>
      <c r="B298" s="4" t="s">
        <v>40</v>
      </c>
      <c r="C298" s="5">
        <v>4723500</v>
      </c>
      <c r="D298" s="5">
        <f t="shared" si="10"/>
        <v>3932096.5714285714</v>
      </c>
      <c r="E298" s="5">
        <f t="shared" si="11"/>
        <v>3766069.4</v>
      </c>
      <c r="F298" s="4" t="s">
        <v>41</v>
      </c>
    </row>
    <row r="299" spans="1:6" ht="16" x14ac:dyDescent="0.2">
      <c r="A299" s="13">
        <v>46009</v>
      </c>
      <c r="B299" s="4" t="s">
        <v>45</v>
      </c>
      <c r="C299" s="5">
        <v>4742389</v>
      </c>
      <c r="D299" s="5">
        <f t="shared" si="10"/>
        <v>3951016.1428571427</v>
      </c>
      <c r="E299" s="5">
        <f t="shared" si="11"/>
        <v>3771411.4666666668</v>
      </c>
      <c r="F299" s="4" t="s">
        <v>41</v>
      </c>
    </row>
    <row r="300" spans="1:6" ht="16" x14ac:dyDescent="0.2">
      <c r="A300" s="13">
        <v>46010</v>
      </c>
      <c r="B300" s="4" t="s">
        <v>47</v>
      </c>
      <c r="C300" s="5">
        <v>2727382</v>
      </c>
      <c r="D300" s="5">
        <f t="shared" si="10"/>
        <v>3943503.7142857141</v>
      </c>
      <c r="E300" s="5">
        <f t="shared" si="11"/>
        <v>3712359.2</v>
      </c>
      <c r="F300" s="4" t="s">
        <v>41</v>
      </c>
    </row>
    <row r="301" spans="1:6" ht="16" x14ac:dyDescent="0.2">
      <c r="A301" s="13">
        <v>46011</v>
      </c>
      <c r="B301" s="4" t="s">
        <v>49</v>
      </c>
      <c r="C301" s="5">
        <v>2135605</v>
      </c>
      <c r="D301" s="5">
        <f t="shared" si="10"/>
        <v>3987511.5714285714</v>
      </c>
      <c r="E301" s="5">
        <f t="shared" si="11"/>
        <v>3642935.2</v>
      </c>
      <c r="F301" s="4" t="s">
        <v>50</v>
      </c>
    </row>
    <row r="302" spans="1:6" ht="16" x14ac:dyDescent="0.2">
      <c r="A302" s="13">
        <v>46012</v>
      </c>
      <c r="B302" s="4" t="s">
        <v>51</v>
      </c>
      <c r="C302" s="5">
        <v>3493264</v>
      </c>
      <c r="D302" s="5">
        <f t="shared" si="10"/>
        <v>3924554.7142857141</v>
      </c>
      <c r="E302" s="5">
        <f t="shared" si="11"/>
        <v>3642565.4333333331</v>
      </c>
      <c r="F302" s="4" t="s">
        <v>50</v>
      </c>
    </row>
    <row r="303" spans="1:6" ht="16" x14ac:dyDescent="0.2">
      <c r="A303" s="13">
        <v>46013</v>
      </c>
      <c r="B303" s="4" t="s">
        <v>46</v>
      </c>
      <c r="C303" s="5">
        <v>4405623</v>
      </c>
      <c r="D303" s="5">
        <f t="shared" si="10"/>
        <v>3882770.5714285714</v>
      </c>
      <c r="E303" s="5">
        <f t="shared" si="11"/>
        <v>3728759.4333333331</v>
      </c>
      <c r="F303" s="4" t="s">
        <v>41</v>
      </c>
    </row>
    <row r="304" spans="1:6" ht="16" x14ac:dyDescent="0.2">
      <c r="A304" s="13">
        <v>46014</v>
      </c>
      <c r="B304" s="4" t="s">
        <v>48</v>
      </c>
      <c r="C304" s="5">
        <v>4495071</v>
      </c>
      <c r="D304" s="5">
        <f t="shared" si="10"/>
        <v>3817547.7142857141</v>
      </c>
      <c r="E304" s="5">
        <f t="shared" si="11"/>
        <v>3770115.5</v>
      </c>
      <c r="F304" s="4" t="s">
        <v>41</v>
      </c>
    </row>
    <row r="305" spans="1:6" ht="16" x14ac:dyDescent="0.2">
      <c r="A305" s="13">
        <v>46015</v>
      </c>
      <c r="B305" s="4" t="s">
        <v>40</v>
      </c>
      <c r="C305" s="5">
        <v>2369797</v>
      </c>
      <c r="D305" s="5">
        <f t="shared" si="10"/>
        <v>3481304.4285714286</v>
      </c>
      <c r="E305" s="5">
        <f t="shared" si="11"/>
        <v>3708908.5</v>
      </c>
      <c r="F305" s="4" t="s">
        <v>41</v>
      </c>
    </row>
    <row r="306" spans="1:6" ht="16" x14ac:dyDescent="0.2">
      <c r="A306" s="13">
        <v>46016</v>
      </c>
      <c r="B306" s="4" t="s">
        <v>45</v>
      </c>
      <c r="C306" s="5">
        <v>1962904</v>
      </c>
      <c r="D306" s="5">
        <f t="shared" si="10"/>
        <v>3084235.1428571427</v>
      </c>
      <c r="E306" s="5">
        <f t="shared" si="11"/>
        <v>3636749.8333333335</v>
      </c>
      <c r="F306" s="4" t="s">
        <v>41</v>
      </c>
    </row>
    <row r="307" spans="1:6" ht="16" x14ac:dyDescent="0.2">
      <c r="A307" s="13">
        <v>46017</v>
      </c>
      <c r="B307" s="4" t="s">
        <v>47</v>
      </c>
      <c r="C307" s="5">
        <v>2512244</v>
      </c>
      <c r="D307" s="5">
        <f t="shared" si="10"/>
        <v>3053501.1428571427</v>
      </c>
      <c r="E307" s="5">
        <f t="shared" si="11"/>
        <v>3575349.3666666667</v>
      </c>
      <c r="F307" s="4" t="s">
        <v>41</v>
      </c>
    </row>
    <row r="308" spans="1:6" ht="16" x14ac:dyDescent="0.2">
      <c r="A308" s="13">
        <v>46018</v>
      </c>
      <c r="B308" s="4" t="s">
        <v>49</v>
      </c>
      <c r="C308" s="5">
        <v>2181656</v>
      </c>
      <c r="D308" s="5">
        <f t="shared" si="10"/>
        <v>3060079.8571428573</v>
      </c>
      <c r="E308" s="5">
        <f t="shared" si="11"/>
        <v>3582802.2666666666</v>
      </c>
      <c r="F308" s="4" t="s">
        <v>50</v>
      </c>
    </row>
    <row r="309" spans="1:6" ht="16" x14ac:dyDescent="0.2">
      <c r="A309" s="13">
        <v>46019</v>
      </c>
      <c r="B309" s="4" t="s">
        <v>51</v>
      </c>
      <c r="C309" s="5">
        <v>4081758</v>
      </c>
      <c r="D309" s="5">
        <f t="shared" si="10"/>
        <v>3144150.4285714286</v>
      </c>
      <c r="E309" s="5">
        <f t="shared" si="11"/>
        <v>3648117.6333333333</v>
      </c>
      <c r="F309" s="4" t="s">
        <v>50</v>
      </c>
    </row>
    <row r="310" spans="1:6" ht="16" x14ac:dyDescent="0.2">
      <c r="A310" s="13">
        <v>46020</v>
      </c>
      <c r="B310" s="4" t="s">
        <v>46</v>
      </c>
      <c r="C310" s="5">
        <v>4689216</v>
      </c>
      <c r="D310" s="5">
        <f t="shared" si="10"/>
        <v>3184663.7142857141</v>
      </c>
      <c r="E310" s="5">
        <f t="shared" si="11"/>
        <v>3742624.9</v>
      </c>
      <c r="F310" s="4" t="s">
        <v>41</v>
      </c>
    </row>
    <row r="311" spans="1:6" ht="16" x14ac:dyDescent="0.2">
      <c r="A311" s="13">
        <v>46021</v>
      </c>
      <c r="B311" s="4" t="s">
        <v>48</v>
      </c>
      <c r="C311" s="5">
        <v>4699824</v>
      </c>
      <c r="D311" s="5">
        <f t="shared" si="10"/>
        <v>3213914.1428571427</v>
      </c>
      <c r="E311" s="5">
        <f t="shared" si="11"/>
        <v>3792149.9666666668</v>
      </c>
      <c r="F311" s="4" t="s">
        <v>41</v>
      </c>
    </row>
    <row r="312" spans="1:6" ht="16" x14ac:dyDescent="0.2">
      <c r="A312" s="13">
        <v>46022</v>
      </c>
      <c r="B312" s="4" t="s">
        <v>40</v>
      </c>
      <c r="C312" s="5">
        <v>2441741</v>
      </c>
      <c r="D312" s="5">
        <f t="shared" si="10"/>
        <v>3224191.8571428573</v>
      </c>
      <c r="E312" s="5">
        <f t="shared" si="11"/>
        <v>3733678.8333333335</v>
      </c>
      <c r="F312" s="4" t="s">
        <v>41</v>
      </c>
    </row>
    <row r="313" spans="1:6" ht="16" x14ac:dyDescent="0.2">
      <c r="A313" s="13">
        <v>46023</v>
      </c>
      <c r="B313" s="4" t="s">
        <v>45</v>
      </c>
      <c r="C313" s="5">
        <v>1943551</v>
      </c>
      <c r="D313" s="5">
        <f t="shared" si="10"/>
        <v>3221427.1428571427</v>
      </c>
      <c r="E313" s="5">
        <f t="shared" si="11"/>
        <v>3639847.4333333331</v>
      </c>
      <c r="F313" s="4" t="s">
        <v>41</v>
      </c>
    </row>
    <row r="314" spans="1:6" ht="16" x14ac:dyDescent="0.2">
      <c r="A314" s="13">
        <v>46024</v>
      </c>
      <c r="B314" s="4" t="s">
        <v>47</v>
      </c>
      <c r="C314" s="5">
        <v>3350589</v>
      </c>
      <c r="D314" s="5">
        <f t="shared" si="10"/>
        <v>3341190.7142857141</v>
      </c>
      <c r="E314" s="5">
        <f t="shared" si="11"/>
        <v>3588871.8333333335</v>
      </c>
      <c r="F314" s="4" t="s">
        <v>41</v>
      </c>
    </row>
    <row r="315" spans="1:6" ht="16" x14ac:dyDescent="0.2">
      <c r="A315" s="13">
        <v>46025</v>
      </c>
      <c r="B315" s="4" t="s">
        <v>49</v>
      </c>
      <c r="C315" s="5">
        <v>2154073</v>
      </c>
      <c r="D315" s="5">
        <f t="shared" si="10"/>
        <v>3337250.2857142859</v>
      </c>
      <c r="E315" s="5">
        <f t="shared" si="11"/>
        <v>3500848.5</v>
      </c>
      <c r="F315" s="4" t="s">
        <v>50</v>
      </c>
    </row>
    <row r="316" spans="1:6" ht="16" x14ac:dyDescent="0.2">
      <c r="A316" s="13">
        <v>46026</v>
      </c>
      <c r="B316" s="4" t="s">
        <v>51</v>
      </c>
      <c r="C316" s="5">
        <v>3695905</v>
      </c>
      <c r="D316" s="5">
        <f t="shared" si="10"/>
        <v>3282128.4285714286</v>
      </c>
      <c r="E316" s="5">
        <f t="shared" si="11"/>
        <v>3527198.4</v>
      </c>
      <c r="F316" s="4" t="s">
        <v>50</v>
      </c>
    </row>
    <row r="317" spans="1:6" ht="16" x14ac:dyDescent="0.2">
      <c r="A317" s="13">
        <v>46027</v>
      </c>
      <c r="B317" s="4" t="s">
        <v>46</v>
      </c>
      <c r="C317" s="5">
        <v>5217831</v>
      </c>
      <c r="D317" s="5">
        <f t="shared" si="10"/>
        <v>3357644.8571428573</v>
      </c>
      <c r="E317" s="5">
        <f t="shared" si="11"/>
        <v>3636154.2333333334</v>
      </c>
      <c r="F317" s="4" t="s">
        <v>41</v>
      </c>
    </row>
    <row r="318" spans="1:6" ht="16" x14ac:dyDescent="0.2">
      <c r="A318" s="13">
        <v>46028</v>
      </c>
      <c r="B318" s="4" t="s">
        <v>48</v>
      </c>
      <c r="C318" s="5">
        <v>5327459</v>
      </c>
      <c r="D318" s="5">
        <f t="shared" si="10"/>
        <v>3447307</v>
      </c>
      <c r="E318" s="5">
        <f t="shared" si="11"/>
        <v>3697174.7</v>
      </c>
      <c r="F318" s="4" t="s">
        <v>41</v>
      </c>
    </row>
    <row r="319" spans="1:6" ht="16" x14ac:dyDescent="0.2">
      <c r="A319" s="13">
        <v>46029</v>
      </c>
      <c r="B319" s="4" t="s">
        <v>40</v>
      </c>
      <c r="C319" s="5">
        <v>5221217</v>
      </c>
      <c r="D319" s="5">
        <f t="shared" si="10"/>
        <v>3844375</v>
      </c>
      <c r="E319" s="5">
        <f t="shared" si="11"/>
        <v>3703512.4666666668</v>
      </c>
      <c r="F319" s="4" t="s">
        <v>41</v>
      </c>
    </row>
    <row r="320" spans="1:6" ht="16" x14ac:dyDescent="0.2">
      <c r="A320" s="13">
        <v>46030</v>
      </c>
      <c r="B320" s="4" t="s">
        <v>45</v>
      </c>
      <c r="C320" s="5">
        <v>5152016</v>
      </c>
      <c r="D320" s="5">
        <f t="shared" si="10"/>
        <v>4302727.1428571427</v>
      </c>
      <c r="E320" s="5">
        <f t="shared" si="11"/>
        <v>3704037.7333333334</v>
      </c>
      <c r="F320" s="4" t="s">
        <v>41</v>
      </c>
    </row>
    <row r="321" spans="1:6" ht="16" x14ac:dyDescent="0.2">
      <c r="A321" s="13">
        <v>46031</v>
      </c>
      <c r="B321" s="4" t="s">
        <v>47</v>
      </c>
      <c r="C321" s="5">
        <v>3980213</v>
      </c>
      <c r="D321" s="5">
        <f t="shared" si="10"/>
        <v>4392673.4285714282</v>
      </c>
      <c r="E321" s="5">
        <f t="shared" si="11"/>
        <v>3683533.4666666668</v>
      </c>
      <c r="F321" s="4" t="s">
        <v>41</v>
      </c>
    </row>
    <row r="322" spans="1:6" ht="16" x14ac:dyDescent="0.2">
      <c r="A322" s="13">
        <v>46032</v>
      </c>
      <c r="B322" s="4" t="s">
        <v>49</v>
      </c>
      <c r="C322" s="5">
        <v>1843441</v>
      </c>
      <c r="D322" s="5">
        <f t="shared" si="10"/>
        <v>4348297.4285714282</v>
      </c>
      <c r="E322" s="5">
        <f t="shared" si="11"/>
        <v>3591316.4333333331</v>
      </c>
      <c r="F322" s="4" t="s">
        <v>50</v>
      </c>
    </row>
    <row r="323" spans="1:6" ht="16" x14ac:dyDescent="0.2">
      <c r="A323" s="13">
        <v>46033</v>
      </c>
      <c r="B323" s="4" t="s">
        <v>51</v>
      </c>
      <c r="C323" s="5">
        <v>3862803</v>
      </c>
      <c r="D323" s="5">
        <f t="shared" si="10"/>
        <v>4372140</v>
      </c>
      <c r="E323" s="5">
        <f t="shared" si="11"/>
        <v>3627410.9</v>
      </c>
      <c r="F323" s="4" t="s">
        <v>50</v>
      </c>
    </row>
    <row r="324" spans="1:6" ht="16" x14ac:dyDescent="0.2">
      <c r="A324" s="13">
        <v>46034</v>
      </c>
      <c r="B324" s="4" t="s">
        <v>46</v>
      </c>
      <c r="C324" s="5">
        <v>4843494</v>
      </c>
      <c r="D324" s="5">
        <f t="shared" si="10"/>
        <v>4318663.2857142854</v>
      </c>
      <c r="E324" s="5">
        <f t="shared" si="11"/>
        <v>3727942.3666666667</v>
      </c>
      <c r="F324" s="4" t="s">
        <v>41</v>
      </c>
    </row>
    <row r="325" spans="1:6" ht="16" x14ac:dyDescent="0.2">
      <c r="A325" s="13">
        <v>46035</v>
      </c>
      <c r="B325" s="4" t="s">
        <v>48</v>
      </c>
      <c r="C325" s="5">
        <v>5245107</v>
      </c>
      <c r="D325" s="5">
        <f t="shared" si="10"/>
        <v>4306898.7142857146</v>
      </c>
      <c r="E325" s="5">
        <f t="shared" si="11"/>
        <v>3771647.2</v>
      </c>
      <c r="F325" s="4" t="s">
        <v>41</v>
      </c>
    </row>
    <row r="326" spans="1:6" ht="16" x14ac:dyDescent="0.2">
      <c r="A326" s="13">
        <v>46036</v>
      </c>
      <c r="B326" s="4" t="s">
        <v>40</v>
      </c>
      <c r="C326" s="5">
        <v>4939243</v>
      </c>
      <c r="D326" s="5">
        <f t="shared" si="10"/>
        <v>4266616.7142857146</v>
      </c>
      <c r="E326" s="5">
        <f t="shared" si="11"/>
        <v>3779684.9</v>
      </c>
      <c r="F326" s="4" t="s">
        <v>41</v>
      </c>
    </row>
    <row r="327" spans="1:6" ht="16" x14ac:dyDescent="0.2">
      <c r="A327" s="13">
        <v>46037</v>
      </c>
      <c r="B327" s="4" t="s">
        <v>45</v>
      </c>
      <c r="C327" s="5">
        <v>4991496</v>
      </c>
      <c r="D327" s="5">
        <f t="shared" si="10"/>
        <v>4243685.2857142854</v>
      </c>
      <c r="E327" s="5">
        <f t="shared" si="11"/>
        <v>3781013.7333333334</v>
      </c>
      <c r="F327" s="4" t="s">
        <v>41</v>
      </c>
    </row>
    <row r="328" spans="1:6" ht="16" x14ac:dyDescent="0.2">
      <c r="A328" s="13">
        <v>46038</v>
      </c>
      <c r="B328" s="4" t="s">
        <v>47</v>
      </c>
      <c r="C328" s="5">
        <v>3030825</v>
      </c>
      <c r="D328" s="5">
        <f t="shared" si="10"/>
        <v>4108058.4285714286</v>
      </c>
      <c r="E328" s="5">
        <f t="shared" si="11"/>
        <v>3724591.2333333334</v>
      </c>
      <c r="F328" s="4" t="s">
        <v>41</v>
      </c>
    </row>
    <row r="329" spans="1:6" ht="16" x14ac:dyDescent="0.2">
      <c r="A329" s="13">
        <v>46039</v>
      </c>
      <c r="B329" s="4" t="s">
        <v>49</v>
      </c>
      <c r="C329" s="5">
        <v>2340686</v>
      </c>
      <c r="D329" s="5">
        <f t="shared" si="10"/>
        <v>4179093.4285714286</v>
      </c>
      <c r="E329" s="5">
        <f t="shared" si="11"/>
        <v>3644534.4666666668</v>
      </c>
      <c r="F329" s="4" t="s">
        <v>50</v>
      </c>
    </row>
    <row r="330" spans="1:6" ht="16" x14ac:dyDescent="0.2">
      <c r="A330" s="13">
        <v>46040</v>
      </c>
      <c r="B330" s="4" t="s">
        <v>51</v>
      </c>
      <c r="C330" s="5">
        <v>3921633</v>
      </c>
      <c r="D330" s="5">
        <f t="shared" ref="D330:D393" si="12">AVERAGE(C324:C330)</f>
        <v>4187497.7142857141</v>
      </c>
      <c r="E330" s="5">
        <f t="shared" si="11"/>
        <v>3684342.8333333335</v>
      </c>
      <c r="F330" s="4" t="s">
        <v>50</v>
      </c>
    </row>
    <row r="331" spans="1:6" ht="16" x14ac:dyDescent="0.2">
      <c r="A331" s="13">
        <v>46041</v>
      </c>
      <c r="B331" s="4" t="s">
        <v>46</v>
      </c>
      <c r="C331" s="5">
        <v>5068727</v>
      </c>
      <c r="D331" s="5">
        <f t="shared" si="12"/>
        <v>4219673.8571428573</v>
      </c>
      <c r="E331" s="5">
        <f t="shared" si="11"/>
        <v>3782113.5666666669</v>
      </c>
      <c r="F331" s="4" t="s">
        <v>41</v>
      </c>
    </row>
    <row r="332" spans="1:6" ht="16" x14ac:dyDescent="0.2">
      <c r="A332" s="13">
        <v>46042</v>
      </c>
      <c r="B332" s="4" t="s">
        <v>48</v>
      </c>
      <c r="C332" s="5">
        <v>5092829</v>
      </c>
      <c r="D332" s="5">
        <f t="shared" si="12"/>
        <v>4197919.8571428573</v>
      </c>
      <c r="E332" s="5">
        <f t="shared" si="11"/>
        <v>3835432.4</v>
      </c>
      <c r="F332" s="4" t="s">
        <v>41</v>
      </c>
    </row>
    <row r="333" spans="1:6" ht="16" x14ac:dyDescent="0.2">
      <c r="A333" s="13">
        <v>46043</v>
      </c>
      <c r="B333" s="4" t="s">
        <v>40</v>
      </c>
      <c r="C333" s="5">
        <v>4597939</v>
      </c>
      <c r="D333" s="5">
        <f t="shared" si="12"/>
        <v>4149162.1428571427</v>
      </c>
      <c r="E333" s="5">
        <f t="shared" si="11"/>
        <v>3841842.9333333331</v>
      </c>
      <c r="F333" s="4" t="s">
        <v>41</v>
      </c>
    </row>
    <row r="334" spans="1:6" ht="16" x14ac:dyDescent="0.2">
      <c r="A334" s="13">
        <v>46044</v>
      </c>
      <c r="B334" s="4" t="s">
        <v>45</v>
      </c>
      <c r="C334" s="5">
        <v>4453274</v>
      </c>
      <c r="D334" s="5">
        <f t="shared" si="12"/>
        <v>4072273.2857142859</v>
      </c>
      <c r="E334" s="5">
        <f t="shared" si="11"/>
        <v>3840449.7</v>
      </c>
      <c r="F334" s="4" t="s">
        <v>41</v>
      </c>
    </row>
    <row r="335" spans="1:6" ht="16" x14ac:dyDescent="0.2">
      <c r="A335" s="13">
        <v>46045</v>
      </c>
      <c r="B335" s="4" t="s">
        <v>47</v>
      </c>
      <c r="C335" s="5">
        <v>2776381</v>
      </c>
      <c r="D335" s="5">
        <f t="shared" si="12"/>
        <v>4035924.1428571427</v>
      </c>
      <c r="E335" s="5">
        <f t="shared" si="11"/>
        <v>3854002.5</v>
      </c>
      <c r="F335" s="4" t="s">
        <v>41</v>
      </c>
    </row>
    <row r="336" spans="1:6" ht="16" x14ac:dyDescent="0.2">
      <c r="A336" s="13">
        <v>46046</v>
      </c>
      <c r="B336" s="4" t="s">
        <v>49</v>
      </c>
      <c r="C336" s="5">
        <v>2167996</v>
      </c>
      <c r="D336" s="5">
        <f t="shared" si="12"/>
        <v>4011254.1428571427</v>
      </c>
      <c r="E336" s="5">
        <f t="shared" si="11"/>
        <v>3860838.9</v>
      </c>
      <c r="F336" s="4" t="s">
        <v>50</v>
      </c>
    </row>
    <row r="337" spans="1:6" ht="16" x14ac:dyDescent="0.2">
      <c r="A337" s="13">
        <v>46047</v>
      </c>
      <c r="B337" s="4" t="s">
        <v>51</v>
      </c>
      <c r="C337" s="5">
        <v>3670308</v>
      </c>
      <c r="D337" s="5">
        <f t="shared" si="12"/>
        <v>3975350.5714285714</v>
      </c>
      <c r="E337" s="5">
        <f t="shared" si="11"/>
        <v>3899441.0333333332</v>
      </c>
      <c r="F337" s="4" t="s">
        <v>50</v>
      </c>
    </row>
    <row r="338" spans="1:6" ht="16" x14ac:dyDescent="0.2">
      <c r="A338" s="13">
        <v>46048</v>
      </c>
      <c r="B338" s="4" t="s">
        <v>46</v>
      </c>
      <c r="C338" s="5">
        <v>4915798</v>
      </c>
      <c r="D338" s="5">
        <f t="shared" si="12"/>
        <v>3953503.5714285714</v>
      </c>
      <c r="E338" s="5">
        <f t="shared" si="11"/>
        <v>3990579.1</v>
      </c>
      <c r="F338" s="4" t="s">
        <v>41</v>
      </c>
    </row>
    <row r="339" spans="1:6" ht="16" x14ac:dyDescent="0.2">
      <c r="A339" s="13">
        <v>46049</v>
      </c>
      <c r="B339" s="4" t="s">
        <v>48</v>
      </c>
      <c r="C339" s="5">
        <v>4970736</v>
      </c>
      <c r="D339" s="5">
        <f t="shared" si="12"/>
        <v>3936061.7142857141</v>
      </c>
      <c r="E339" s="5">
        <f t="shared" si="11"/>
        <v>4020211.7</v>
      </c>
      <c r="F339" s="4" t="s">
        <v>41</v>
      </c>
    </row>
    <row r="340" spans="1:6" ht="16" x14ac:dyDescent="0.2">
      <c r="A340" s="13">
        <v>46050</v>
      </c>
      <c r="B340" s="4" t="s">
        <v>40</v>
      </c>
      <c r="C340" s="5">
        <v>4605813</v>
      </c>
      <c r="D340" s="5">
        <f t="shared" si="12"/>
        <v>3937186.5714285714</v>
      </c>
      <c r="E340" s="5">
        <f t="shared" si="11"/>
        <v>4017431.6</v>
      </c>
      <c r="F340" s="4" t="s">
        <v>41</v>
      </c>
    </row>
    <row r="341" spans="1:6" ht="16" x14ac:dyDescent="0.2">
      <c r="A341" s="13">
        <v>46051</v>
      </c>
      <c r="B341" s="4" t="s">
        <v>45</v>
      </c>
      <c r="C341" s="5">
        <v>4724403</v>
      </c>
      <c r="D341" s="5">
        <f t="shared" si="12"/>
        <v>3975919.2857142859</v>
      </c>
      <c r="E341" s="5">
        <f t="shared" si="11"/>
        <v>4018250.9</v>
      </c>
      <c r="F341" s="4" t="s">
        <v>41</v>
      </c>
    </row>
    <row r="342" spans="1:6" ht="16" x14ac:dyDescent="0.2">
      <c r="A342" s="13">
        <v>46052</v>
      </c>
      <c r="B342" s="4" t="s">
        <v>47</v>
      </c>
      <c r="C342" s="5">
        <v>2734258</v>
      </c>
      <c r="D342" s="5">
        <f t="shared" si="12"/>
        <v>3969901.7142857141</v>
      </c>
      <c r="E342" s="5">
        <f t="shared" si="11"/>
        <v>4028001.4666666668</v>
      </c>
      <c r="F342" s="4" t="s">
        <v>41</v>
      </c>
    </row>
    <row r="343" spans="1:6" ht="16" x14ac:dyDescent="0.2">
      <c r="A343" s="13">
        <v>46053</v>
      </c>
      <c r="B343" s="4" t="s">
        <v>49</v>
      </c>
      <c r="C343" s="5">
        <v>2006072</v>
      </c>
      <c r="D343" s="5">
        <f t="shared" si="12"/>
        <v>3946769.7142857141</v>
      </c>
      <c r="E343" s="5">
        <f t="shared" si="11"/>
        <v>4030085.5</v>
      </c>
      <c r="F343" s="4" t="s">
        <v>50</v>
      </c>
    </row>
    <row r="344" spans="1:6" ht="16" x14ac:dyDescent="0.2">
      <c r="A344" s="13">
        <v>46054</v>
      </c>
      <c r="B344" s="4" t="s">
        <v>51</v>
      </c>
      <c r="C344" s="5">
        <v>3825083</v>
      </c>
      <c r="D344" s="5">
        <f t="shared" si="12"/>
        <v>3968880.4285714286</v>
      </c>
      <c r="E344" s="5">
        <f t="shared" si="11"/>
        <v>4045901.9666666668</v>
      </c>
      <c r="F344" s="4" t="s">
        <v>50</v>
      </c>
    </row>
    <row r="345" spans="1:6" ht="16" x14ac:dyDescent="0.2">
      <c r="A345" s="13">
        <v>46055</v>
      </c>
      <c r="B345" s="4" t="s">
        <v>46</v>
      </c>
      <c r="C345" s="5">
        <v>4972404</v>
      </c>
      <c r="D345" s="5">
        <f t="shared" si="12"/>
        <v>3976967</v>
      </c>
      <c r="E345" s="5">
        <f t="shared" si="11"/>
        <v>4139846.3333333335</v>
      </c>
      <c r="F345" s="4" t="s">
        <v>41</v>
      </c>
    </row>
    <row r="346" spans="1:6" ht="16" x14ac:dyDescent="0.2">
      <c r="A346" s="13">
        <v>46056</v>
      </c>
      <c r="B346" s="4" t="s">
        <v>48</v>
      </c>
      <c r="C346" s="5">
        <v>5109935</v>
      </c>
      <c r="D346" s="5">
        <f t="shared" si="12"/>
        <v>3996852.5714285714</v>
      </c>
      <c r="E346" s="5">
        <f t="shared" si="11"/>
        <v>4186980.6666666665</v>
      </c>
      <c r="F346" s="4" t="s">
        <v>41</v>
      </c>
    </row>
    <row r="347" spans="1:6" ht="16" x14ac:dyDescent="0.2">
      <c r="A347" s="13">
        <v>46057</v>
      </c>
      <c r="B347" s="4" t="s">
        <v>40</v>
      </c>
      <c r="C347" s="5">
        <v>4739935</v>
      </c>
      <c r="D347" s="5">
        <f t="shared" si="12"/>
        <v>4016012.8571428573</v>
      </c>
      <c r="E347" s="5">
        <f t="shared" si="11"/>
        <v>4171050.8</v>
      </c>
      <c r="F347" s="4" t="s">
        <v>41</v>
      </c>
    </row>
    <row r="348" spans="1:6" ht="16" x14ac:dyDescent="0.2">
      <c r="A348" s="13">
        <v>46058</v>
      </c>
      <c r="B348" s="4" t="s">
        <v>45</v>
      </c>
      <c r="C348" s="5">
        <v>4636373</v>
      </c>
      <c r="D348" s="5">
        <f t="shared" si="12"/>
        <v>4003437.1428571427</v>
      </c>
      <c r="E348" s="5">
        <f t="shared" si="11"/>
        <v>4148014.6</v>
      </c>
      <c r="F348" s="4" t="s">
        <v>41</v>
      </c>
    </row>
    <row r="349" spans="1:6" ht="16" x14ac:dyDescent="0.2">
      <c r="A349" s="13">
        <v>46059</v>
      </c>
      <c r="B349" s="4" t="s">
        <v>47</v>
      </c>
      <c r="C349" s="5">
        <v>2903760</v>
      </c>
      <c r="D349" s="5">
        <f t="shared" si="12"/>
        <v>4027651.7142857141</v>
      </c>
      <c r="E349" s="5">
        <f t="shared" si="11"/>
        <v>4070766.0333333332</v>
      </c>
      <c r="F349" s="4" t="s">
        <v>41</v>
      </c>
    </row>
    <row r="350" spans="1:6" ht="16" x14ac:dyDescent="0.2">
      <c r="A350" s="13">
        <v>46060</v>
      </c>
      <c r="B350" s="4" t="s">
        <v>49</v>
      </c>
      <c r="C350" s="5">
        <v>1867565</v>
      </c>
      <c r="D350" s="5">
        <f t="shared" si="12"/>
        <v>4007865</v>
      </c>
      <c r="E350" s="5">
        <f t="shared" si="11"/>
        <v>3961284.3333333335</v>
      </c>
      <c r="F350" s="4" t="s">
        <v>50</v>
      </c>
    </row>
    <row r="351" spans="1:6" ht="16" x14ac:dyDescent="0.2">
      <c r="A351" s="13">
        <v>46061</v>
      </c>
      <c r="B351" s="4" t="s">
        <v>51</v>
      </c>
      <c r="C351" s="5">
        <v>3471980</v>
      </c>
      <c r="D351" s="5">
        <f t="shared" si="12"/>
        <v>3957421.7142857141</v>
      </c>
      <c r="E351" s="5">
        <f t="shared" si="11"/>
        <v>3944343.2333333334</v>
      </c>
      <c r="F351" s="4" t="s">
        <v>50</v>
      </c>
    </row>
    <row r="352" spans="1:6" ht="16" x14ac:dyDescent="0.2">
      <c r="A352" s="13">
        <v>46062</v>
      </c>
      <c r="B352" s="4" t="s">
        <v>46</v>
      </c>
      <c r="C352" s="5">
        <v>4703706</v>
      </c>
      <c r="D352" s="5">
        <f t="shared" si="12"/>
        <v>3919036.2857142859</v>
      </c>
      <c r="E352" s="5">
        <f t="shared" si="11"/>
        <v>4039685.4</v>
      </c>
      <c r="F352" s="4" t="s">
        <v>41</v>
      </c>
    </row>
    <row r="353" spans="1:6" ht="16" x14ac:dyDescent="0.2">
      <c r="A353" s="13">
        <v>46063</v>
      </c>
      <c r="B353" s="4" t="s">
        <v>48</v>
      </c>
      <c r="C353" s="5">
        <v>4919377</v>
      </c>
      <c r="D353" s="5">
        <f t="shared" si="12"/>
        <v>3891813.7142857141</v>
      </c>
      <c r="E353" s="5">
        <f t="shared" ref="E353:E416" si="13">AVERAGE(C324:C353)</f>
        <v>4074904.5333333332</v>
      </c>
      <c r="F353" s="4" t="s">
        <v>41</v>
      </c>
    </row>
    <row r="354" spans="1:6" ht="16" x14ac:dyDescent="0.2">
      <c r="A354" s="13">
        <v>46064</v>
      </c>
      <c r="B354" s="4" t="s">
        <v>40</v>
      </c>
      <c r="C354" s="5">
        <v>4766286</v>
      </c>
      <c r="D354" s="5">
        <f t="shared" si="12"/>
        <v>3895578.1428571427</v>
      </c>
      <c r="E354" s="5">
        <f t="shared" si="13"/>
        <v>4072330.9333333331</v>
      </c>
      <c r="F354" s="4" t="s">
        <v>41</v>
      </c>
    </row>
    <row r="355" spans="1:6" ht="16" x14ac:dyDescent="0.2">
      <c r="A355" s="13">
        <v>46065</v>
      </c>
      <c r="B355" s="4" t="s">
        <v>45</v>
      </c>
      <c r="C355" s="5">
        <v>4798004</v>
      </c>
      <c r="D355" s="5">
        <f t="shared" si="12"/>
        <v>3918668.2857142859</v>
      </c>
      <c r="E355" s="5">
        <f t="shared" si="13"/>
        <v>4057427.5</v>
      </c>
      <c r="F355" s="4" t="s">
        <v>41</v>
      </c>
    </row>
    <row r="356" spans="1:6" ht="16" x14ac:dyDescent="0.2">
      <c r="A356" s="13">
        <v>46066</v>
      </c>
      <c r="B356" s="4" t="s">
        <v>47</v>
      </c>
      <c r="C356" s="5">
        <v>2898665</v>
      </c>
      <c r="D356" s="5">
        <f t="shared" si="12"/>
        <v>3917940.4285714286</v>
      </c>
      <c r="E356" s="5">
        <f t="shared" si="13"/>
        <v>3989408.2333333334</v>
      </c>
      <c r="F356" s="4" t="s">
        <v>41</v>
      </c>
    </row>
    <row r="357" spans="1:6" ht="16" x14ac:dyDescent="0.2">
      <c r="A357" s="13">
        <v>46067</v>
      </c>
      <c r="B357" s="4" t="s">
        <v>49</v>
      </c>
      <c r="C357" s="5">
        <v>1857040</v>
      </c>
      <c r="D357" s="5">
        <f t="shared" si="12"/>
        <v>3916436.8571428573</v>
      </c>
      <c r="E357" s="5">
        <f t="shared" si="13"/>
        <v>3884926.3666666667</v>
      </c>
      <c r="F357" s="4" t="s">
        <v>50</v>
      </c>
    </row>
    <row r="358" spans="1:6" ht="16" x14ac:dyDescent="0.2">
      <c r="A358" s="13">
        <v>46068</v>
      </c>
      <c r="B358" s="4" t="s">
        <v>51</v>
      </c>
      <c r="C358" s="5">
        <v>3776866</v>
      </c>
      <c r="D358" s="5">
        <f t="shared" si="12"/>
        <v>3959992</v>
      </c>
      <c r="E358" s="5">
        <f t="shared" si="13"/>
        <v>3909794.4</v>
      </c>
      <c r="F358" s="4" t="s">
        <v>50</v>
      </c>
    </row>
    <row r="359" spans="1:6" ht="16" x14ac:dyDescent="0.2">
      <c r="A359" s="13">
        <v>46069</v>
      </c>
      <c r="B359" s="4" t="s">
        <v>46</v>
      </c>
      <c r="C359" s="5">
        <v>4816016</v>
      </c>
      <c r="D359" s="5">
        <f t="shared" si="12"/>
        <v>3976036.2857142859</v>
      </c>
      <c r="E359" s="5">
        <f t="shared" si="13"/>
        <v>3992305.4</v>
      </c>
      <c r="F359" s="4" t="s">
        <v>41</v>
      </c>
    </row>
    <row r="360" spans="1:6" ht="16" x14ac:dyDescent="0.2">
      <c r="A360" s="13">
        <v>46070</v>
      </c>
      <c r="B360" s="4" t="s">
        <v>48</v>
      </c>
      <c r="C360" s="5">
        <v>4870475</v>
      </c>
      <c r="D360" s="5">
        <f t="shared" si="12"/>
        <v>3969050.2857142859</v>
      </c>
      <c r="E360" s="5">
        <f t="shared" si="13"/>
        <v>4023933.4666666668</v>
      </c>
      <c r="F360" s="4" t="s">
        <v>41</v>
      </c>
    </row>
    <row r="361" spans="1:6" ht="16" x14ac:dyDescent="0.2">
      <c r="A361" s="13">
        <v>46071</v>
      </c>
      <c r="B361" s="4" t="s">
        <v>40</v>
      </c>
      <c r="C361" s="5">
        <v>4757647</v>
      </c>
      <c r="D361" s="5">
        <f t="shared" si="12"/>
        <v>3967816.1428571427</v>
      </c>
      <c r="E361" s="5">
        <f t="shared" si="13"/>
        <v>4013564.1333333333</v>
      </c>
      <c r="F361" s="4" t="s">
        <v>41</v>
      </c>
    </row>
    <row r="362" spans="1:6" ht="16" x14ac:dyDescent="0.2">
      <c r="A362" s="13">
        <v>46072</v>
      </c>
      <c r="B362" s="4" t="s">
        <v>45</v>
      </c>
      <c r="C362" s="5">
        <v>4796771</v>
      </c>
      <c r="D362" s="5">
        <f t="shared" si="12"/>
        <v>3967640</v>
      </c>
      <c r="E362" s="5">
        <f t="shared" si="13"/>
        <v>4003695.5333333332</v>
      </c>
      <c r="F362" s="4" t="s">
        <v>41</v>
      </c>
    </row>
    <row r="363" spans="1:6" ht="16" x14ac:dyDescent="0.2">
      <c r="A363" s="13">
        <v>46073</v>
      </c>
      <c r="B363" s="4" t="s">
        <v>47</v>
      </c>
      <c r="C363" s="5">
        <v>2991948</v>
      </c>
      <c r="D363" s="5">
        <f t="shared" si="12"/>
        <v>3980966.1428571427</v>
      </c>
      <c r="E363" s="5">
        <f t="shared" si="13"/>
        <v>3950162.5</v>
      </c>
      <c r="F363" s="4" t="s">
        <v>41</v>
      </c>
    </row>
    <row r="364" spans="1:6" ht="16" x14ac:dyDescent="0.2">
      <c r="A364" s="13">
        <v>46074</v>
      </c>
      <c r="B364" s="4" t="s">
        <v>49</v>
      </c>
      <c r="C364" s="5">
        <v>2236911</v>
      </c>
      <c r="D364" s="5">
        <f t="shared" si="12"/>
        <v>4035233.4285714286</v>
      </c>
      <c r="E364" s="5">
        <f t="shared" si="13"/>
        <v>3876283.7333333334</v>
      </c>
      <c r="F364" s="4" t="s">
        <v>50</v>
      </c>
    </row>
    <row r="365" spans="1:6" ht="16" x14ac:dyDescent="0.2">
      <c r="A365" s="13">
        <v>46075</v>
      </c>
      <c r="B365" s="4" t="s">
        <v>51</v>
      </c>
      <c r="C365" s="5">
        <v>3409595</v>
      </c>
      <c r="D365" s="5">
        <f t="shared" si="12"/>
        <v>3982766.1428571427</v>
      </c>
      <c r="E365" s="5">
        <f t="shared" si="13"/>
        <v>3897390.8666666667</v>
      </c>
      <c r="F365" s="4" t="s">
        <v>50</v>
      </c>
    </row>
    <row r="366" spans="1:6" ht="16" x14ac:dyDescent="0.2">
      <c r="A366" s="13">
        <v>46076</v>
      </c>
      <c r="B366" s="4" t="s">
        <v>46</v>
      </c>
      <c r="C366" s="5">
        <v>4726602</v>
      </c>
      <c r="D366" s="5">
        <f t="shared" si="12"/>
        <v>3969992.7142857141</v>
      </c>
      <c r="E366" s="5">
        <f t="shared" si="13"/>
        <v>3982677.7333333334</v>
      </c>
      <c r="F366" s="4" t="s">
        <v>41</v>
      </c>
    </row>
    <row r="367" spans="1:6" ht="16" x14ac:dyDescent="0.2">
      <c r="A367" s="13">
        <v>46077</v>
      </c>
      <c r="B367" s="4" t="s">
        <v>48</v>
      </c>
      <c r="C367" s="5">
        <v>4975720</v>
      </c>
      <c r="D367" s="5">
        <f t="shared" si="12"/>
        <v>3985027.7142857141</v>
      </c>
      <c r="E367" s="5">
        <f t="shared" si="13"/>
        <v>4026191.4666666668</v>
      </c>
      <c r="F367" s="4" t="s">
        <v>41</v>
      </c>
    </row>
    <row r="368" spans="1:6" ht="16" x14ac:dyDescent="0.2">
      <c r="A368" s="13">
        <v>46078</v>
      </c>
      <c r="B368" s="4" t="s">
        <v>40</v>
      </c>
      <c r="C368" s="5">
        <v>4622233</v>
      </c>
      <c r="D368" s="5">
        <f t="shared" si="12"/>
        <v>3965682.8571428573</v>
      </c>
      <c r="E368" s="5">
        <f t="shared" si="13"/>
        <v>4016405.9666666668</v>
      </c>
      <c r="F368" s="4" t="s">
        <v>41</v>
      </c>
    </row>
    <row r="369" spans="1:6" ht="16" x14ac:dyDescent="0.2">
      <c r="A369" s="13">
        <v>46079</v>
      </c>
      <c r="B369" s="4" t="s">
        <v>45</v>
      </c>
      <c r="C369" s="5">
        <v>669087</v>
      </c>
      <c r="D369" s="5">
        <f t="shared" si="12"/>
        <v>3376013.7142857141</v>
      </c>
      <c r="E369" s="5">
        <f t="shared" si="13"/>
        <v>3873017.6666666665</v>
      </c>
      <c r="F369" s="4" t="s">
        <v>41</v>
      </c>
    </row>
  </sheetData>
  <mergeCells count="2">
    <mergeCell ref="A1:F1"/>
    <mergeCell ref="H3:J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5"/>
  <sheetViews>
    <sheetView tabSelected="1" topLeftCell="A15" zoomScaleNormal="100" workbookViewId="0">
      <selection activeCell="O27" sqref="O27"/>
    </sheetView>
  </sheetViews>
  <sheetFormatPr baseColWidth="10" defaultColWidth="8.6640625" defaultRowHeight="15" customHeight="1" x14ac:dyDescent="0.2"/>
  <cols>
    <col min="1" max="1" width="38" customWidth="1"/>
    <col min="2" max="2" width="24" customWidth="1"/>
    <col min="3" max="3" width="22" customWidth="1"/>
    <col min="4" max="4" width="24" customWidth="1"/>
    <col min="5" max="6" width="22" customWidth="1"/>
    <col min="7" max="7" width="20" customWidth="1"/>
    <col min="8" max="8" width="14" customWidth="1"/>
  </cols>
  <sheetData>
    <row r="1" spans="1:8" ht="18" x14ac:dyDescent="0.2">
      <c r="A1" s="2" t="s">
        <v>55</v>
      </c>
      <c r="B1" s="2"/>
      <c r="C1" s="2"/>
      <c r="D1" s="2"/>
      <c r="E1" s="2"/>
      <c r="F1" s="2"/>
      <c r="G1" s="2"/>
      <c r="H1" s="2"/>
    </row>
    <row r="3" spans="1:8" ht="16" x14ac:dyDescent="0.2">
      <c r="A3" s="8" t="s">
        <v>56</v>
      </c>
    </row>
    <row r="4" spans="1:8" ht="16" x14ac:dyDescent="0.2">
      <c r="A4" s="9" t="s">
        <v>57</v>
      </c>
      <c r="B4" s="14">
        <v>122846116</v>
      </c>
      <c r="C4" s="15" t="s">
        <v>58</v>
      </c>
    </row>
    <row r="5" spans="1:8" ht="16" x14ac:dyDescent="0.2">
      <c r="A5" s="9" t="s">
        <v>59</v>
      </c>
      <c r="B5" s="16">
        <f>'Monthly Summary'!B21</f>
        <v>0.7840056180715701</v>
      </c>
      <c r="C5" s="15" t="s">
        <v>60</v>
      </c>
    </row>
    <row r="6" spans="1:8" ht="16" x14ac:dyDescent="0.2">
      <c r="A6" s="9" t="s">
        <v>61</v>
      </c>
      <c r="B6" s="14">
        <v>1126210190</v>
      </c>
      <c r="C6" s="15" t="s">
        <v>58</v>
      </c>
    </row>
    <row r="7" spans="1:8" ht="16" x14ac:dyDescent="0.2">
      <c r="A7" s="9" t="s">
        <v>62</v>
      </c>
      <c r="B7" s="14">
        <v>500</v>
      </c>
      <c r="C7" s="15" t="s">
        <v>63</v>
      </c>
    </row>
    <row r="8" spans="1:8" ht="16" x14ac:dyDescent="0.2">
      <c r="A8" s="9" t="s">
        <v>64</v>
      </c>
      <c r="B8" s="14">
        <v>100000</v>
      </c>
      <c r="C8" s="15" t="s">
        <v>65</v>
      </c>
    </row>
    <row r="9" spans="1:8" ht="16" x14ac:dyDescent="0.2">
      <c r="A9" s="9" t="s">
        <v>66</v>
      </c>
      <c r="B9" s="17">
        <v>2</v>
      </c>
      <c r="C9" s="15" t="s">
        <v>67</v>
      </c>
    </row>
    <row r="10" spans="1:8" ht="16" x14ac:dyDescent="0.2">
      <c r="A10" s="9" t="s">
        <v>68</v>
      </c>
      <c r="B10" s="14">
        <v>365</v>
      </c>
      <c r="C10" s="15" t="s">
        <v>69</v>
      </c>
    </row>
    <row r="13" spans="1:8" ht="16" x14ac:dyDescent="0.2">
      <c r="A13" s="8" t="s">
        <v>70</v>
      </c>
    </row>
    <row r="14" spans="1:8" ht="16" x14ac:dyDescent="0.2">
      <c r="A14" s="3" t="s">
        <v>6</v>
      </c>
      <c r="B14" s="3" t="s">
        <v>71</v>
      </c>
      <c r="C14" s="3" t="s">
        <v>72</v>
      </c>
      <c r="D14" s="3" t="s">
        <v>73</v>
      </c>
      <c r="E14" s="3" t="s">
        <v>74</v>
      </c>
      <c r="F14" s="3" t="s">
        <v>75</v>
      </c>
      <c r="G14" s="3" t="s">
        <v>31</v>
      </c>
      <c r="H14" s="3" t="s">
        <v>76</v>
      </c>
    </row>
    <row r="15" spans="1:8" ht="16" x14ac:dyDescent="0.2">
      <c r="A15" s="4" t="s">
        <v>77</v>
      </c>
      <c r="B15" s="5">
        <f>$B$4*(1+$B$5)^2</f>
        <v>390979390.65268713</v>
      </c>
      <c r="C15" s="5">
        <f>$B$6+B15</f>
        <v>1517189580.6526871</v>
      </c>
      <c r="D15" s="5">
        <f>$B$4*(1+$B$5)^-10</f>
        <v>376183.07583107904</v>
      </c>
      <c r="E15" s="5">
        <f t="shared" ref="E15:E38" si="0">CEILING(D15/$B$8,1)</f>
        <v>4</v>
      </c>
      <c r="F15" s="18">
        <f t="shared" ref="F15:F38" si="1">E15*$B$9/3600</f>
        <v>2.2222222222222222E-3</v>
      </c>
      <c r="G15" s="18">
        <f t="shared" ref="G15:G38" si="2">C15*$B$7/1024/1024/1024</f>
        <v>706.49645321661933</v>
      </c>
      <c r="H15" s="4" t="str">
        <f t="shared" ref="H15:H38" si="3">IF(F15&gt;8,"CRITICAL",IF(F15&gt;4,"WARNING","OK"))</f>
        <v>OK</v>
      </c>
    </row>
    <row r="16" spans="1:8" ht="16" x14ac:dyDescent="0.2">
      <c r="A16" s="4" t="s">
        <v>78</v>
      </c>
      <c r="B16" s="5">
        <f>$B$4*(1+$B$5)^3</f>
        <v>697509429.4745928</v>
      </c>
      <c r="C16" s="5">
        <f t="shared" ref="C16:C38" si="4">C15+B16</f>
        <v>2214699010.1272798</v>
      </c>
      <c r="D16" s="5">
        <f>$B$4*(1+$B$5)^-9</f>
        <v>671112.72070608847</v>
      </c>
      <c r="E16" s="5">
        <f t="shared" si="0"/>
        <v>7</v>
      </c>
      <c r="F16" s="18">
        <f t="shared" si="1"/>
        <v>3.8888888888888888E-3</v>
      </c>
      <c r="G16" s="18">
        <f t="shared" si="2"/>
        <v>1031.299592055045</v>
      </c>
      <c r="H16" s="4" t="str">
        <f t="shared" si="3"/>
        <v>OK</v>
      </c>
    </row>
    <row r="17" spans="1:8" ht="16" x14ac:dyDescent="0.2">
      <c r="A17" s="4" t="s">
        <v>79</v>
      </c>
      <c r="B17" s="5">
        <f>$B$4*(1+$B$5)^4</f>
        <v>1244360740.8405693</v>
      </c>
      <c r="C17" s="5">
        <f t="shared" si="4"/>
        <v>3459059750.9678488</v>
      </c>
      <c r="D17" s="5">
        <f>$B$4*(1+$B$5)^-8</f>
        <v>1197268.8640989582</v>
      </c>
      <c r="E17" s="5">
        <f t="shared" si="0"/>
        <v>12</v>
      </c>
      <c r="F17" s="18">
        <f t="shared" si="1"/>
        <v>6.6666666666666671E-3</v>
      </c>
      <c r="G17" s="18">
        <f t="shared" si="2"/>
        <v>1610.7502165100764</v>
      </c>
      <c r="H17" s="4" t="str">
        <f t="shared" si="3"/>
        <v>OK</v>
      </c>
    </row>
    <row r="18" spans="1:8" ht="16" x14ac:dyDescent="0.2">
      <c r="A18" s="4" t="s">
        <v>80</v>
      </c>
      <c r="B18" s="5">
        <f>$B$4*(1+$B$5)^5</f>
        <v>2219946552.5672765</v>
      </c>
      <c r="C18" s="5">
        <f t="shared" si="4"/>
        <v>5679006303.5351257</v>
      </c>
      <c r="D18" s="5">
        <f>$B$4*(1+$B$5)^-7</f>
        <v>2135934.3798947087</v>
      </c>
      <c r="E18" s="5">
        <f t="shared" si="0"/>
        <v>22</v>
      </c>
      <c r="F18" s="18">
        <f t="shared" si="1"/>
        <v>1.2222222222222223E-2</v>
      </c>
      <c r="G18" s="18">
        <f t="shared" si="2"/>
        <v>2644.4933859329326</v>
      </c>
      <c r="H18" s="4" t="str">
        <f t="shared" si="3"/>
        <v>OK</v>
      </c>
    </row>
    <row r="19" spans="1:8" ht="16" x14ac:dyDescent="0.2">
      <c r="A19" s="4" t="s">
        <v>81</v>
      </c>
      <c r="B19" s="5">
        <f>$B$4*(1+$B$5)^6</f>
        <v>3960397121.5986357</v>
      </c>
      <c r="C19" s="5">
        <f t="shared" si="4"/>
        <v>9639403425.1337624</v>
      </c>
      <c r="D19" s="5">
        <f>$B$4*(1+$B$5)^-6</f>
        <v>3810518.9335643756</v>
      </c>
      <c r="E19" s="5">
        <f t="shared" si="0"/>
        <v>39</v>
      </c>
      <c r="F19" s="18">
        <f t="shared" si="1"/>
        <v>2.1666666666666667E-2</v>
      </c>
      <c r="G19" s="18">
        <f t="shared" si="2"/>
        <v>4488.6970078264185</v>
      </c>
      <c r="H19" s="4" t="str">
        <f t="shared" si="3"/>
        <v>OK</v>
      </c>
    </row>
    <row r="20" spans="1:8" ht="16" x14ac:dyDescent="0.2">
      <c r="A20" s="4" t="s">
        <v>82</v>
      </c>
      <c r="B20" s="5">
        <f>$B$4*(1+$B$5)^7</f>
        <v>7065370714.7264404</v>
      </c>
      <c r="C20" s="5">
        <f t="shared" si="4"/>
        <v>16704774139.860203</v>
      </c>
      <c r="D20" s="5">
        <f>$B$4*(1+$B$5)^-5</f>
        <v>6797987.1852469342</v>
      </c>
      <c r="E20" s="5">
        <f t="shared" si="0"/>
        <v>68</v>
      </c>
      <c r="F20" s="18">
        <f t="shared" si="1"/>
        <v>3.7777777777777778E-2</v>
      </c>
      <c r="G20" s="18">
        <f t="shared" si="2"/>
        <v>7778.766630152335</v>
      </c>
      <c r="H20" s="4" t="str">
        <f t="shared" si="3"/>
        <v>OK</v>
      </c>
    </row>
    <row r="21" spans="1:8" ht="16" x14ac:dyDescent="0.2">
      <c r="A21" s="4" t="s">
        <v>83</v>
      </c>
      <c r="B21" s="5">
        <f>$B$4*(1+$B$5)^8</f>
        <v>12604661048.830315</v>
      </c>
      <c r="C21" s="5">
        <f t="shared" si="4"/>
        <v>29309435188.690517</v>
      </c>
      <c r="D21" s="5">
        <f>$B$4*(1+$B$5)^-4</f>
        <v>12127647.330059068</v>
      </c>
      <c r="E21" s="5">
        <f t="shared" si="0"/>
        <v>122</v>
      </c>
      <c r="F21" s="18">
        <f t="shared" si="1"/>
        <v>6.7777777777777784E-2</v>
      </c>
      <c r="G21" s="18">
        <f t="shared" si="2"/>
        <v>13648.269320228377</v>
      </c>
      <c r="H21" s="4" t="str">
        <f t="shared" si="3"/>
        <v>OK</v>
      </c>
    </row>
    <row r="22" spans="1:8" ht="16" x14ac:dyDescent="0.2">
      <c r="A22" s="4" t="s">
        <v>84</v>
      </c>
      <c r="B22" s="5">
        <f>$B$4*(1+$B$5)^9</f>
        <v>22486786125.001171</v>
      </c>
      <c r="C22" s="5">
        <f t="shared" si="4"/>
        <v>51796221313.691689</v>
      </c>
      <c r="D22" s="5">
        <f>$B$4*(1+$B$5)^-3</f>
        <v>21635790.970816057</v>
      </c>
      <c r="E22" s="5">
        <f t="shared" si="0"/>
        <v>217</v>
      </c>
      <c r="F22" s="18">
        <f t="shared" si="1"/>
        <v>0.12055555555555555</v>
      </c>
      <c r="G22" s="18">
        <f t="shared" si="2"/>
        <v>24119.495094610233</v>
      </c>
      <c r="H22" s="4" t="str">
        <f t="shared" si="3"/>
        <v>OK</v>
      </c>
    </row>
    <row r="23" spans="1:8" ht="16" x14ac:dyDescent="0.2">
      <c r="A23" s="4" t="s">
        <v>85</v>
      </c>
      <c r="B23" s="5">
        <f>$B$4*(1+$B$5)^10</f>
        <v>40116552779.375923</v>
      </c>
      <c r="C23" s="5">
        <f t="shared" si="4"/>
        <v>91912774093.067612</v>
      </c>
      <c r="D23" s="5">
        <f>$B$4*(1+$B$5)^-2</f>
        <v>38598372.643357992</v>
      </c>
      <c r="E23" s="5">
        <f t="shared" si="0"/>
        <v>386</v>
      </c>
      <c r="F23" s="18">
        <f t="shared" si="1"/>
        <v>0.21444444444444444</v>
      </c>
      <c r="G23" s="18">
        <f t="shared" si="2"/>
        <v>42800.22070420329</v>
      </c>
      <c r="H23" s="4" t="str">
        <f t="shared" si="3"/>
        <v>OK</v>
      </c>
    </row>
    <row r="24" spans="1:8" ht="16" x14ac:dyDescent="0.2">
      <c r="A24" s="4" t="s">
        <v>86</v>
      </c>
      <c r="B24" s="5">
        <f>$B$4*(1+$B$5)^11</f>
        <v>71568155536.071289</v>
      </c>
      <c r="C24" s="5">
        <f t="shared" si="4"/>
        <v>163480929629.13892</v>
      </c>
      <c r="D24" s="5">
        <f>$B$4*(1+$B$5)^-1</f>
        <v>68859713.644170657</v>
      </c>
      <c r="E24" s="5">
        <f t="shared" si="0"/>
        <v>689</v>
      </c>
      <c r="F24" s="18">
        <f t="shared" si="1"/>
        <v>0.38277777777777777</v>
      </c>
      <c r="G24" s="18">
        <f t="shared" si="2"/>
        <v>76126.740141370756</v>
      </c>
      <c r="H24" s="4" t="str">
        <f t="shared" si="3"/>
        <v>OK</v>
      </c>
    </row>
    <row r="25" spans="1:8" ht="16" x14ac:dyDescent="0.2">
      <c r="A25" s="4" t="s">
        <v>87</v>
      </c>
      <c r="B25" s="5">
        <f>$B$4*(1+$B$5)^12</f>
        <v>127677991551.37114</v>
      </c>
      <c r="C25" s="5">
        <f t="shared" si="4"/>
        <v>291158921180.51007</v>
      </c>
      <c r="D25" s="5">
        <f>$B$4*(1+$B$5)^0</f>
        <v>122846116</v>
      </c>
      <c r="E25" s="5">
        <f t="shared" si="0"/>
        <v>1229</v>
      </c>
      <c r="F25" s="18">
        <f t="shared" si="1"/>
        <v>0.68277777777777782</v>
      </c>
      <c r="G25" s="18">
        <f t="shared" si="2"/>
        <v>135581.43804804891</v>
      </c>
      <c r="H25" s="4" t="str">
        <f t="shared" si="3"/>
        <v>OK</v>
      </c>
    </row>
    <row r="26" spans="1:8" ht="16" x14ac:dyDescent="0.2">
      <c r="A26" s="4" t="s">
        <v>88</v>
      </c>
      <c r="B26" s="5">
        <f>$B$4*(1+$B$5)^13</f>
        <v>227778254231.74057</v>
      </c>
      <c r="C26" s="5">
        <f t="shared" si="4"/>
        <v>518937175412.25061</v>
      </c>
      <c r="D26" s="5">
        <f>$B$4*(1+$B$5)^1</f>
        <v>219158161.1022718</v>
      </c>
      <c r="E26" s="5">
        <f t="shared" si="0"/>
        <v>2192</v>
      </c>
      <c r="F26" s="18">
        <f t="shared" si="1"/>
        <v>1.2177777777777778</v>
      </c>
      <c r="G26" s="18">
        <f t="shared" si="2"/>
        <v>241648.95313431072</v>
      </c>
      <c r="H26" s="4" t="str">
        <f t="shared" si="3"/>
        <v>OK</v>
      </c>
    </row>
    <row r="27" spans="1:8" ht="16" x14ac:dyDescent="0.2">
      <c r="A27" s="4" t="s">
        <v>89</v>
      </c>
      <c r="B27" s="5">
        <f>$B$4*(1+$B$5)^14</f>
        <v>406357685223.95959</v>
      </c>
      <c r="C27" s="5">
        <f t="shared" si="4"/>
        <v>925294860636.21021</v>
      </c>
      <c r="D27" s="5">
        <f>$B$4*(1+$B$5)^2</f>
        <v>390979390.65268713</v>
      </c>
      <c r="E27" s="5">
        <f t="shared" si="0"/>
        <v>3910</v>
      </c>
      <c r="F27" s="18">
        <f t="shared" si="1"/>
        <v>2.1722222222222221</v>
      </c>
      <c r="G27" s="18">
        <f t="shared" si="2"/>
        <v>430873.99594309286</v>
      </c>
      <c r="H27" s="4" t="str">
        <f t="shared" si="3"/>
        <v>OK</v>
      </c>
    </row>
    <row r="28" spans="1:8" ht="16" x14ac:dyDescent="0.2">
      <c r="A28" s="4" t="s">
        <v>90</v>
      </c>
      <c r="B28" s="5">
        <f>$B$4*(1+$B$5)^15</f>
        <v>724944393386.10242</v>
      </c>
      <c r="C28" s="5">
        <f t="shared" si="4"/>
        <v>1650239254022.3125</v>
      </c>
      <c r="D28" s="5">
        <f>$B$4*(1+$B$5)^3</f>
        <v>697509429.4745928</v>
      </c>
      <c r="E28" s="5">
        <f t="shared" si="0"/>
        <v>6976</v>
      </c>
      <c r="F28" s="18">
        <f t="shared" si="1"/>
        <v>3.8755555555555556</v>
      </c>
      <c r="G28" s="18">
        <f t="shared" si="2"/>
        <v>768452.53539379337</v>
      </c>
      <c r="H28" s="4" t="str">
        <f t="shared" si="3"/>
        <v>OK</v>
      </c>
    </row>
    <row r="29" spans="1:8" ht="16" x14ac:dyDescent="0.2">
      <c r="A29" s="4" t="s">
        <v>91</v>
      </c>
      <c r="B29" s="5">
        <f>$B$4*(1+$B$5)^16</f>
        <v>1293304870590.2932</v>
      </c>
      <c r="C29" s="5">
        <f t="shared" si="4"/>
        <v>2943544124612.6055</v>
      </c>
      <c r="D29" s="5">
        <f>$B$4*(1+$B$5)^4</f>
        <v>1244360740.8405693</v>
      </c>
      <c r="E29" s="5">
        <f t="shared" si="0"/>
        <v>12444</v>
      </c>
      <c r="F29" s="18">
        <f t="shared" si="1"/>
        <v>6.9133333333333331</v>
      </c>
      <c r="G29" s="18">
        <f t="shared" si="2"/>
        <v>1370694.5463142383</v>
      </c>
      <c r="H29" s="4" t="str">
        <f t="shared" si="3"/>
        <v>WARNING</v>
      </c>
    </row>
    <row r="30" spans="1:8" ht="16" x14ac:dyDescent="0.2">
      <c r="A30" s="4" t="s">
        <v>92</v>
      </c>
      <c r="B30" s="5">
        <f>$B$4*(1+$B$5)^17</f>
        <v>2307263155012.4077</v>
      </c>
      <c r="C30" s="5">
        <f t="shared" si="4"/>
        <v>5250807279625.0137</v>
      </c>
      <c r="D30" s="5">
        <f>$B$4*(1+$B$5)^5</f>
        <v>2219946552.5672765</v>
      </c>
      <c r="E30" s="5">
        <f t="shared" si="0"/>
        <v>22200</v>
      </c>
      <c r="F30" s="18">
        <f t="shared" si="1"/>
        <v>12.333333333333334</v>
      </c>
      <c r="G30" s="18">
        <f t="shared" si="2"/>
        <v>2445097.6772350324</v>
      </c>
      <c r="H30" s="4" t="str">
        <f t="shared" si="3"/>
        <v>CRITICAL</v>
      </c>
    </row>
    <row r="31" spans="1:8" ht="16" x14ac:dyDescent="0.2">
      <c r="A31" s="4" t="s">
        <v>93</v>
      </c>
      <c r="B31" s="5">
        <f>$B$4*(1+$B$5)^18</f>
        <v>4116170430911.6719</v>
      </c>
      <c r="C31" s="5">
        <f t="shared" si="4"/>
        <v>9366977710536.6855</v>
      </c>
      <c r="D31" s="5">
        <f>$B$4*(1+$B$5)^6</f>
        <v>3960397121.5986357</v>
      </c>
      <c r="E31" s="5">
        <f t="shared" si="0"/>
        <v>39604</v>
      </c>
      <c r="F31" s="18">
        <f t="shared" si="1"/>
        <v>22.002222222222223</v>
      </c>
      <c r="G31" s="18">
        <f t="shared" si="2"/>
        <v>4361838.8988714134</v>
      </c>
      <c r="H31" s="4" t="str">
        <f t="shared" si="3"/>
        <v>CRITICAL</v>
      </c>
    </row>
    <row r="32" spans="1:8" ht="16" x14ac:dyDescent="0.2">
      <c r="A32" s="4" t="s">
        <v>94</v>
      </c>
      <c r="B32" s="5">
        <f>$B$4*(1+$B$5)^19</f>
        <v>7343271173686.4971</v>
      </c>
      <c r="C32" s="5">
        <f t="shared" si="4"/>
        <v>16710248884223.184</v>
      </c>
      <c r="D32" s="5">
        <f>$B$4*(1+$B$5)^7</f>
        <v>7065370714.7264404</v>
      </c>
      <c r="E32" s="5">
        <f t="shared" si="0"/>
        <v>70654</v>
      </c>
      <c r="F32" s="18">
        <f t="shared" si="1"/>
        <v>39.252222222222223</v>
      </c>
      <c r="G32" s="18">
        <f t="shared" si="2"/>
        <v>7781316.0066600814</v>
      </c>
      <c r="H32" s="4" t="str">
        <f t="shared" si="3"/>
        <v>CRITICAL</v>
      </c>
    </row>
    <row r="33" spans="1:8" ht="16" x14ac:dyDescent="0.2">
      <c r="A33" s="4" t="s">
        <v>95</v>
      </c>
      <c r="B33" s="5">
        <f>$B$4*(1+$B$5)^20</f>
        <v>13100437028879.723</v>
      </c>
      <c r="C33" s="5">
        <f t="shared" si="4"/>
        <v>29810685913102.906</v>
      </c>
      <c r="D33" s="5">
        <f>$B$4*(1+$B$5)^8</f>
        <v>12604661048.830315</v>
      </c>
      <c r="E33" s="5">
        <f t="shared" si="0"/>
        <v>126047</v>
      </c>
      <c r="F33" s="18">
        <f t="shared" si="1"/>
        <v>70.026111111111106</v>
      </c>
      <c r="G33" s="18">
        <f t="shared" si="2"/>
        <v>13881682.377822189</v>
      </c>
      <c r="H33" s="4" t="str">
        <f t="shared" si="3"/>
        <v>CRITICAL</v>
      </c>
    </row>
    <row r="34" spans="1:8" ht="16" x14ac:dyDescent="0.2">
      <c r="A34" s="4" t="s">
        <v>96</v>
      </c>
      <c r="B34" s="5">
        <f>$B$4*(1+$B$5)^21</f>
        <v>23371253258714.254</v>
      </c>
      <c r="C34" s="5">
        <f t="shared" si="4"/>
        <v>53181939171817.156</v>
      </c>
      <c r="D34" s="5">
        <f>$B$4*(1+$B$5)^9</f>
        <v>22486786125.001171</v>
      </c>
      <c r="E34" s="5">
        <f t="shared" si="0"/>
        <v>224868</v>
      </c>
      <c r="F34" s="18">
        <f t="shared" si="1"/>
        <v>124.92666666666666</v>
      </c>
      <c r="G34" s="18">
        <f t="shared" si="2"/>
        <v>24764770.256270263</v>
      </c>
      <c r="H34" s="4" t="str">
        <f t="shared" si="3"/>
        <v>CRITICAL</v>
      </c>
    </row>
    <row r="35" spans="1:8" ht="16" x14ac:dyDescent="0.2">
      <c r="A35" s="4" t="s">
        <v>97</v>
      </c>
      <c r="B35" s="5">
        <f>$B$4*(1+$B$5)^22</f>
        <v>41694447114919.719</v>
      </c>
      <c r="C35" s="5">
        <f t="shared" si="4"/>
        <v>94876386286736.875</v>
      </c>
      <c r="D35" s="5">
        <f>$B$4*(1+$B$5)^10</f>
        <v>40116552779.375923</v>
      </c>
      <c r="E35" s="5">
        <f t="shared" si="0"/>
        <v>401166</v>
      </c>
      <c r="F35" s="18">
        <f t="shared" si="1"/>
        <v>222.87</v>
      </c>
      <c r="G35" s="18">
        <f t="shared" si="2"/>
        <v>44180260.173388235</v>
      </c>
      <c r="H35" s="4" t="str">
        <f t="shared" si="3"/>
        <v>CRITICAL</v>
      </c>
    </row>
    <row r="36" spans="1:8" ht="16" x14ac:dyDescent="0.2">
      <c r="A36" s="4" t="s">
        <v>98</v>
      </c>
      <c r="B36" s="5">
        <f>$B$4*(1+$B$5)^23</f>
        <v>74383127895404.734</v>
      </c>
      <c r="C36" s="5">
        <f t="shared" si="4"/>
        <v>169259514182141.62</v>
      </c>
      <c r="D36" s="5">
        <f>$B$4*(1+$B$5)^11</f>
        <v>71568155536.071289</v>
      </c>
      <c r="E36" s="5">
        <f t="shared" si="0"/>
        <v>715682</v>
      </c>
      <c r="F36" s="18">
        <f t="shared" si="1"/>
        <v>397.60111111111109</v>
      </c>
      <c r="G36" s="18">
        <f t="shared" si="2"/>
        <v>78817603.263138622</v>
      </c>
      <c r="H36" s="4" t="str">
        <f t="shared" si="3"/>
        <v>CRITICAL</v>
      </c>
    </row>
    <row r="37" spans="1:8" ht="16" x14ac:dyDescent="0.2">
      <c r="A37" s="4" t="s">
        <v>99</v>
      </c>
      <c r="B37" s="5">
        <f>$B$4*(1+$B$5)^24</f>
        <v>132699918055138.2</v>
      </c>
      <c r="C37" s="5">
        <f t="shared" si="4"/>
        <v>301959432237279.81</v>
      </c>
      <c r="D37" s="5">
        <f>$B$4*(1+$B$5)^12</f>
        <v>127677991551.37114</v>
      </c>
      <c r="E37" s="5">
        <f t="shared" si="0"/>
        <v>1276780</v>
      </c>
      <c r="F37" s="18">
        <f t="shared" si="1"/>
        <v>709.32222222222219</v>
      </c>
      <c r="G37" s="18">
        <f t="shared" si="2"/>
        <v>140610817.93032578</v>
      </c>
      <c r="H37" s="4" t="str">
        <f t="shared" si="3"/>
        <v>CRITICAL</v>
      </c>
    </row>
    <row r="38" spans="1:8" ht="16" x14ac:dyDescent="0.2">
      <c r="A38" s="4" t="s">
        <v>100</v>
      </c>
      <c r="B38" s="5">
        <f>$B$4*(1+$B$5)^25</f>
        <v>236737399328003.5</v>
      </c>
      <c r="C38" s="5">
        <f t="shared" si="4"/>
        <v>538696831565283.31</v>
      </c>
      <c r="D38" s="5">
        <f>$B$4*(1+$B$5)^13</f>
        <v>227778254231.74057</v>
      </c>
      <c r="E38" s="5">
        <f t="shared" si="0"/>
        <v>2277783</v>
      </c>
      <c r="F38" s="18">
        <f t="shared" si="1"/>
        <v>1265.4349999999999</v>
      </c>
      <c r="G38" s="18">
        <f t="shared" si="2"/>
        <v>250850260.05529022</v>
      </c>
      <c r="H38" s="4" t="str">
        <f t="shared" si="3"/>
        <v>CRITICAL</v>
      </c>
    </row>
    <row r="40" spans="1:8" ht="16" x14ac:dyDescent="0.2">
      <c r="A40" s="9" t="s">
        <v>101</v>
      </c>
      <c r="B40" s="19" t="s">
        <v>102</v>
      </c>
    </row>
    <row r="41" spans="1:8" ht="16" x14ac:dyDescent="0.2">
      <c r="B41" s="20" t="s">
        <v>103</v>
      </c>
    </row>
    <row r="42" spans="1:8" ht="16" x14ac:dyDescent="0.2">
      <c r="B42" s="21" t="s">
        <v>104</v>
      </c>
    </row>
    <row r="44" spans="1:8" ht="16" x14ac:dyDescent="0.2">
      <c r="A44" s="15" t="s">
        <v>105</v>
      </c>
    </row>
    <row r="45" spans="1:8" ht="16" x14ac:dyDescent="0.2">
      <c r="A45" s="15" t="s">
        <v>106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"/>
  <sheetViews>
    <sheetView zoomScaleNormal="100" workbookViewId="0"/>
  </sheetViews>
  <sheetFormatPr baseColWidth="10" defaultColWidth="8.6640625" defaultRowHeight="15" customHeight="1" x14ac:dyDescent="0.2"/>
  <cols>
    <col min="1" max="1" width="36" customWidth="1"/>
    <col min="2" max="2" width="24" customWidth="1"/>
  </cols>
  <sheetData>
    <row r="1" spans="1:6" ht="18" x14ac:dyDescent="0.2">
      <c r="A1" s="2" t="s">
        <v>107</v>
      </c>
      <c r="B1" s="2"/>
      <c r="C1" s="2"/>
      <c r="D1" s="2"/>
      <c r="E1" s="2"/>
      <c r="F1" s="2"/>
    </row>
    <row r="3" spans="1:6" ht="16" x14ac:dyDescent="0.2">
      <c r="A3" s="8" t="s">
        <v>108</v>
      </c>
    </row>
    <row r="4" spans="1:6" ht="16" x14ac:dyDescent="0.2">
      <c r="A4" s="9" t="s">
        <v>109</v>
      </c>
      <c r="B4" s="22"/>
    </row>
    <row r="5" spans="1:6" ht="16" x14ac:dyDescent="0.2">
      <c r="A5" s="9" t="s">
        <v>110</v>
      </c>
      <c r="B5" s="22"/>
    </row>
    <row r="6" spans="1:6" ht="16" x14ac:dyDescent="0.2">
      <c r="A6" s="9" t="s">
        <v>111</v>
      </c>
      <c r="B6" s="22"/>
    </row>
    <row r="7" spans="1:6" ht="16" x14ac:dyDescent="0.2">
      <c r="A7" s="9" t="s">
        <v>112</v>
      </c>
      <c r="B7" s="22"/>
    </row>
    <row r="8" spans="1:6" ht="16" x14ac:dyDescent="0.2">
      <c r="A8" s="9" t="s">
        <v>113</v>
      </c>
      <c r="B8" s="22"/>
    </row>
    <row r="9" spans="1:6" ht="16" x14ac:dyDescent="0.2">
      <c r="A9" s="9" t="s">
        <v>114</v>
      </c>
      <c r="B9" s="22"/>
    </row>
    <row r="10" spans="1:6" ht="16" x14ac:dyDescent="0.2">
      <c r="A10" s="9" t="s">
        <v>115</v>
      </c>
      <c r="B10" s="22"/>
    </row>
    <row r="11" spans="1:6" ht="16" x14ac:dyDescent="0.2">
      <c r="A11" s="9" t="s">
        <v>116</v>
      </c>
      <c r="B11" s="22"/>
    </row>
    <row r="12" spans="1:6" ht="16" x14ac:dyDescent="0.2">
      <c r="A12" s="9" t="s">
        <v>117</v>
      </c>
      <c r="B12" s="22"/>
    </row>
    <row r="13" spans="1:6" ht="16" x14ac:dyDescent="0.2">
      <c r="A13" s="9" t="s">
        <v>118</v>
      </c>
      <c r="B13" s="22"/>
    </row>
    <row r="15" spans="1:6" ht="16" x14ac:dyDescent="0.2">
      <c r="A15" s="15" t="s">
        <v>119</v>
      </c>
    </row>
    <row r="16" spans="1:6" ht="16" x14ac:dyDescent="0.2">
      <c r="A16" s="15" t="s">
        <v>120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 Data</vt:lpstr>
      <vt:lpstr>Monthly Summary</vt:lpstr>
      <vt:lpstr>Daily Velocity</vt:lpstr>
      <vt:lpstr>Forward Projections</vt:lpstr>
      <vt:lpstr>IOPS &amp; 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Justin Hunter</cp:lastModifiedBy>
  <cp:revision>1</cp:revision>
  <dcterms:created xsi:type="dcterms:W3CDTF">2026-02-26T14:56:41Z</dcterms:created>
  <dcterms:modified xsi:type="dcterms:W3CDTF">2026-02-26T16:06:11Z</dcterms:modified>
  <dc:language>en-US</dc:language>
</cp:coreProperties>
</file>