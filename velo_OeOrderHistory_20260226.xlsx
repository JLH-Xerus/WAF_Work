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justinhunter/VSCodeProjects/WAF_Work/"/>
    </mc:Choice>
  </mc:AlternateContent>
  <xr:revisionPtr revIDLastSave="0" documentId="13_ncr:1_{55F3013A-26E5-4640-AC5A-91D87D8859C3}" xr6:coauthVersionLast="47" xr6:coauthVersionMax="47" xr10:uidLastSave="{00000000-0000-0000-0000-000000000000}"/>
  <bookViews>
    <workbookView xWindow="34560" yWindow="600" windowWidth="38400" windowHeight="19900" tabRatio="500" activeTab="2" xr2:uid="{00000000-000D-0000-FFFF-FFFF00000000}"/>
  </bookViews>
  <sheets>
    <sheet name="Monthly Summary" sheetId="2" r:id="rId1"/>
    <sheet name="Daily Velocity" sheetId="3" r:id="rId2"/>
    <sheet name="Forward Projections" sheetId="4" r:id="rId3"/>
    <sheet name="IOPS &amp; Capacity" sheetId="5" r:id="rId4"/>
    <sheet name="Base Data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57" i="3" l="1"/>
  <c r="D557" i="3"/>
  <c r="E556" i="3"/>
  <c r="D556" i="3"/>
  <c r="E555" i="3"/>
  <c r="D555" i="3"/>
  <c r="E554" i="3"/>
  <c r="D554" i="3"/>
  <c r="E553" i="3"/>
  <c r="D553" i="3"/>
  <c r="E552" i="3"/>
  <c r="D552" i="3"/>
  <c r="E551" i="3"/>
  <c r="D551" i="3"/>
  <c r="E550" i="3"/>
  <c r="D550" i="3"/>
  <c r="E549" i="3"/>
  <c r="D549" i="3"/>
  <c r="E548" i="3"/>
  <c r="D548" i="3"/>
  <c r="E547" i="3"/>
  <c r="D547" i="3"/>
  <c r="E546" i="3"/>
  <c r="D546" i="3"/>
  <c r="E545" i="3"/>
  <c r="D545" i="3"/>
  <c r="E544" i="3"/>
  <c r="D544" i="3"/>
  <c r="E543" i="3"/>
  <c r="D543" i="3"/>
  <c r="E542" i="3"/>
  <c r="D542" i="3"/>
  <c r="E541" i="3"/>
  <c r="D541" i="3"/>
  <c r="E540" i="3"/>
  <c r="D540" i="3"/>
  <c r="E539" i="3"/>
  <c r="D539" i="3"/>
  <c r="E538" i="3"/>
  <c r="D538" i="3"/>
  <c r="E537" i="3"/>
  <c r="D537" i="3"/>
  <c r="E536" i="3"/>
  <c r="D536" i="3"/>
  <c r="E535" i="3"/>
  <c r="D535" i="3"/>
  <c r="E534" i="3"/>
  <c r="D534" i="3"/>
  <c r="E533" i="3"/>
  <c r="D533" i="3"/>
  <c r="E532" i="3"/>
  <c r="D532" i="3"/>
  <c r="E531" i="3"/>
  <c r="D531" i="3"/>
  <c r="E530" i="3"/>
  <c r="D530" i="3"/>
  <c r="E529" i="3"/>
  <c r="D529" i="3"/>
  <c r="E528" i="3"/>
  <c r="D528" i="3"/>
  <c r="E527" i="3"/>
  <c r="D527" i="3"/>
  <c r="E526" i="3"/>
  <c r="D526" i="3"/>
  <c r="E525" i="3"/>
  <c r="D525" i="3"/>
  <c r="E524" i="3"/>
  <c r="D524" i="3"/>
  <c r="E523" i="3"/>
  <c r="D523" i="3"/>
  <c r="E522" i="3"/>
  <c r="D522" i="3"/>
  <c r="E521" i="3"/>
  <c r="D521" i="3"/>
  <c r="E520" i="3"/>
  <c r="D520" i="3"/>
  <c r="E519" i="3"/>
  <c r="D519" i="3"/>
  <c r="E518" i="3"/>
  <c r="D518" i="3"/>
  <c r="E517" i="3"/>
  <c r="D517" i="3"/>
  <c r="E516" i="3"/>
  <c r="D516" i="3"/>
  <c r="E515" i="3"/>
  <c r="D515" i="3"/>
  <c r="E514" i="3"/>
  <c r="D514" i="3"/>
  <c r="E513" i="3"/>
  <c r="D513" i="3"/>
  <c r="E512" i="3"/>
  <c r="D512" i="3"/>
  <c r="E511" i="3"/>
  <c r="D511" i="3"/>
  <c r="E510" i="3"/>
  <c r="D510" i="3"/>
  <c r="E509" i="3"/>
  <c r="D509" i="3"/>
  <c r="E508" i="3"/>
  <c r="D508" i="3"/>
  <c r="E507" i="3"/>
  <c r="D507" i="3"/>
  <c r="E506" i="3"/>
  <c r="D506" i="3"/>
  <c r="E505" i="3"/>
  <c r="D505" i="3"/>
  <c r="E504" i="3"/>
  <c r="D504" i="3"/>
  <c r="E503" i="3"/>
  <c r="D503" i="3"/>
  <c r="E502" i="3"/>
  <c r="D502" i="3"/>
  <c r="E501" i="3"/>
  <c r="D501" i="3"/>
  <c r="E500" i="3"/>
  <c r="D500" i="3"/>
  <c r="E499" i="3"/>
  <c r="D499" i="3"/>
  <c r="E498" i="3"/>
  <c r="D498" i="3"/>
  <c r="E497" i="3"/>
  <c r="D497" i="3"/>
  <c r="E496" i="3"/>
  <c r="D496" i="3"/>
  <c r="E495" i="3"/>
  <c r="D495" i="3"/>
  <c r="E494" i="3"/>
  <c r="D494" i="3"/>
  <c r="E493" i="3"/>
  <c r="D493" i="3"/>
  <c r="E492" i="3"/>
  <c r="D492" i="3"/>
  <c r="E491" i="3"/>
  <c r="D491" i="3"/>
  <c r="E490" i="3"/>
  <c r="D490" i="3"/>
  <c r="E489" i="3"/>
  <c r="D489" i="3"/>
  <c r="E488" i="3"/>
  <c r="D488" i="3"/>
  <c r="E487" i="3"/>
  <c r="D487" i="3"/>
  <c r="E486" i="3"/>
  <c r="D486" i="3"/>
  <c r="E485" i="3"/>
  <c r="D485" i="3"/>
  <c r="E484" i="3"/>
  <c r="D484" i="3"/>
  <c r="E483" i="3"/>
  <c r="D483" i="3"/>
  <c r="E482" i="3"/>
  <c r="D482" i="3"/>
  <c r="E481" i="3"/>
  <c r="D481" i="3"/>
  <c r="E480" i="3"/>
  <c r="D480" i="3"/>
  <c r="E479" i="3"/>
  <c r="D479" i="3"/>
  <c r="E478" i="3"/>
  <c r="D478" i="3"/>
  <c r="E477" i="3"/>
  <c r="D477" i="3"/>
  <c r="E476" i="3"/>
  <c r="D476" i="3"/>
  <c r="E475" i="3"/>
  <c r="D475" i="3"/>
  <c r="E474" i="3"/>
  <c r="D474" i="3"/>
  <c r="E473" i="3"/>
  <c r="D473" i="3"/>
  <c r="E472" i="3"/>
  <c r="D472" i="3"/>
  <c r="E471" i="3"/>
  <c r="D471" i="3"/>
  <c r="E470" i="3"/>
  <c r="D470" i="3"/>
  <c r="E469" i="3"/>
  <c r="D469" i="3"/>
  <c r="E468" i="3"/>
  <c r="D468" i="3"/>
  <c r="E467" i="3"/>
  <c r="D467" i="3"/>
  <c r="E466" i="3"/>
  <c r="D466" i="3"/>
  <c r="E465" i="3"/>
  <c r="D465" i="3"/>
  <c r="E464" i="3"/>
  <c r="D464" i="3"/>
  <c r="E463" i="3"/>
  <c r="D463" i="3"/>
  <c r="E462" i="3"/>
  <c r="D462" i="3"/>
  <c r="E461" i="3"/>
  <c r="D461" i="3"/>
  <c r="E460" i="3"/>
  <c r="D460" i="3"/>
  <c r="E459" i="3"/>
  <c r="D459" i="3"/>
  <c r="E458" i="3"/>
  <c r="D458" i="3"/>
  <c r="E457" i="3"/>
  <c r="D457" i="3"/>
  <c r="E456" i="3"/>
  <c r="D456" i="3"/>
  <c r="E455" i="3"/>
  <c r="D455" i="3"/>
  <c r="E454" i="3"/>
  <c r="D454" i="3"/>
  <c r="E453" i="3"/>
  <c r="D453" i="3"/>
  <c r="E452" i="3"/>
  <c r="D452" i="3"/>
  <c r="E451" i="3"/>
  <c r="D451" i="3"/>
  <c r="E450" i="3"/>
  <c r="D450" i="3"/>
  <c r="E449" i="3"/>
  <c r="D449" i="3"/>
  <c r="E448" i="3"/>
  <c r="D448" i="3"/>
  <c r="E447" i="3"/>
  <c r="D447" i="3"/>
  <c r="E446" i="3"/>
  <c r="D446" i="3"/>
  <c r="E445" i="3"/>
  <c r="D445" i="3"/>
  <c r="E444" i="3"/>
  <c r="D444" i="3"/>
  <c r="E443" i="3"/>
  <c r="D443" i="3"/>
  <c r="E442" i="3"/>
  <c r="D442" i="3"/>
  <c r="E441" i="3"/>
  <c r="D441" i="3"/>
  <c r="E440" i="3"/>
  <c r="D440" i="3"/>
  <c r="E439" i="3"/>
  <c r="D439" i="3"/>
  <c r="E438" i="3"/>
  <c r="D438" i="3"/>
  <c r="E437" i="3"/>
  <c r="D437" i="3"/>
  <c r="E436" i="3"/>
  <c r="D436" i="3"/>
  <c r="E435" i="3"/>
  <c r="D435" i="3"/>
  <c r="E434" i="3"/>
  <c r="D434" i="3"/>
  <c r="E433" i="3"/>
  <c r="D433" i="3"/>
  <c r="E432" i="3"/>
  <c r="D432" i="3"/>
  <c r="E431" i="3"/>
  <c r="D431" i="3"/>
  <c r="E430" i="3"/>
  <c r="D430" i="3"/>
  <c r="E429" i="3"/>
  <c r="D429" i="3"/>
  <c r="E428" i="3"/>
  <c r="D428" i="3"/>
  <c r="E427" i="3"/>
  <c r="D427" i="3"/>
  <c r="E426" i="3"/>
  <c r="D426" i="3"/>
  <c r="E425" i="3"/>
  <c r="D425" i="3"/>
  <c r="E424" i="3"/>
  <c r="D424" i="3"/>
  <c r="E423" i="3"/>
  <c r="D423" i="3"/>
  <c r="E422" i="3"/>
  <c r="D422" i="3"/>
  <c r="E421" i="3"/>
  <c r="D421" i="3"/>
  <c r="E420" i="3"/>
  <c r="D420" i="3"/>
  <c r="E419" i="3"/>
  <c r="D419" i="3"/>
  <c r="E418" i="3"/>
  <c r="D418" i="3"/>
  <c r="E417" i="3"/>
  <c r="D417" i="3"/>
  <c r="E416" i="3"/>
  <c r="D416" i="3"/>
  <c r="E415" i="3"/>
  <c r="D415" i="3"/>
  <c r="E414" i="3"/>
  <c r="D414" i="3"/>
  <c r="E413" i="3"/>
  <c r="D413" i="3"/>
  <c r="E412" i="3"/>
  <c r="D412" i="3"/>
  <c r="E411" i="3"/>
  <c r="D411" i="3"/>
  <c r="E410" i="3"/>
  <c r="D410" i="3"/>
  <c r="E409" i="3"/>
  <c r="D409" i="3"/>
  <c r="E408" i="3"/>
  <c r="D408" i="3"/>
  <c r="E407" i="3"/>
  <c r="D407" i="3"/>
  <c r="E406" i="3"/>
  <c r="D406" i="3"/>
  <c r="E405" i="3"/>
  <c r="D405" i="3"/>
  <c r="E404" i="3"/>
  <c r="D404" i="3"/>
  <c r="E403" i="3"/>
  <c r="D403" i="3"/>
  <c r="E402" i="3"/>
  <c r="D402" i="3"/>
  <c r="E401" i="3"/>
  <c r="D401" i="3"/>
  <c r="E400" i="3"/>
  <c r="D400" i="3"/>
  <c r="E399" i="3"/>
  <c r="D399" i="3"/>
  <c r="E398" i="3"/>
  <c r="D398" i="3"/>
  <c r="E397" i="3"/>
  <c r="D397" i="3"/>
  <c r="E396" i="3"/>
  <c r="D396" i="3"/>
  <c r="E395" i="3"/>
  <c r="D395" i="3"/>
  <c r="E394" i="3"/>
  <c r="D394" i="3"/>
  <c r="E393" i="3"/>
  <c r="D393" i="3"/>
  <c r="E392" i="3"/>
  <c r="D392" i="3"/>
  <c r="E391" i="3"/>
  <c r="D391" i="3"/>
  <c r="E390" i="3"/>
  <c r="D390" i="3"/>
  <c r="E389" i="3"/>
  <c r="D389" i="3"/>
  <c r="E388" i="3"/>
  <c r="D388" i="3"/>
  <c r="E387" i="3"/>
  <c r="D387" i="3"/>
  <c r="E386" i="3"/>
  <c r="D386" i="3"/>
  <c r="E385" i="3"/>
  <c r="D385" i="3"/>
  <c r="E384" i="3"/>
  <c r="D384" i="3"/>
  <c r="E383" i="3"/>
  <c r="D383" i="3"/>
  <c r="E382" i="3"/>
  <c r="D382" i="3"/>
  <c r="E381" i="3"/>
  <c r="D381" i="3"/>
  <c r="E380" i="3"/>
  <c r="D380" i="3"/>
  <c r="E379" i="3"/>
  <c r="D379" i="3"/>
  <c r="E378" i="3"/>
  <c r="D378" i="3"/>
  <c r="E377" i="3"/>
  <c r="D377" i="3"/>
  <c r="E376" i="3"/>
  <c r="D376" i="3"/>
  <c r="E375" i="3"/>
  <c r="D375" i="3"/>
  <c r="E374" i="3"/>
  <c r="D374" i="3"/>
  <c r="E373" i="3"/>
  <c r="D373" i="3"/>
  <c r="E372" i="3"/>
  <c r="D372" i="3"/>
  <c r="E371" i="3"/>
  <c r="D371" i="3"/>
  <c r="E370" i="3"/>
  <c r="D370" i="3"/>
  <c r="E369" i="3"/>
  <c r="D369" i="3"/>
  <c r="E368" i="3"/>
  <c r="D368" i="3"/>
  <c r="E367" i="3"/>
  <c r="D367" i="3"/>
  <c r="E366" i="3"/>
  <c r="D366" i="3"/>
  <c r="E365" i="3"/>
  <c r="D365" i="3"/>
  <c r="E364" i="3"/>
  <c r="D364" i="3"/>
  <c r="E363" i="3"/>
  <c r="D363" i="3"/>
  <c r="E362" i="3"/>
  <c r="D362" i="3"/>
  <c r="E361" i="3"/>
  <c r="D361" i="3"/>
  <c r="E360" i="3"/>
  <c r="D360" i="3"/>
  <c r="E359" i="3"/>
  <c r="D359" i="3"/>
  <c r="E358" i="3"/>
  <c r="D358" i="3"/>
  <c r="E357" i="3"/>
  <c r="D357" i="3"/>
  <c r="E356" i="3"/>
  <c r="D356" i="3"/>
  <c r="E355" i="3"/>
  <c r="D355" i="3"/>
  <c r="E354" i="3"/>
  <c r="D354" i="3"/>
  <c r="E353" i="3"/>
  <c r="D353" i="3"/>
  <c r="E352" i="3"/>
  <c r="D352" i="3"/>
  <c r="E351" i="3"/>
  <c r="D351" i="3"/>
  <c r="E350" i="3"/>
  <c r="D350" i="3"/>
  <c r="E349" i="3"/>
  <c r="D349" i="3"/>
  <c r="E348" i="3"/>
  <c r="D348" i="3"/>
  <c r="E347" i="3"/>
  <c r="D347" i="3"/>
  <c r="E346" i="3"/>
  <c r="D346" i="3"/>
  <c r="E345" i="3"/>
  <c r="D345" i="3"/>
  <c r="E344" i="3"/>
  <c r="D344" i="3"/>
  <c r="E343" i="3"/>
  <c r="D343" i="3"/>
  <c r="E342" i="3"/>
  <c r="D342" i="3"/>
  <c r="E341" i="3"/>
  <c r="D341" i="3"/>
  <c r="E340" i="3"/>
  <c r="D340" i="3"/>
  <c r="E339" i="3"/>
  <c r="D339" i="3"/>
  <c r="E338" i="3"/>
  <c r="D338" i="3"/>
  <c r="E337" i="3"/>
  <c r="D337" i="3"/>
  <c r="E336" i="3"/>
  <c r="D336" i="3"/>
  <c r="E335" i="3"/>
  <c r="D335" i="3"/>
  <c r="E334" i="3"/>
  <c r="D334" i="3"/>
  <c r="E333" i="3"/>
  <c r="D333" i="3"/>
  <c r="E332" i="3"/>
  <c r="D332" i="3"/>
  <c r="E331" i="3"/>
  <c r="D331" i="3"/>
  <c r="E330" i="3"/>
  <c r="D330" i="3"/>
  <c r="E329" i="3"/>
  <c r="D329" i="3"/>
  <c r="E328" i="3"/>
  <c r="D328" i="3"/>
  <c r="E327" i="3"/>
  <c r="D327" i="3"/>
  <c r="E326" i="3"/>
  <c r="D326" i="3"/>
  <c r="E325" i="3"/>
  <c r="D325" i="3"/>
  <c r="E324" i="3"/>
  <c r="D324" i="3"/>
  <c r="E323" i="3"/>
  <c r="D323" i="3"/>
  <c r="E322" i="3"/>
  <c r="D322" i="3"/>
  <c r="E321" i="3"/>
  <c r="D321" i="3"/>
  <c r="E320" i="3"/>
  <c r="D320" i="3"/>
  <c r="E319" i="3"/>
  <c r="D319" i="3"/>
  <c r="E318" i="3"/>
  <c r="D318" i="3"/>
  <c r="E317" i="3"/>
  <c r="D317" i="3"/>
  <c r="E316" i="3"/>
  <c r="D316" i="3"/>
  <c r="E315" i="3"/>
  <c r="D315" i="3"/>
  <c r="E314" i="3"/>
  <c r="D314" i="3"/>
  <c r="E313" i="3"/>
  <c r="D313" i="3"/>
  <c r="E312" i="3"/>
  <c r="D312" i="3"/>
  <c r="E311" i="3"/>
  <c r="D311" i="3"/>
  <c r="E310" i="3"/>
  <c r="D310" i="3"/>
  <c r="E309" i="3"/>
  <c r="D309" i="3"/>
  <c r="E308" i="3"/>
  <c r="D308" i="3"/>
  <c r="E307" i="3"/>
  <c r="D307" i="3"/>
  <c r="E306" i="3"/>
  <c r="D306" i="3"/>
  <c r="E305" i="3"/>
  <c r="D305" i="3"/>
  <c r="E304" i="3"/>
  <c r="D304" i="3"/>
  <c r="E303" i="3"/>
  <c r="D303" i="3"/>
  <c r="E302" i="3"/>
  <c r="D302" i="3"/>
  <c r="E301" i="3"/>
  <c r="D301" i="3"/>
  <c r="E300" i="3"/>
  <c r="D300" i="3"/>
  <c r="E299" i="3"/>
  <c r="D299" i="3"/>
  <c r="E298" i="3"/>
  <c r="D298" i="3"/>
  <c r="E297" i="3"/>
  <c r="D297" i="3"/>
  <c r="E296" i="3"/>
  <c r="D296" i="3"/>
  <c r="E295" i="3"/>
  <c r="D295" i="3"/>
  <c r="E294" i="3"/>
  <c r="D294" i="3"/>
  <c r="E293" i="3"/>
  <c r="D293" i="3"/>
  <c r="E292" i="3"/>
  <c r="D292" i="3"/>
  <c r="E291" i="3"/>
  <c r="D291" i="3"/>
  <c r="E290" i="3"/>
  <c r="D290" i="3"/>
  <c r="E289" i="3"/>
  <c r="D289" i="3"/>
  <c r="E288" i="3"/>
  <c r="D288" i="3"/>
  <c r="E287" i="3"/>
  <c r="D287" i="3"/>
  <c r="E286" i="3"/>
  <c r="D286" i="3"/>
  <c r="E285" i="3"/>
  <c r="D285" i="3"/>
  <c r="E284" i="3"/>
  <c r="D284" i="3"/>
  <c r="E283" i="3"/>
  <c r="D283" i="3"/>
  <c r="E282" i="3"/>
  <c r="D282" i="3"/>
  <c r="E281" i="3"/>
  <c r="D281" i="3"/>
  <c r="E280" i="3"/>
  <c r="D280" i="3"/>
  <c r="E279" i="3"/>
  <c r="D279" i="3"/>
  <c r="E278" i="3"/>
  <c r="D278" i="3"/>
  <c r="E277" i="3"/>
  <c r="D277" i="3"/>
  <c r="E276" i="3"/>
  <c r="D276" i="3"/>
  <c r="E275" i="3"/>
  <c r="D275" i="3"/>
  <c r="E274" i="3"/>
  <c r="D274" i="3"/>
  <c r="E273" i="3"/>
  <c r="D273" i="3"/>
  <c r="E272" i="3"/>
  <c r="D272" i="3"/>
  <c r="E271" i="3"/>
  <c r="D271" i="3"/>
  <c r="E270" i="3"/>
  <c r="D270" i="3"/>
  <c r="E269" i="3"/>
  <c r="D269" i="3"/>
  <c r="E268" i="3"/>
  <c r="D268" i="3"/>
  <c r="E267" i="3"/>
  <c r="D267" i="3"/>
  <c r="E266" i="3"/>
  <c r="D266" i="3"/>
  <c r="E265" i="3"/>
  <c r="D265" i="3"/>
  <c r="E264" i="3"/>
  <c r="D264" i="3"/>
  <c r="E263" i="3"/>
  <c r="D263" i="3"/>
  <c r="E262" i="3"/>
  <c r="D262" i="3"/>
  <c r="E261" i="3"/>
  <c r="D261" i="3"/>
  <c r="E260" i="3"/>
  <c r="D260" i="3"/>
  <c r="E259" i="3"/>
  <c r="D259" i="3"/>
  <c r="E258" i="3"/>
  <c r="D258" i="3"/>
  <c r="E257" i="3"/>
  <c r="D257" i="3"/>
  <c r="E256" i="3"/>
  <c r="D256" i="3"/>
  <c r="E255" i="3"/>
  <c r="D255" i="3"/>
  <c r="E254" i="3"/>
  <c r="D254" i="3"/>
  <c r="E253" i="3"/>
  <c r="D253" i="3"/>
  <c r="E252" i="3"/>
  <c r="D252" i="3"/>
  <c r="E251" i="3"/>
  <c r="D251" i="3"/>
  <c r="E250" i="3"/>
  <c r="D250" i="3"/>
  <c r="E249" i="3"/>
  <c r="D249" i="3"/>
  <c r="E248" i="3"/>
  <c r="D248" i="3"/>
  <c r="E247" i="3"/>
  <c r="D247" i="3"/>
  <c r="E246" i="3"/>
  <c r="D246" i="3"/>
  <c r="E245" i="3"/>
  <c r="D245" i="3"/>
  <c r="E244" i="3"/>
  <c r="D244" i="3"/>
  <c r="E243" i="3"/>
  <c r="D243" i="3"/>
  <c r="E242" i="3"/>
  <c r="D242" i="3"/>
  <c r="E241" i="3"/>
  <c r="D241" i="3"/>
  <c r="E240" i="3"/>
  <c r="D240" i="3"/>
  <c r="E239" i="3"/>
  <c r="D239" i="3"/>
  <c r="E238" i="3"/>
  <c r="D238" i="3"/>
  <c r="E237" i="3"/>
  <c r="D237" i="3"/>
  <c r="E236" i="3"/>
  <c r="D236" i="3"/>
  <c r="E235" i="3"/>
  <c r="D235" i="3"/>
  <c r="E234" i="3"/>
  <c r="D234" i="3"/>
  <c r="E233" i="3"/>
  <c r="D233" i="3"/>
  <c r="E232" i="3"/>
  <c r="D232" i="3"/>
  <c r="E231" i="3"/>
  <c r="D231" i="3"/>
  <c r="E230" i="3"/>
  <c r="D230" i="3"/>
  <c r="E229" i="3"/>
  <c r="D229" i="3"/>
  <c r="E228" i="3"/>
  <c r="D228" i="3"/>
  <c r="E227" i="3"/>
  <c r="D227" i="3"/>
  <c r="E226" i="3"/>
  <c r="D226" i="3"/>
  <c r="E225" i="3"/>
  <c r="D225" i="3"/>
  <c r="E224" i="3"/>
  <c r="D224" i="3"/>
  <c r="E223" i="3"/>
  <c r="D223" i="3"/>
  <c r="E222" i="3"/>
  <c r="D222" i="3"/>
  <c r="E221" i="3"/>
  <c r="D221" i="3"/>
  <c r="E220" i="3"/>
  <c r="D220" i="3"/>
  <c r="E219" i="3"/>
  <c r="D219" i="3"/>
  <c r="E218" i="3"/>
  <c r="D218" i="3"/>
  <c r="E217" i="3"/>
  <c r="D217" i="3"/>
  <c r="E216" i="3"/>
  <c r="D216" i="3"/>
  <c r="E215" i="3"/>
  <c r="D215" i="3"/>
  <c r="E214" i="3"/>
  <c r="D214" i="3"/>
  <c r="E213" i="3"/>
  <c r="D213" i="3"/>
  <c r="E212" i="3"/>
  <c r="D212" i="3"/>
  <c r="E211" i="3"/>
  <c r="D211" i="3"/>
  <c r="E210" i="3"/>
  <c r="D210" i="3"/>
  <c r="E209" i="3"/>
  <c r="D209" i="3"/>
  <c r="E208" i="3"/>
  <c r="D208" i="3"/>
  <c r="E207" i="3"/>
  <c r="D207" i="3"/>
  <c r="E206" i="3"/>
  <c r="D206" i="3"/>
  <c r="E205" i="3"/>
  <c r="D205" i="3"/>
  <c r="E204" i="3"/>
  <c r="D204" i="3"/>
  <c r="E203" i="3"/>
  <c r="D203" i="3"/>
  <c r="E202" i="3"/>
  <c r="D202" i="3"/>
  <c r="E201" i="3"/>
  <c r="D201" i="3"/>
  <c r="E200" i="3"/>
  <c r="D200" i="3"/>
  <c r="E199" i="3"/>
  <c r="D199" i="3"/>
  <c r="E198" i="3"/>
  <c r="D198" i="3"/>
  <c r="E197" i="3"/>
  <c r="D197" i="3"/>
  <c r="E196" i="3"/>
  <c r="D196" i="3"/>
  <c r="E195" i="3"/>
  <c r="D195" i="3"/>
  <c r="E194" i="3"/>
  <c r="D194" i="3"/>
  <c r="E193" i="3"/>
  <c r="D193" i="3"/>
  <c r="E192" i="3"/>
  <c r="D192" i="3"/>
  <c r="E191" i="3"/>
  <c r="D191" i="3"/>
  <c r="E190" i="3"/>
  <c r="D190" i="3"/>
  <c r="E189" i="3"/>
  <c r="D189" i="3"/>
  <c r="E188" i="3"/>
  <c r="D188" i="3"/>
  <c r="E187" i="3"/>
  <c r="D187" i="3"/>
  <c r="E186" i="3"/>
  <c r="D186" i="3"/>
  <c r="E185" i="3"/>
  <c r="D185" i="3"/>
  <c r="E184" i="3"/>
  <c r="D184" i="3"/>
  <c r="E183" i="3"/>
  <c r="D183" i="3"/>
  <c r="E182" i="3"/>
  <c r="D182" i="3"/>
  <c r="E181" i="3"/>
  <c r="D181" i="3"/>
  <c r="E180" i="3"/>
  <c r="D180" i="3"/>
  <c r="E179" i="3"/>
  <c r="D179" i="3"/>
  <c r="E178" i="3"/>
  <c r="D178" i="3"/>
  <c r="E177" i="3"/>
  <c r="D177" i="3"/>
  <c r="E176" i="3"/>
  <c r="D176" i="3"/>
  <c r="E175" i="3"/>
  <c r="D175" i="3"/>
  <c r="E174" i="3"/>
  <c r="D174" i="3"/>
  <c r="E173" i="3"/>
  <c r="D173" i="3"/>
  <c r="E172" i="3"/>
  <c r="D172" i="3"/>
  <c r="E171" i="3"/>
  <c r="D171" i="3"/>
  <c r="E170" i="3"/>
  <c r="D170" i="3"/>
  <c r="E169" i="3"/>
  <c r="D169" i="3"/>
  <c r="E168" i="3"/>
  <c r="D168" i="3"/>
  <c r="E167" i="3"/>
  <c r="D167" i="3"/>
  <c r="E166" i="3"/>
  <c r="D166" i="3"/>
  <c r="E165" i="3"/>
  <c r="D165" i="3"/>
  <c r="E164" i="3"/>
  <c r="D164" i="3"/>
  <c r="E163" i="3"/>
  <c r="D163" i="3"/>
  <c r="E162" i="3"/>
  <c r="D162" i="3"/>
  <c r="E161" i="3"/>
  <c r="D161" i="3"/>
  <c r="E160" i="3"/>
  <c r="D160" i="3"/>
  <c r="E159" i="3"/>
  <c r="D159" i="3"/>
  <c r="E158" i="3"/>
  <c r="D158" i="3"/>
  <c r="E157" i="3"/>
  <c r="D157" i="3"/>
  <c r="E156" i="3"/>
  <c r="D156" i="3"/>
  <c r="E155" i="3"/>
  <c r="D155" i="3"/>
  <c r="E154" i="3"/>
  <c r="D154" i="3"/>
  <c r="E153" i="3"/>
  <c r="D153" i="3"/>
  <c r="E152" i="3"/>
  <c r="D152" i="3"/>
  <c r="E151" i="3"/>
  <c r="D151" i="3"/>
  <c r="E150" i="3"/>
  <c r="D150" i="3"/>
  <c r="E149" i="3"/>
  <c r="D149" i="3"/>
  <c r="E148" i="3"/>
  <c r="D148" i="3"/>
  <c r="E147" i="3"/>
  <c r="D147" i="3"/>
  <c r="E146" i="3"/>
  <c r="D146" i="3"/>
  <c r="E145" i="3"/>
  <c r="D145" i="3"/>
  <c r="E144" i="3"/>
  <c r="D144" i="3"/>
  <c r="E143" i="3"/>
  <c r="D143" i="3"/>
  <c r="E142" i="3"/>
  <c r="D142" i="3"/>
  <c r="E141" i="3"/>
  <c r="D141" i="3"/>
  <c r="E140" i="3"/>
  <c r="D140" i="3"/>
  <c r="E139" i="3"/>
  <c r="D139" i="3"/>
  <c r="E138" i="3"/>
  <c r="D138" i="3"/>
  <c r="E137" i="3"/>
  <c r="D137" i="3"/>
  <c r="E136" i="3"/>
  <c r="D136" i="3"/>
  <c r="E135" i="3"/>
  <c r="D135" i="3"/>
  <c r="E134" i="3"/>
  <c r="D134" i="3"/>
  <c r="E133" i="3"/>
  <c r="D133" i="3"/>
  <c r="E132" i="3"/>
  <c r="D132" i="3"/>
  <c r="E131" i="3"/>
  <c r="D131" i="3"/>
  <c r="E130" i="3"/>
  <c r="D130" i="3"/>
  <c r="E129" i="3"/>
  <c r="D129" i="3"/>
  <c r="E128" i="3"/>
  <c r="D128" i="3"/>
  <c r="E127" i="3"/>
  <c r="D127" i="3"/>
  <c r="E126" i="3"/>
  <c r="D126" i="3"/>
  <c r="E125" i="3"/>
  <c r="D125" i="3"/>
  <c r="E124" i="3"/>
  <c r="D124" i="3"/>
  <c r="E123" i="3"/>
  <c r="D123" i="3"/>
  <c r="E122" i="3"/>
  <c r="D122" i="3"/>
  <c r="E121" i="3"/>
  <c r="D121" i="3"/>
  <c r="E120" i="3"/>
  <c r="D120" i="3"/>
  <c r="E119" i="3"/>
  <c r="D119" i="3"/>
  <c r="E118" i="3"/>
  <c r="D118" i="3"/>
  <c r="E117" i="3"/>
  <c r="D117" i="3"/>
  <c r="E116" i="3"/>
  <c r="D116" i="3"/>
  <c r="E115" i="3"/>
  <c r="D115" i="3"/>
  <c r="E114" i="3"/>
  <c r="D114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D32" i="3"/>
  <c r="D31" i="3"/>
  <c r="D30" i="3"/>
  <c r="D29" i="3"/>
  <c r="D28" i="3"/>
  <c r="D27" i="3"/>
  <c r="D26" i="3"/>
  <c r="D25" i="3"/>
  <c r="D24" i="3"/>
  <c r="D23" i="3"/>
  <c r="I22" i="3"/>
  <c r="D22" i="3"/>
  <c r="I21" i="3"/>
  <c r="D21" i="3"/>
  <c r="D20" i="3"/>
  <c r="I19" i="3"/>
  <c r="D19" i="3"/>
  <c r="D18" i="3"/>
  <c r="D17" i="3"/>
  <c r="D16" i="3"/>
  <c r="D15" i="3"/>
  <c r="I14" i="3"/>
  <c r="I15" i="3" s="1"/>
  <c r="D14" i="3"/>
  <c r="I13" i="3"/>
  <c r="D13" i="3"/>
  <c r="D12" i="3"/>
  <c r="I11" i="3"/>
  <c r="J11" i="3" s="1"/>
  <c r="D11" i="3"/>
  <c r="I10" i="3"/>
  <c r="J10" i="3" s="1"/>
  <c r="D10" i="3"/>
  <c r="I9" i="3"/>
  <c r="J9" i="3" s="1"/>
  <c r="I8" i="3"/>
  <c r="J8" i="3" s="1"/>
  <c r="I7" i="3"/>
  <c r="J7" i="3" s="1"/>
  <c r="I6" i="3"/>
  <c r="J6" i="3" s="1"/>
  <c r="I5" i="3"/>
  <c r="J5" i="3" s="1"/>
  <c r="B31" i="2"/>
  <c r="B28" i="2"/>
  <c r="B25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F5" i="2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B29" i="2" s="1"/>
  <c r="E5" i="2"/>
  <c r="B27" i="2" s="1"/>
  <c r="B5" i="4" s="1"/>
  <c r="D5" i="2"/>
  <c r="F4" i="2"/>
  <c r="D4" i="2"/>
  <c r="B26" i="2" s="1"/>
  <c r="D37" i="4" l="1"/>
  <c r="D35" i="4"/>
  <c r="D33" i="4"/>
  <c r="D31" i="4"/>
  <c r="D29" i="4"/>
  <c r="D27" i="4"/>
  <c r="D25" i="4"/>
  <c r="D23" i="4"/>
  <c r="D21" i="4"/>
  <c r="D19" i="4"/>
  <c r="D17" i="4"/>
  <c r="D39" i="4"/>
  <c r="B37" i="4"/>
  <c r="B39" i="4"/>
  <c r="B35" i="4"/>
  <c r="B33" i="4"/>
  <c r="B31" i="4"/>
  <c r="B29" i="4"/>
  <c r="B27" i="4"/>
  <c r="B25" i="4"/>
  <c r="B23" i="4"/>
  <c r="B21" i="4"/>
  <c r="B19" i="4"/>
  <c r="B17" i="4"/>
  <c r="D36" i="4"/>
  <c r="D38" i="4"/>
  <c r="D34" i="4"/>
  <c r="D32" i="4"/>
  <c r="D30" i="4"/>
  <c r="D28" i="4"/>
  <c r="D26" i="4"/>
  <c r="D24" i="4"/>
  <c r="D22" i="4"/>
  <c r="D20" i="4"/>
  <c r="D18" i="4"/>
  <c r="D16" i="4"/>
  <c r="B38" i="4"/>
  <c r="B36" i="4"/>
  <c r="B34" i="4"/>
  <c r="B32" i="4"/>
  <c r="B30" i="4"/>
  <c r="B28" i="4"/>
  <c r="B26" i="4"/>
  <c r="B24" i="4"/>
  <c r="B22" i="4"/>
  <c r="B20" i="4"/>
  <c r="B18" i="4"/>
  <c r="B16" i="4"/>
  <c r="C16" i="4" s="1"/>
  <c r="F26" i="4" l="1"/>
  <c r="G26" i="4" s="1"/>
  <c r="I26" i="4" s="1"/>
  <c r="E26" i="4"/>
  <c r="F27" i="4"/>
  <c r="G27" i="4" s="1"/>
  <c r="I27" i="4" s="1"/>
  <c r="E27" i="4"/>
  <c r="F24" i="4"/>
  <c r="G24" i="4" s="1"/>
  <c r="I24" i="4" s="1"/>
  <c r="E24" i="4"/>
  <c r="F28" i="4"/>
  <c r="G28" i="4" s="1"/>
  <c r="I28" i="4" s="1"/>
  <c r="E28" i="4"/>
  <c r="F30" i="4"/>
  <c r="G30" i="4" s="1"/>
  <c r="I30" i="4" s="1"/>
  <c r="E30" i="4"/>
  <c r="F32" i="4"/>
  <c r="G32" i="4" s="1"/>
  <c r="I32" i="4" s="1"/>
  <c r="E32" i="4"/>
  <c r="F17" i="4"/>
  <c r="G17" i="4" s="1"/>
  <c r="I17" i="4" s="1"/>
  <c r="E17" i="4"/>
  <c r="F38" i="4"/>
  <c r="G38" i="4" s="1"/>
  <c r="I38" i="4" s="1"/>
  <c r="E38" i="4"/>
  <c r="F23" i="4"/>
  <c r="G23" i="4" s="1"/>
  <c r="I23" i="4" s="1"/>
  <c r="E23" i="4"/>
  <c r="F29" i="4"/>
  <c r="G29" i="4" s="1"/>
  <c r="I29" i="4" s="1"/>
  <c r="E29" i="4"/>
  <c r="F34" i="4"/>
  <c r="G34" i="4" s="1"/>
  <c r="I34" i="4" s="1"/>
  <c r="E34" i="4"/>
  <c r="F19" i="4"/>
  <c r="G19" i="4" s="1"/>
  <c r="I19" i="4" s="1"/>
  <c r="E19" i="4"/>
  <c r="F36" i="4"/>
  <c r="G36" i="4" s="1"/>
  <c r="I36" i="4" s="1"/>
  <c r="E36" i="4"/>
  <c r="F25" i="4"/>
  <c r="G25" i="4" s="1"/>
  <c r="I25" i="4" s="1"/>
  <c r="E25" i="4"/>
  <c r="F16" i="4"/>
  <c r="G16" i="4" s="1"/>
  <c r="I16" i="4" s="1"/>
  <c r="E16" i="4"/>
  <c r="F31" i="4"/>
  <c r="G31" i="4" s="1"/>
  <c r="I31" i="4" s="1"/>
  <c r="E31" i="4"/>
  <c r="C17" i="4"/>
  <c r="H16" i="4"/>
  <c r="F39" i="4"/>
  <c r="G39" i="4" s="1"/>
  <c r="I39" i="4" s="1"/>
  <c r="E39" i="4"/>
  <c r="F21" i="4"/>
  <c r="G21" i="4" s="1"/>
  <c r="I21" i="4" s="1"/>
  <c r="E21" i="4"/>
  <c r="F18" i="4"/>
  <c r="G18" i="4" s="1"/>
  <c r="I18" i="4" s="1"/>
  <c r="E18" i="4"/>
  <c r="F33" i="4"/>
  <c r="G33" i="4" s="1"/>
  <c r="I33" i="4" s="1"/>
  <c r="E33" i="4"/>
  <c r="F35" i="4"/>
  <c r="G35" i="4" s="1"/>
  <c r="I35" i="4" s="1"/>
  <c r="E35" i="4"/>
  <c r="F20" i="4"/>
  <c r="G20" i="4" s="1"/>
  <c r="I20" i="4" s="1"/>
  <c r="E20" i="4"/>
  <c r="F22" i="4"/>
  <c r="G22" i="4" s="1"/>
  <c r="I22" i="4" s="1"/>
  <c r="E22" i="4"/>
  <c r="F37" i="4"/>
  <c r="G37" i="4" s="1"/>
  <c r="I37" i="4" s="1"/>
  <c r="E37" i="4"/>
  <c r="H17" i="4" l="1"/>
  <c r="C18" i="4"/>
  <c r="C19" i="4" l="1"/>
  <c r="H18" i="4"/>
  <c r="H19" i="4" l="1"/>
  <c r="C20" i="4"/>
  <c r="C21" i="4" l="1"/>
  <c r="H20" i="4"/>
  <c r="H21" i="4" l="1"/>
  <c r="C22" i="4"/>
  <c r="C23" i="4" l="1"/>
  <c r="H22" i="4"/>
  <c r="H23" i="4" l="1"/>
  <c r="C24" i="4"/>
  <c r="C25" i="4" l="1"/>
  <c r="H24" i="4"/>
  <c r="H25" i="4" l="1"/>
  <c r="C26" i="4"/>
  <c r="C27" i="4" l="1"/>
  <c r="H26" i="4"/>
  <c r="H27" i="4" l="1"/>
  <c r="C28" i="4"/>
  <c r="C29" i="4" l="1"/>
  <c r="H28" i="4"/>
  <c r="H29" i="4" l="1"/>
  <c r="C30" i="4"/>
  <c r="C31" i="4" l="1"/>
  <c r="H30" i="4"/>
  <c r="H31" i="4" l="1"/>
  <c r="C32" i="4"/>
  <c r="C33" i="4" l="1"/>
  <c r="H32" i="4"/>
  <c r="H33" i="4" l="1"/>
  <c r="C34" i="4"/>
  <c r="C35" i="4" l="1"/>
  <c r="H34" i="4"/>
  <c r="H35" i="4" l="1"/>
  <c r="C36" i="4"/>
  <c r="C37" i="4" l="1"/>
  <c r="H36" i="4"/>
  <c r="H37" i="4" l="1"/>
  <c r="C38" i="4"/>
  <c r="C39" i="4" l="1"/>
  <c r="H39" i="4" s="1"/>
  <c r="H38" i="4"/>
</calcChain>
</file>

<file path=xl/sharedStrings.xml><?xml version="1.0" encoding="utf-8"?>
<sst xmlns="http://schemas.openxmlformats.org/spreadsheetml/2006/main" count="1267" uniqueCount="132">
  <si>
    <t>histYr</t>
  </si>
  <si>
    <t>histMth</t>
  </si>
  <si>
    <t>histDay</t>
  </si>
  <si>
    <t>rowcnt</t>
  </si>
  <si>
    <t>(null)</t>
  </si>
  <si>
    <t>OeOrderHistory — Monthly Volume Summary</t>
  </si>
  <si>
    <t>Month</t>
  </si>
  <si>
    <t>Total Rows</t>
  </si>
  <si>
    <t>Days in Data</t>
  </si>
  <si>
    <t>Avg Daily Volume</t>
  </si>
  <si>
    <t>MoM Growth</t>
  </si>
  <si>
    <t>Cumulative Rows</t>
  </si>
  <si>
    <t>Avg Row Size Est (bytes)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</si>
  <si>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</si>
  <si>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</si>
  <si>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</si>
  <si>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</si>
  <si>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</si>
  <si>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</si>
  <si>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</si>
  <si>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</si>
  <si>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</si>
  <si>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</si>
  <si>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</si>
  <si>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</si>
  <si>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</si>
  <si>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</si>
  <si>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</si>
  <si>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</si>
  <si>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</si>
  <si>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</si>
  <si>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</si>
  <si>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Summary Statistics</t>
  </si>
  <si>
    <t>Grand Total Rows</t>
  </si>
  <si>
    <t>Overall Avg Daily Volume</t>
  </si>
  <si>
    <t>Avg MoM Growth (full months)</t>
  </si>
  <si>
    <t>Peak Month Volume</t>
  </si>
  <si>
    <t>Est. Table Size (GB)</t>
  </si>
  <si>
    <t>Cascade Multiplier (est. child tables)</t>
  </si>
  <si>
    <t>Est. Total Cascade Rows per Purge Block</t>
  </si>
  <si>
    <t>Note: Cascade Multiplier estimates ~20 child table rows deleted per OeOrderHistory row (based on lsp_DbPurgeHistoryData cascade of 50+ tables).</t>
  </si>
  <si>
    <t>OeOrderHistory — Daily Velocity Analysis</t>
  </si>
  <si>
    <t>Date</t>
  </si>
  <si>
    <t>Day of Week</t>
  </si>
  <si>
    <t>Row Count</t>
  </si>
  <si>
    <t>7-Day Moving Avg</t>
  </si>
  <si>
    <t>30-Day Moving Avg</t>
  </si>
  <si>
    <t>Weekday/Weekend</t>
  </si>
  <si>
    <t>Day-of-Week Summary</t>
  </si>
  <si>
    <t>Thursday</t>
  </si>
  <si>
    <t>Weekday</t>
  </si>
  <si>
    <t>Day</t>
  </si>
  <si>
    <t>Avg Volume</t>
  </si>
  <si>
    <t>% of Peak</t>
  </si>
  <si>
    <t>Friday</t>
  </si>
  <si>
    <t>Monday</t>
  </si>
  <si>
    <t>Saturday</t>
  </si>
  <si>
    <t>Weekend</t>
  </si>
  <si>
    <t>Tuesday</t>
  </si>
  <si>
    <t>Sunday</t>
  </si>
  <si>
    <t>Wednesday</t>
  </si>
  <si>
    <t>Weekday Avg</t>
  </si>
  <si>
    <t>Weekend Avg</t>
  </si>
  <si>
    <t>Weekend/Weekday Ratio</t>
  </si>
  <si>
    <t>Purge Cascade Impact (per day)</t>
  </si>
  <si>
    <t>Avg OeOrderHistory rows/day</t>
  </si>
  <si>
    <t>Est. cascade multiplier</t>
  </si>
  <si>
    <t>Est. total rows deleted/day</t>
  </si>
  <si>
    <t>Est. t-log entries/day</t>
  </si>
  <si>
    <t>T-log estimate: ~2 log records per row (delete + index maintenance)</t>
  </si>
  <si>
    <t>OeOrderHistory — Forward Projections &amp; Purge Duration Analysis</t>
  </si>
  <si>
    <t>Projection Assumptions</t>
  </si>
  <si>
    <t>Current Monthly Volume (Jan 2026)</t>
  </si>
  <si>
    <t>Avg MoM Growth Rate</t>
  </si>
  <si>
    <t>Current Total Rows</t>
  </si>
  <si>
    <t>Est. Avg Row Size (bytes)</t>
  </si>
  <si>
    <t>Delete Block Size (rows/iteration)</t>
  </si>
  <si>
    <t>Est. Time Per Block Iteration (sec)</t>
  </si>
  <si>
    <t>Retention Period (days)</t>
  </si>
  <si>
    <t>Cascade Multiplier (child table rows)</t>
  </si>
  <si>
    <t>Monthly Forward Projection</t>
  </si>
  <si>
    <t>Projected Monthly Volume</t>
  </si>
  <si>
    <t>Cumulative Total Rows</t>
  </si>
  <si>
    <t>Est. Rows to Purge/Month</t>
  </si>
  <si>
    <t>Est. Cascade Rows (total deletes)</t>
  </si>
  <si>
    <t>Delete Iterations Needed</t>
  </si>
  <si>
    <t>Est. Purge Duration (hrs)</t>
  </si>
  <si>
    <t>Status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</si>
  <si>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</si>
  <si>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</si>
  <si>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</si>
  <si>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</si>
  <si>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</si>
  <si>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</si>
  <si>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</si>
  <si>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</si>
  <si>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</si>
  <si>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</si>
  <si>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</si>
  <si>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</si>
  <si>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</si>
  <si>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</si>
  <si>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</si>
  <si>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</si>
  <si>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</si>
  <si>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</si>
  <si>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</si>
  <si>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</si>
  <si>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</si>
  <si>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</si>
  <si>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</si>
  <si>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</si>
  <si>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Status Key:</t>
  </si>
  <si>
    <t>OK = Purge &lt; 4 hrs</t>
  </si>
  <si>
    <t>WARNING = Purge 4-8 hrs</t>
  </si>
  <si>
    <t>CRITICAL = Purge &gt; 8 hrs (exceeds nightly window)</t>
  </si>
  <si>
    <t>Note: Block iteration time (B9) is estimated higher than EvtEvent because each block iteration cascades through 50+ child tables.</t>
  </si>
  <si>
    <t>The real bottleneck here is the cascade depth, not the OeOrderHistory row count itself.</t>
  </si>
  <si>
    <t>With partition switching, the entire cascade would be replaced by coordinated SWITCH operations across all partitioned child tables.</t>
  </si>
  <si>
    <t>OeOrderHistory — IOPS &amp; Storage Capacity Analysis</t>
  </si>
  <si>
    <t>CLUSTER SPECIFICATIONS</t>
  </si>
  <si>
    <t>Storage Type (SSD/HDD/NVMe)</t>
  </si>
  <si>
    <t>Total Storage Capacity (TB)</t>
  </si>
  <si>
    <t>Available Storage (TB)</t>
  </si>
  <si>
    <t>Max Sequential Read IOPS</t>
  </si>
  <si>
    <t>Max Sequential Write IOPS</t>
  </si>
  <si>
    <t>Max Throughput (MB/s)</t>
  </si>
  <si>
    <t>SQL Server Max Memory (GB)</t>
  </si>
  <si>
    <t>CPU Cores</t>
  </si>
  <si>
    <t>TempDB Drive Type</t>
  </si>
  <si>
    <t>T-Log Drive Type</t>
  </si>
  <si>
    <t>Enter your cluster specifications above (yellow cells).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</si>
</sst>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yyyy\-mm\-dd"/>
    <numFmt numFmtId="167" formatCode="0.0"/>
  </numFmts>
  <fonts count="8" x14ac:knownFonts="1">
    <font>
      <sz val="12"/>
      <color theme="1"/>
      <name val="Calibri"/>
      <family val="2"/>
      <charset val="1"/>
    </font>
    <font>
      <b/>
      <sz val="14"/>
      <color rgb="FF2F5496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1"/>
      <color rgb="FF2F5496"/>
      <name val="Arial"/>
      <family val="2"/>
    </font>
    <font>
      <b/>
      <sz val="10"/>
      <name val="Arial"/>
      <family val="2"/>
    </font>
    <font>
      <i/>
      <sz val="9"/>
      <color rgb="FF80808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EC"/>
      </patternFill>
    </fill>
    <fill>
      <patternFill patternType="solid">
        <fgColor rgb="FFFCE4E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  <xf numFmtId="164" fontId="3" fillId="0" borderId="1" xfId="0" applyNumberFormat="1" applyFont="1" applyBorder="1"/>
    <xf numFmtId="3" fontId="4" fillId="0" borderId="1" xfId="0" applyNumberFormat="1" applyFont="1" applyBorder="1"/>
    <xf numFmtId="0" fontId="5" fillId="0" borderId="0" xfId="0" applyFont="1"/>
    <xf numFmtId="0" fontId="6" fillId="0" borderId="0" xfId="0" applyFont="1"/>
    <xf numFmtId="165" fontId="3" fillId="0" borderId="1" xfId="0" applyNumberFormat="1" applyFont="1" applyBorder="1"/>
    <xf numFmtId="0" fontId="7" fillId="0" borderId="0" xfId="0" applyFont="1"/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Border="1"/>
    <xf numFmtId="3" fontId="4" fillId="3" borderId="1" xfId="0" applyNumberFormat="1" applyFont="1" applyFill="1" applyBorder="1"/>
    <xf numFmtId="164" fontId="4" fillId="3" borderId="1" xfId="0" applyNumberFormat="1" applyFont="1" applyFill="1" applyBorder="1"/>
    <xf numFmtId="167" fontId="4" fillId="3" borderId="1" xfId="0" applyNumberFormat="1" applyFont="1" applyFill="1" applyBorder="1"/>
    <xf numFmtId="0" fontId="3" fillId="0" borderId="0" xfId="0" applyFont="1"/>
    <xf numFmtId="0" fontId="3" fillId="4" borderId="0" xfId="0" applyFont="1" applyFill="1"/>
    <xf numFmtId="0" fontId="3" fillId="5" borderId="0" xfId="0" applyFont="1" applyFill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Monthly Row Volume — OeOrderHistory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Summary'!$B$3</c:f>
              <c:strCache>
                <c:ptCount val="1"/>
                <c:pt idx="0">
                  <c:v>Total Rows</c:v>
                </c:pt>
              </c:strCache>
            </c:strRef>
          </c:tx>
          <c:spPr>
            <a:solidFill>
              <a:srgbClr val="2F549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'Monthly Summary'!$A$4:$A$22</c:f>
              <c:strCache>
                <c:ptCount val="19"/>
                <c:pt idx="0">
                  <c:v>2024-08</c:v>
                </c:pt>
                <c:pt idx="1">
                  <c:v>2024-09</c:v>
                </c:pt>
                <c:pt idx="2">
                  <c:v>2024-10</c:v>
                </c:pt>
                <c:pt idx="3">
                  <c:v>2024-11</c:v>
                </c:pt>
                <c:pt idx="4">
                  <c:v>2024-12</c:v>
                </c:pt>
                <c:pt idx="5">
                  <c:v>2025-01</c:v>
                </c:pt>
                <c:pt idx="6">
                  <c:v>2025-02</c:v>
                </c:pt>
                <c:pt idx="7">
                  <c:v>2025-03</c:v>
                </c:pt>
                <c:pt idx="8">
                  <c:v>2025-04</c:v>
                </c:pt>
                <c:pt idx="9">
                  <c:v>2025-05</c:v>
                </c:pt>
                <c:pt idx="10">
                  <c:v>2025-06</c:v>
                </c:pt>
                <c:pt idx="11">
                  <c:v>2025-07</c:v>
                </c:pt>
                <c:pt idx="12">
                  <c:v>2025-08</c:v>
                </c:pt>
                <c:pt idx="13">
                  <c:v>2025-09</c:v>
                </c:pt>
                <c:pt idx="14">
                  <c:v>2025-10</c:v>
                </c:pt>
                <c:pt idx="15">
                  <c:v>2025-11</c:v>
                </c:pt>
                <c:pt idx="16">
                  <c:v>2025-12</c:v>
                </c:pt>
                <c:pt idx="17">
                  <c:v>2026-01</c:v>
                </c:pt>
                <c:pt idx="18">
                  <c:v>2026-02</c:v>
                </c:pt>
              </c:strCache>
            </c:strRef>
          </c:cat>
          <c:val>
            <c:numRef>
              <c:f>'Monthly Summary'!$B$4:$B$22</c:f>
              <c:numCache>
                <c:formatCode>#,##0</c:formatCode>
                <c:ptCount val="19"/>
                <c:pt idx="0">
                  <c:v>423157</c:v>
                </c:pt>
                <c:pt idx="1">
                  <c:v>1254897</c:v>
                </c:pt>
                <c:pt idx="2">
                  <c:v>1361743</c:v>
                </c:pt>
                <c:pt idx="3">
                  <c:v>1204422</c:v>
                </c:pt>
                <c:pt idx="4">
                  <c:v>1356584</c:v>
                </c:pt>
                <c:pt idx="5">
                  <c:v>1518181</c:v>
                </c:pt>
                <c:pt idx="6">
                  <c:v>1498933</c:v>
                </c:pt>
                <c:pt idx="7">
                  <c:v>1564444</c:v>
                </c:pt>
                <c:pt idx="8">
                  <c:v>1604037</c:v>
                </c:pt>
                <c:pt idx="9">
                  <c:v>1700550</c:v>
                </c:pt>
                <c:pt idx="10">
                  <c:v>1666289</c:v>
                </c:pt>
                <c:pt idx="11">
                  <c:v>1673386</c:v>
                </c:pt>
                <c:pt idx="12">
                  <c:v>1670134</c:v>
                </c:pt>
                <c:pt idx="13">
                  <c:v>1683940</c:v>
                </c:pt>
                <c:pt idx="14">
                  <c:v>1776040</c:v>
                </c:pt>
                <c:pt idx="15">
                  <c:v>1686529</c:v>
                </c:pt>
                <c:pt idx="16">
                  <c:v>1773440</c:v>
                </c:pt>
                <c:pt idx="17">
                  <c:v>1806123</c:v>
                </c:pt>
                <c:pt idx="18">
                  <c:v>1546188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2-6143-B104-311E55245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499083"/>
        <c:axId val="66199349"/>
      </c:barChart>
      <c:catAx>
        <c:axId val="794990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6199349"/>
        <c:crosses val="autoZero"/>
        <c:auto val="1"/>
        <c:lblAlgn val="ctr"/>
        <c:lblOffset val="100"/>
        <c:noMultiLvlLbl val="0"/>
      </c:catAx>
      <c:valAx>
        <c:axId val="661993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Rows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949908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Cumulative Row Growth — OeOrderHistory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Summary'!$F$3</c:f>
              <c:strCache>
                <c:ptCount val="1"/>
                <c:pt idx="0">
                  <c:v>Cumulative Rows</c:v>
                </c:pt>
              </c:strCache>
            </c:strRef>
          </c:tx>
          <c:spPr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'Monthly Summary'!$A$4:$A$22</c:f>
              <c:strCache>
                <c:ptCount val="19"/>
                <c:pt idx="0">
                  <c:v>2024-08</c:v>
                </c:pt>
                <c:pt idx="1">
                  <c:v>2024-09</c:v>
                </c:pt>
                <c:pt idx="2">
                  <c:v>2024-10</c:v>
                </c:pt>
                <c:pt idx="3">
                  <c:v>2024-11</c:v>
                </c:pt>
                <c:pt idx="4">
                  <c:v>2024-12</c:v>
                </c:pt>
                <c:pt idx="5">
                  <c:v>2025-01</c:v>
                </c:pt>
                <c:pt idx="6">
                  <c:v>2025-02</c:v>
                </c:pt>
                <c:pt idx="7">
                  <c:v>2025-03</c:v>
                </c:pt>
                <c:pt idx="8">
                  <c:v>2025-04</c:v>
                </c:pt>
                <c:pt idx="9">
                  <c:v>2025-05</c:v>
                </c:pt>
                <c:pt idx="10">
                  <c:v>2025-06</c:v>
                </c:pt>
                <c:pt idx="11">
                  <c:v>2025-07</c:v>
                </c:pt>
                <c:pt idx="12">
                  <c:v>2025-08</c:v>
                </c:pt>
                <c:pt idx="13">
                  <c:v>2025-09</c:v>
                </c:pt>
                <c:pt idx="14">
                  <c:v>2025-10</c:v>
                </c:pt>
                <c:pt idx="15">
                  <c:v>2025-11</c:v>
                </c:pt>
                <c:pt idx="16">
                  <c:v>2025-12</c:v>
                </c:pt>
                <c:pt idx="17">
                  <c:v>2026-01</c:v>
                </c:pt>
                <c:pt idx="18">
                  <c:v>2026-02</c:v>
                </c:pt>
              </c:strCache>
            </c:strRef>
          </c:cat>
          <c:val>
            <c:numRef>
              <c:f>'Monthly Summary'!$F$4:$F$22</c:f>
              <c:numCache>
                <c:formatCode>#,##0</c:formatCode>
                <c:ptCount val="19"/>
                <c:pt idx="0">
                  <c:v>423157</c:v>
                </c:pt>
                <c:pt idx="1">
                  <c:v>1678054</c:v>
                </c:pt>
                <c:pt idx="2">
                  <c:v>3039797</c:v>
                </c:pt>
                <c:pt idx="3">
                  <c:v>4244219</c:v>
                </c:pt>
                <c:pt idx="4">
                  <c:v>5600803</c:v>
                </c:pt>
                <c:pt idx="5">
                  <c:v>7118984</c:v>
                </c:pt>
                <c:pt idx="6">
                  <c:v>8617917</c:v>
                </c:pt>
                <c:pt idx="7">
                  <c:v>10182361</c:v>
                </c:pt>
                <c:pt idx="8">
                  <c:v>11786398</c:v>
                </c:pt>
                <c:pt idx="9">
                  <c:v>13486948</c:v>
                </c:pt>
                <c:pt idx="10">
                  <c:v>15153237</c:v>
                </c:pt>
                <c:pt idx="11">
                  <c:v>16826623</c:v>
                </c:pt>
                <c:pt idx="12">
                  <c:v>18496757</c:v>
                </c:pt>
                <c:pt idx="13">
                  <c:v>20180697</c:v>
                </c:pt>
                <c:pt idx="14">
                  <c:v>21956737</c:v>
                </c:pt>
                <c:pt idx="15">
                  <c:v>23643266</c:v>
                </c:pt>
                <c:pt idx="16">
                  <c:v>25416706</c:v>
                </c:pt>
                <c:pt idx="17">
                  <c:v>27222829</c:v>
                </c:pt>
                <c:pt idx="18">
                  <c:v>28769017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AF-6644-A463-C9CE3AFCE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3049319"/>
        <c:axId val="44948518"/>
      </c:lineChart>
      <c:catAx>
        <c:axId val="630493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4948518"/>
        <c:crosses val="autoZero"/>
        <c:auto val="1"/>
        <c:lblAlgn val="ctr"/>
        <c:lblOffset val="100"/>
        <c:noMultiLvlLbl val="0"/>
      </c:catAx>
      <c:valAx>
        <c:axId val="449485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Cumulative Rows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304931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Daily Row Volume with Moving Averages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Velocity'!$C$3</c:f>
              <c:strCache>
                <c:ptCount val="1"/>
                <c:pt idx="0">
                  <c:v>Row Count</c:v>
                </c:pt>
              </c:strCache>
            </c:strRef>
          </c:tx>
          <c:spPr>
            <a:ln w="10080">
              <a:solidFill>
                <a:srgbClr val="B4C7E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0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'Daily Velocity'!$A$4:$A$557</c:f>
              <c:numCache>
                <c:formatCode>yyyy\-mm\-dd</c:formatCode>
                <c:ptCount val="554"/>
                <c:pt idx="0">
                  <c:v>45526</c:v>
                </c:pt>
                <c:pt idx="1">
                  <c:v>45527</c:v>
                </c:pt>
                <c:pt idx="2">
                  <c:v>45528</c:v>
                </c:pt>
                <c:pt idx="3">
                  <c:v>45529</c:v>
                </c:pt>
                <c:pt idx="4">
                  <c:v>45530</c:v>
                </c:pt>
                <c:pt idx="5">
                  <c:v>45531</c:v>
                </c:pt>
                <c:pt idx="6">
                  <c:v>45532</c:v>
                </c:pt>
                <c:pt idx="7">
                  <c:v>45533</c:v>
                </c:pt>
                <c:pt idx="8">
                  <c:v>45534</c:v>
                </c:pt>
                <c:pt idx="9">
                  <c:v>45535</c:v>
                </c:pt>
                <c:pt idx="10">
                  <c:v>45536</c:v>
                </c:pt>
                <c:pt idx="11">
                  <c:v>45537</c:v>
                </c:pt>
                <c:pt idx="12">
                  <c:v>45538</c:v>
                </c:pt>
                <c:pt idx="13">
                  <c:v>45539</c:v>
                </c:pt>
                <c:pt idx="14">
                  <c:v>45540</c:v>
                </c:pt>
                <c:pt idx="15">
                  <c:v>45541</c:v>
                </c:pt>
                <c:pt idx="16">
                  <c:v>45542</c:v>
                </c:pt>
                <c:pt idx="17">
                  <c:v>45543</c:v>
                </c:pt>
                <c:pt idx="18">
                  <c:v>45544</c:v>
                </c:pt>
                <c:pt idx="19">
                  <c:v>45545</c:v>
                </c:pt>
                <c:pt idx="20">
                  <c:v>45546</c:v>
                </c:pt>
                <c:pt idx="21">
                  <c:v>45547</c:v>
                </c:pt>
                <c:pt idx="22">
                  <c:v>45548</c:v>
                </c:pt>
                <c:pt idx="23">
                  <c:v>45549</c:v>
                </c:pt>
                <c:pt idx="24">
                  <c:v>45550</c:v>
                </c:pt>
                <c:pt idx="25">
                  <c:v>45551</c:v>
                </c:pt>
                <c:pt idx="26">
                  <c:v>45552</c:v>
                </c:pt>
                <c:pt idx="27">
                  <c:v>45553</c:v>
                </c:pt>
                <c:pt idx="28">
                  <c:v>45554</c:v>
                </c:pt>
                <c:pt idx="29">
                  <c:v>45555</c:v>
                </c:pt>
                <c:pt idx="30">
                  <c:v>45556</c:v>
                </c:pt>
                <c:pt idx="31">
                  <c:v>45557</c:v>
                </c:pt>
                <c:pt idx="32">
                  <c:v>45558</c:v>
                </c:pt>
                <c:pt idx="33">
                  <c:v>45559</c:v>
                </c:pt>
                <c:pt idx="34">
                  <c:v>45560</c:v>
                </c:pt>
                <c:pt idx="35">
                  <c:v>45561</c:v>
                </c:pt>
                <c:pt idx="36">
                  <c:v>45562</c:v>
                </c:pt>
                <c:pt idx="37">
                  <c:v>45563</c:v>
                </c:pt>
                <c:pt idx="38">
                  <c:v>45564</c:v>
                </c:pt>
                <c:pt idx="39">
                  <c:v>45565</c:v>
                </c:pt>
                <c:pt idx="40">
                  <c:v>45566</c:v>
                </c:pt>
                <c:pt idx="41">
                  <c:v>45567</c:v>
                </c:pt>
                <c:pt idx="42">
                  <c:v>45568</c:v>
                </c:pt>
                <c:pt idx="43">
                  <c:v>45569</c:v>
                </c:pt>
                <c:pt idx="44">
                  <c:v>45570</c:v>
                </c:pt>
                <c:pt idx="45">
                  <c:v>45571</c:v>
                </c:pt>
                <c:pt idx="46">
                  <c:v>45572</c:v>
                </c:pt>
                <c:pt idx="47">
                  <c:v>45573</c:v>
                </c:pt>
                <c:pt idx="48">
                  <c:v>45574</c:v>
                </c:pt>
                <c:pt idx="49">
                  <c:v>45575</c:v>
                </c:pt>
                <c:pt idx="50">
                  <c:v>45576</c:v>
                </c:pt>
                <c:pt idx="51">
                  <c:v>45577</c:v>
                </c:pt>
                <c:pt idx="52">
                  <c:v>45578</c:v>
                </c:pt>
                <c:pt idx="53">
                  <c:v>45579</c:v>
                </c:pt>
                <c:pt idx="54">
                  <c:v>45580</c:v>
                </c:pt>
                <c:pt idx="55">
                  <c:v>45581</c:v>
                </c:pt>
                <c:pt idx="56">
                  <c:v>45582</c:v>
                </c:pt>
                <c:pt idx="57">
                  <c:v>45583</c:v>
                </c:pt>
                <c:pt idx="58">
                  <c:v>45584</c:v>
                </c:pt>
                <c:pt idx="59">
                  <c:v>45585</c:v>
                </c:pt>
                <c:pt idx="60">
                  <c:v>45586</c:v>
                </c:pt>
                <c:pt idx="61">
                  <c:v>45587</c:v>
                </c:pt>
                <c:pt idx="62">
                  <c:v>45588</c:v>
                </c:pt>
                <c:pt idx="63">
                  <c:v>45589</c:v>
                </c:pt>
                <c:pt idx="64">
                  <c:v>45590</c:v>
                </c:pt>
                <c:pt idx="65">
                  <c:v>45591</c:v>
                </c:pt>
                <c:pt idx="66">
                  <c:v>45592</c:v>
                </c:pt>
                <c:pt idx="67">
                  <c:v>45593</c:v>
                </c:pt>
                <c:pt idx="68">
                  <c:v>45594</c:v>
                </c:pt>
                <c:pt idx="69">
                  <c:v>45595</c:v>
                </c:pt>
                <c:pt idx="70">
                  <c:v>45596</c:v>
                </c:pt>
                <c:pt idx="71">
                  <c:v>45597</c:v>
                </c:pt>
                <c:pt idx="72">
                  <c:v>45598</c:v>
                </c:pt>
                <c:pt idx="73">
                  <c:v>45599</c:v>
                </c:pt>
                <c:pt idx="74">
                  <c:v>45600</c:v>
                </c:pt>
                <c:pt idx="75">
                  <c:v>45601</c:v>
                </c:pt>
                <c:pt idx="76">
                  <c:v>45602</c:v>
                </c:pt>
                <c:pt idx="77">
                  <c:v>45603</c:v>
                </c:pt>
                <c:pt idx="78">
                  <c:v>45604</c:v>
                </c:pt>
                <c:pt idx="79">
                  <c:v>45605</c:v>
                </c:pt>
                <c:pt idx="80">
                  <c:v>45606</c:v>
                </c:pt>
                <c:pt idx="81">
                  <c:v>45607</c:v>
                </c:pt>
                <c:pt idx="82">
                  <c:v>45608</c:v>
                </c:pt>
                <c:pt idx="83">
                  <c:v>45609</c:v>
                </c:pt>
                <c:pt idx="84">
                  <c:v>45610</c:v>
                </c:pt>
                <c:pt idx="85">
                  <c:v>45611</c:v>
                </c:pt>
                <c:pt idx="86">
                  <c:v>45612</c:v>
                </c:pt>
                <c:pt idx="87">
                  <c:v>45613</c:v>
                </c:pt>
                <c:pt idx="88">
                  <c:v>45614</c:v>
                </c:pt>
                <c:pt idx="89">
                  <c:v>45615</c:v>
                </c:pt>
                <c:pt idx="90">
                  <c:v>45616</c:v>
                </c:pt>
                <c:pt idx="91">
                  <c:v>45617</c:v>
                </c:pt>
                <c:pt idx="92">
                  <c:v>45618</c:v>
                </c:pt>
                <c:pt idx="93">
                  <c:v>45619</c:v>
                </c:pt>
                <c:pt idx="94">
                  <c:v>45620</c:v>
                </c:pt>
                <c:pt idx="95">
                  <c:v>45621</c:v>
                </c:pt>
                <c:pt idx="96">
                  <c:v>45622</c:v>
                </c:pt>
                <c:pt idx="97">
                  <c:v>45623</c:v>
                </c:pt>
                <c:pt idx="98">
                  <c:v>45624</c:v>
                </c:pt>
                <c:pt idx="99">
                  <c:v>45625</c:v>
                </c:pt>
                <c:pt idx="100">
                  <c:v>45626</c:v>
                </c:pt>
                <c:pt idx="101">
                  <c:v>45627</c:v>
                </c:pt>
                <c:pt idx="102">
                  <c:v>45628</c:v>
                </c:pt>
                <c:pt idx="103">
                  <c:v>45629</c:v>
                </c:pt>
                <c:pt idx="104">
                  <c:v>45630</c:v>
                </c:pt>
                <c:pt idx="105">
                  <c:v>45631</c:v>
                </c:pt>
                <c:pt idx="106">
                  <c:v>45632</c:v>
                </c:pt>
                <c:pt idx="107">
                  <c:v>45633</c:v>
                </c:pt>
                <c:pt idx="108">
                  <c:v>45634</c:v>
                </c:pt>
                <c:pt idx="109">
                  <c:v>45635</c:v>
                </c:pt>
                <c:pt idx="110">
                  <c:v>45636</c:v>
                </c:pt>
                <c:pt idx="111">
                  <c:v>45637</c:v>
                </c:pt>
                <c:pt idx="112">
                  <c:v>45638</c:v>
                </c:pt>
                <c:pt idx="113">
                  <c:v>45639</c:v>
                </c:pt>
                <c:pt idx="114">
                  <c:v>45640</c:v>
                </c:pt>
                <c:pt idx="115">
                  <c:v>45641</c:v>
                </c:pt>
                <c:pt idx="116">
                  <c:v>45642</c:v>
                </c:pt>
                <c:pt idx="117">
                  <c:v>45643</c:v>
                </c:pt>
                <c:pt idx="118">
                  <c:v>45644</c:v>
                </c:pt>
                <c:pt idx="119">
                  <c:v>45645</c:v>
                </c:pt>
                <c:pt idx="120">
                  <c:v>45646</c:v>
                </c:pt>
                <c:pt idx="121">
                  <c:v>45647</c:v>
                </c:pt>
                <c:pt idx="122">
                  <c:v>45648</c:v>
                </c:pt>
                <c:pt idx="123">
                  <c:v>45649</c:v>
                </c:pt>
                <c:pt idx="124">
                  <c:v>45650</c:v>
                </c:pt>
                <c:pt idx="125">
                  <c:v>45651</c:v>
                </c:pt>
                <c:pt idx="126">
                  <c:v>45652</c:v>
                </c:pt>
                <c:pt idx="127">
                  <c:v>45653</c:v>
                </c:pt>
                <c:pt idx="128">
                  <c:v>45654</c:v>
                </c:pt>
                <c:pt idx="129">
                  <c:v>45655</c:v>
                </c:pt>
                <c:pt idx="130">
                  <c:v>45656</c:v>
                </c:pt>
                <c:pt idx="131">
                  <c:v>45657</c:v>
                </c:pt>
                <c:pt idx="132">
                  <c:v>45658</c:v>
                </c:pt>
                <c:pt idx="133">
                  <c:v>45659</c:v>
                </c:pt>
                <c:pt idx="134">
                  <c:v>45660</c:v>
                </c:pt>
                <c:pt idx="135">
                  <c:v>45661</c:v>
                </c:pt>
                <c:pt idx="136">
                  <c:v>45662</c:v>
                </c:pt>
                <c:pt idx="137">
                  <c:v>45663</c:v>
                </c:pt>
                <c:pt idx="138">
                  <c:v>45664</c:v>
                </c:pt>
                <c:pt idx="139">
                  <c:v>45665</c:v>
                </c:pt>
                <c:pt idx="140">
                  <c:v>45666</c:v>
                </c:pt>
                <c:pt idx="141">
                  <c:v>45667</c:v>
                </c:pt>
                <c:pt idx="142">
                  <c:v>45668</c:v>
                </c:pt>
                <c:pt idx="143">
                  <c:v>45669</c:v>
                </c:pt>
                <c:pt idx="144">
                  <c:v>45670</c:v>
                </c:pt>
                <c:pt idx="145">
                  <c:v>45671</c:v>
                </c:pt>
                <c:pt idx="146">
                  <c:v>45672</c:v>
                </c:pt>
                <c:pt idx="147">
                  <c:v>45673</c:v>
                </c:pt>
                <c:pt idx="148">
                  <c:v>45674</c:v>
                </c:pt>
                <c:pt idx="149">
                  <c:v>45675</c:v>
                </c:pt>
                <c:pt idx="150">
                  <c:v>45676</c:v>
                </c:pt>
                <c:pt idx="151">
                  <c:v>45677</c:v>
                </c:pt>
                <c:pt idx="152">
                  <c:v>45678</c:v>
                </c:pt>
                <c:pt idx="153">
                  <c:v>45679</c:v>
                </c:pt>
                <c:pt idx="154">
                  <c:v>45680</c:v>
                </c:pt>
                <c:pt idx="155">
                  <c:v>45681</c:v>
                </c:pt>
                <c:pt idx="156">
                  <c:v>45682</c:v>
                </c:pt>
                <c:pt idx="157">
                  <c:v>45683</c:v>
                </c:pt>
                <c:pt idx="158">
                  <c:v>45684</c:v>
                </c:pt>
                <c:pt idx="159">
                  <c:v>45685</c:v>
                </c:pt>
                <c:pt idx="160">
                  <c:v>45686</c:v>
                </c:pt>
                <c:pt idx="161">
                  <c:v>45687</c:v>
                </c:pt>
                <c:pt idx="162">
                  <c:v>45688</c:v>
                </c:pt>
                <c:pt idx="163">
                  <c:v>45689</c:v>
                </c:pt>
                <c:pt idx="164">
                  <c:v>45690</c:v>
                </c:pt>
                <c:pt idx="165">
                  <c:v>45691</c:v>
                </c:pt>
                <c:pt idx="166">
                  <c:v>45692</c:v>
                </c:pt>
                <c:pt idx="167">
                  <c:v>45693</c:v>
                </c:pt>
                <c:pt idx="168">
                  <c:v>45694</c:v>
                </c:pt>
                <c:pt idx="169">
                  <c:v>45695</c:v>
                </c:pt>
                <c:pt idx="170">
                  <c:v>45696</c:v>
                </c:pt>
                <c:pt idx="171">
                  <c:v>45697</c:v>
                </c:pt>
                <c:pt idx="172">
                  <c:v>45698</c:v>
                </c:pt>
                <c:pt idx="173">
                  <c:v>45699</c:v>
                </c:pt>
                <c:pt idx="174">
                  <c:v>45700</c:v>
                </c:pt>
                <c:pt idx="175">
                  <c:v>45701</c:v>
                </c:pt>
                <c:pt idx="176">
                  <c:v>45702</c:v>
                </c:pt>
                <c:pt idx="177">
                  <c:v>45703</c:v>
                </c:pt>
                <c:pt idx="178">
                  <c:v>45704</c:v>
                </c:pt>
                <c:pt idx="179">
                  <c:v>45705</c:v>
                </c:pt>
                <c:pt idx="180">
                  <c:v>45706</c:v>
                </c:pt>
                <c:pt idx="181">
                  <c:v>45707</c:v>
                </c:pt>
                <c:pt idx="182">
                  <c:v>45708</c:v>
                </c:pt>
                <c:pt idx="183">
                  <c:v>45709</c:v>
                </c:pt>
                <c:pt idx="184">
                  <c:v>45710</c:v>
                </c:pt>
                <c:pt idx="185">
                  <c:v>45711</c:v>
                </c:pt>
                <c:pt idx="186">
                  <c:v>45712</c:v>
                </c:pt>
                <c:pt idx="187">
                  <c:v>45713</c:v>
                </c:pt>
                <c:pt idx="188">
                  <c:v>45714</c:v>
                </c:pt>
                <c:pt idx="189">
                  <c:v>45715</c:v>
                </c:pt>
                <c:pt idx="190">
                  <c:v>45716</c:v>
                </c:pt>
                <c:pt idx="191">
                  <c:v>45717</c:v>
                </c:pt>
                <c:pt idx="192">
                  <c:v>45718</c:v>
                </c:pt>
                <c:pt idx="193">
                  <c:v>45719</c:v>
                </c:pt>
                <c:pt idx="194">
                  <c:v>45720</c:v>
                </c:pt>
                <c:pt idx="195">
                  <c:v>45721</c:v>
                </c:pt>
                <c:pt idx="196">
                  <c:v>45722</c:v>
                </c:pt>
                <c:pt idx="197">
                  <c:v>45723</c:v>
                </c:pt>
                <c:pt idx="198">
                  <c:v>45724</c:v>
                </c:pt>
                <c:pt idx="199">
                  <c:v>45725</c:v>
                </c:pt>
                <c:pt idx="200">
                  <c:v>45726</c:v>
                </c:pt>
                <c:pt idx="201">
                  <c:v>45727</c:v>
                </c:pt>
                <c:pt idx="202">
                  <c:v>45728</c:v>
                </c:pt>
                <c:pt idx="203">
                  <c:v>45729</c:v>
                </c:pt>
                <c:pt idx="204">
                  <c:v>45730</c:v>
                </c:pt>
                <c:pt idx="205">
                  <c:v>45731</c:v>
                </c:pt>
                <c:pt idx="206">
                  <c:v>45732</c:v>
                </c:pt>
                <c:pt idx="207">
                  <c:v>45733</c:v>
                </c:pt>
                <c:pt idx="208">
                  <c:v>45734</c:v>
                </c:pt>
                <c:pt idx="209">
                  <c:v>45735</c:v>
                </c:pt>
                <c:pt idx="210">
                  <c:v>45736</c:v>
                </c:pt>
                <c:pt idx="211">
                  <c:v>45737</c:v>
                </c:pt>
                <c:pt idx="212">
                  <c:v>45738</c:v>
                </c:pt>
                <c:pt idx="213">
                  <c:v>45739</c:v>
                </c:pt>
                <c:pt idx="214">
                  <c:v>45740</c:v>
                </c:pt>
                <c:pt idx="215">
                  <c:v>45741</c:v>
                </c:pt>
                <c:pt idx="216">
                  <c:v>45742</c:v>
                </c:pt>
                <c:pt idx="217">
                  <c:v>45743</c:v>
                </c:pt>
                <c:pt idx="218">
                  <c:v>45744</c:v>
                </c:pt>
                <c:pt idx="219">
                  <c:v>45745</c:v>
                </c:pt>
                <c:pt idx="220">
                  <c:v>45746</c:v>
                </c:pt>
                <c:pt idx="221">
                  <c:v>45747</c:v>
                </c:pt>
                <c:pt idx="222">
                  <c:v>45748</c:v>
                </c:pt>
                <c:pt idx="223">
                  <c:v>45749</c:v>
                </c:pt>
                <c:pt idx="224">
                  <c:v>45750</c:v>
                </c:pt>
                <c:pt idx="225">
                  <c:v>45751</c:v>
                </c:pt>
                <c:pt idx="226">
                  <c:v>45752</c:v>
                </c:pt>
                <c:pt idx="227">
                  <c:v>45753</c:v>
                </c:pt>
                <c:pt idx="228">
                  <c:v>45754</c:v>
                </c:pt>
                <c:pt idx="229">
                  <c:v>45755</c:v>
                </c:pt>
                <c:pt idx="230">
                  <c:v>45756</c:v>
                </c:pt>
                <c:pt idx="231">
                  <c:v>45757</c:v>
                </c:pt>
                <c:pt idx="232">
                  <c:v>45758</c:v>
                </c:pt>
                <c:pt idx="233">
                  <c:v>45759</c:v>
                </c:pt>
                <c:pt idx="234">
                  <c:v>45760</c:v>
                </c:pt>
                <c:pt idx="235">
                  <c:v>45761</c:v>
                </c:pt>
                <c:pt idx="236">
                  <c:v>45762</c:v>
                </c:pt>
                <c:pt idx="237">
                  <c:v>45763</c:v>
                </c:pt>
                <c:pt idx="238">
                  <c:v>45764</c:v>
                </c:pt>
                <c:pt idx="239">
                  <c:v>45765</c:v>
                </c:pt>
                <c:pt idx="240">
                  <c:v>45766</c:v>
                </c:pt>
                <c:pt idx="241">
                  <c:v>45767</c:v>
                </c:pt>
                <c:pt idx="242">
                  <c:v>45768</c:v>
                </c:pt>
                <c:pt idx="243">
                  <c:v>45769</c:v>
                </c:pt>
                <c:pt idx="244">
                  <c:v>45770</c:v>
                </c:pt>
                <c:pt idx="245">
                  <c:v>45771</c:v>
                </c:pt>
                <c:pt idx="246">
                  <c:v>45772</c:v>
                </c:pt>
                <c:pt idx="247">
                  <c:v>45773</c:v>
                </c:pt>
                <c:pt idx="248">
                  <c:v>45774</c:v>
                </c:pt>
                <c:pt idx="249">
                  <c:v>45775</c:v>
                </c:pt>
                <c:pt idx="250">
                  <c:v>45776</c:v>
                </c:pt>
                <c:pt idx="251">
                  <c:v>45777</c:v>
                </c:pt>
                <c:pt idx="252">
                  <c:v>45778</c:v>
                </c:pt>
                <c:pt idx="253">
                  <c:v>45779</c:v>
                </c:pt>
                <c:pt idx="254">
                  <c:v>45780</c:v>
                </c:pt>
                <c:pt idx="255">
                  <c:v>45781</c:v>
                </c:pt>
                <c:pt idx="256">
                  <c:v>45782</c:v>
                </c:pt>
                <c:pt idx="257">
                  <c:v>45783</c:v>
                </c:pt>
                <c:pt idx="258">
                  <c:v>45784</c:v>
                </c:pt>
                <c:pt idx="259">
                  <c:v>45785</c:v>
                </c:pt>
                <c:pt idx="260">
                  <c:v>45786</c:v>
                </c:pt>
                <c:pt idx="261">
                  <c:v>45787</c:v>
                </c:pt>
                <c:pt idx="262">
                  <c:v>45788</c:v>
                </c:pt>
                <c:pt idx="263">
                  <c:v>45789</c:v>
                </c:pt>
                <c:pt idx="264">
                  <c:v>45790</c:v>
                </c:pt>
                <c:pt idx="265">
                  <c:v>45791</c:v>
                </c:pt>
                <c:pt idx="266">
                  <c:v>45792</c:v>
                </c:pt>
                <c:pt idx="267">
                  <c:v>45793</c:v>
                </c:pt>
                <c:pt idx="268">
                  <c:v>45794</c:v>
                </c:pt>
                <c:pt idx="269">
                  <c:v>45795</c:v>
                </c:pt>
                <c:pt idx="270">
                  <c:v>45796</c:v>
                </c:pt>
                <c:pt idx="271">
                  <c:v>45797</c:v>
                </c:pt>
                <c:pt idx="272">
                  <c:v>45798</c:v>
                </c:pt>
                <c:pt idx="273">
                  <c:v>45799</c:v>
                </c:pt>
                <c:pt idx="274">
                  <c:v>45800</c:v>
                </c:pt>
                <c:pt idx="275">
                  <c:v>45801</c:v>
                </c:pt>
                <c:pt idx="276">
                  <c:v>45802</c:v>
                </c:pt>
                <c:pt idx="277">
                  <c:v>45803</c:v>
                </c:pt>
                <c:pt idx="278">
                  <c:v>45804</c:v>
                </c:pt>
                <c:pt idx="279">
                  <c:v>45805</c:v>
                </c:pt>
                <c:pt idx="280">
                  <c:v>45806</c:v>
                </c:pt>
                <c:pt idx="281">
                  <c:v>45807</c:v>
                </c:pt>
                <c:pt idx="282">
                  <c:v>45808</c:v>
                </c:pt>
                <c:pt idx="283">
                  <c:v>45809</c:v>
                </c:pt>
                <c:pt idx="284">
                  <c:v>45810</c:v>
                </c:pt>
                <c:pt idx="285">
                  <c:v>45811</c:v>
                </c:pt>
                <c:pt idx="286">
                  <c:v>45812</c:v>
                </c:pt>
                <c:pt idx="287">
                  <c:v>45813</c:v>
                </c:pt>
                <c:pt idx="288">
                  <c:v>45814</c:v>
                </c:pt>
                <c:pt idx="289">
                  <c:v>45815</c:v>
                </c:pt>
                <c:pt idx="290">
                  <c:v>45816</c:v>
                </c:pt>
                <c:pt idx="291">
                  <c:v>45817</c:v>
                </c:pt>
                <c:pt idx="292">
                  <c:v>45818</c:v>
                </c:pt>
                <c:pt idx="293">
                  <c:v>45819</c:v>
                </c:pt>
                <c:pt idx="294">
                  <c:v>45820</c:v>
                </c:pt>
                <c:pt idx="295">
                  <c:v>45821</c:v>
                </c:pt>
                <c:pt idx="296">
                  <c:v>45822</c:v>
                </c:pt>
                <c:pt idx="297">
                  <c:v>45823</c:v>
                </c:pt>
                <c:pt idx="298">
                  <c:v>45824</c:v>
                </c:pt>
                <c:pt idx="299">
                  <c:v>45825</c:v>
                </c:pt>
                <c:pt idx="300">
                  <c:v>45826</c:v>
                </c:pt>
                <c:pt idx="301">
                  <c:v>45827</c:v>
                </c:pt>
                <c:pt idx="302">
                  <c:v>45828</c:v>
                </c:pt>
                <c:pt idx="303">
                  <c:v>45829</c:v>
                </c:pt>
                <c:pt idx="304">
                  <c:v>45830</c:v>
                </c:pt>
                <c:pt idx="305">
                  <c:v>45831</c:v>
                </c:pt>
                <c:pt idx="306">
                  <c:v>45832</c:v>
                </c:pt>
                <c:pt idx="307">
                  <c:v>45833</c:v>
                </c:pt>
                <c:pt idx="308">
                  <c:v>45834</c:v>
                </c:pt>
                <c:pt idx="309">
                  <c:v>45835</c:v>
                </c:pt>
                <c:pt idx="310">
                  <c:v>45836</c:v>
                </c:pt>
                <c:pt idx="311">
                  <c:v>45837</c:v>
                </c:pt>
                <c:pt idx="312">
                  <c:v>45838</c:v>
                </c:pt>
                <c:pt idx="313">
                  <c:v>45839</c:v>
                </c:pt>
                <c:pt idx="314">
                  <c:v>45840</c:v>
                </c:pt>
                <c:pt idx="315">
                  <c:v>45841</c:v>
                </c:pt>
                <c:pt idx="316">
                  <c:v>45842</c:v>
                </c:pt>
                <c:pt idx="317">
                  <c:v>45843</c:v>
                </c:pt>
                <c:pt idx="318">
                  <c:v>45844</c:v>
                </c:pt>
                <c:pt idx="319">
                  <c:v>45845</c:v>
                </c:pt>
                <c:pt idx="320">
                  <c:v>45846</c:v>
                </c:pt>
                <c:pt idx="321">
                  <c:v>45847</c:v>
                </c:pt>
                <c:pt idx="322">
                  <c:v>45848</c:v>
                </c:pt>
                <c:pt idx="323">
                  <c:v>45849</c:v>
                </c:pt>
                <c:pt idx="324">
                  <c:v>45850</c:v>
                </c:pt>
                <c:pt idx="325">
                  <c:v>45851</c:v>
                </c:pt>
                <c:pt idx="326">
                  <c:v>45852</c:v>
                </c:pt>
                <c:pt idx="327">
                  <c:v>45853</c:v>
                </c:pt>
                <c:pt idx="328">
                  <c:v>45854</c:v>
                </c:pt>
                <c:pt idx="329">
                  <c:v>45855</c:v>
                </c:pt>
                <c:pt idx="330">
                  <c:v>45856</c:v>
                </c:pt>
                <c:pt idx="331">
                  <c:v>45857</c:v>
                </c:pt>
                <c:pt idx="332">
                  <c:v>45858</c:v>
                </c:pt>
                <c:pt idx="333">
                  <c:v>45859</c:v>
                </c:pt>
                <c:pt idx="334">
                  <c:v>45860</c:v>
                </c:pt>
                <c:pt idx="335">
                  <c:v>45861</c:v>
                </c:pt>
                <c:pt idx="336">
                  <c:v>45862</c:v>
                </c:pt>
                <c:pt idx="337">
                  <c:v>45863</c:v>
                </c:pt>
                <c:pt idx="338">
                  <c:v>45864</c:v>
                </c:pt>
                <c:pt idx="339">
                  <c:v>45865</c:v>
                </c:pt>
                <c:pt idx="340">
                  <c:v>45866</c:v>
                </c:pt>
                <c:pt idx="341">
                  <c:v>45867</c:v>
                </c:pt>
                <c:pt idx="342">
                  <c:v>45868</c:v>
                </c:pt>
                <c:pt idx="343">
                  <c:v>45869</c:v>
                </c:pt>
                <c:pt idx="344">
                  <c:v>45870</c:v>
                </c:pt>
                <c:pt idx="345">
                  <c:v>45871</c:v>
                </c:pt>
                <c:pt idx="346">
                  <c:v>45872</c:v>
                </c:pt>
                <c:pt idx="347">
                  <c:v>45873</c:v>
                </c:pt>
                <c:pt idx="348">
                  <c:v>45874</c:v>
                </c:pt>
                <c:pt idx="349">
                  <c:v>45875</c:v>
                </c:pt>
                <c:pt idx="350">
                  <c:v>45876</c:v>
                </c:pt>
                <c:pt idx="351">
                  <c:v>45877</c:v>
                </c:pt>
                <c:pt idx="352">
                  <c:v>45878</c:v>
                </c:pt>
                <c:pt idx="353">
                  <c:v>45879</c:v>
                </c:pt>
                <c:pt idx="354">
                  <c:v>45880</c:v>
                </c:pt>
                <c:pt idx="355">
                  <c:v>45881</c:v>
                </c:pt>
                <c:pt idx="356">
                  <c:v>45882</c:v>
                </c:pt>
                <c:pt idx="357">
                  <c:v>45883</c:v>
                </c:pt>
                <c:pt idx="358">
                  <c:v>45884</c:v>
                </c:pt>
                <c:pt idx="359">
                  <c:v>45885</c:v>
                </c:pt>
                <c:pt idx="360">
                  <c:v>45886</c:v>
                </c:pt>
                <c:pt idx="361">
                  <c:v>45887</c:v>
                </c:pt>
                <c:pt idx="362">
                  <c:v>45888</c:v>
                </c:pt>
                <c:pt idx="363">
                  <c:v>45889</c:v>
                </c:pt>
                <c:pt idx="364">
                  <c:v>45890</c:v>
                </c:pt>
                <c:pt idx="365">
                  <c:v>45891</c:v>
                </c:pt>
                <c:pt idx="366">
                  <c:v>45892</c:v>
                </c:pt>
                <c:pt idx="367">
                  <c:v>45893</c:v>
                </c:pt>
                <c:pt idx="368">
                  <c:v>45894</c:v>
                </c:pt>
                <c:pt idx="369">
                  <c:v>45895</c:v>
                </c:pt>
                <c:pt idx="370">
                  <c:v>45896</c:v>
                </c:pt>
                <c:pt idx="371">
                  <c:v>45897</c:v>
                </c:pt>
                <c:pt idx="372">
                  <c:v>45898</c:v>
                </c:pt>
                <c:pt idx="373">
                  <c:v>45899</c:v>
                </c:pt>
                <c:pt idx="374">
                  <c:v>45900</c:v>
                </c:pt>
                <c:pt idx="375">
                  <c:v>45901</c:v>
                </c:pt>
                <c:pt idx="376">
                  <c:v>45902</c:v>
                </c:pt>
                <c:pt idx="377">
                  <c:v>45903</c:v>
                </c:pt>
                <c:pt idx="378">
                  <c:v>45904</c:v>
                </c:pt>
                <c:pt idx="379">
                  <c:v>45905</c:v>
                </c:pt>
                <c:pt idx="380">
                  <c:v>45906</c:v>
                </c:pt>
                <c:pt idx="381">
                  <c:v>45907</c:v>
                </c:pt>
                <c:pt idx="382">
                  <c:v>45908</c:v>
                </c:pt>
                <c:pt idx="383">
                  <c:v>45909</c:v>
                </c:pt>
                <c:pt idx="384">
                  <c:v>45910</c:v>
                </c:pt>
                <c:pt idx="385">
                  <c:v>45911</c:v>
                </c:pt>
                <c:pt idx="386">
                  <c:v>45912</c:v>
                </c:pt>
                <c:pt idx="387">
                  <c:v>45913</c:v>
                </c:pt>
                <c:pt idx="388">
                  <c:v>45914</c:v>
                </c:pt>
                <c:pt idx="389">
                  <c:v>45915</c:v>
                </c:pt>
                <c:pt idx="390">
                  <c:v>45916</c:v>
                </c:pt>
                <c:pt idx="391">
                  <c:v>45917</c:v>
                </c:pt>
                <c:pt idx="392">
                  <c:v>45918</c:v>
                </c:pt>
                <c:pt idx="393">
                  <c:v>45919</c:v>
                </c:pt>
                <c:pt idx="394">
                  <c:v>45920</c:v>
                </c:pt>
                <c:pt idx="395">
                  <c:v>45921</c:v>
                </c:pt>
                <c:pt idx="396">
                  <c:v>45922</c:v>
                </c:pt>
                <c:pt idx="397">
                  <c:v>45923</c:v>
                </c:pt>
                <c:pt idx="398">
                  <c:v>45924</c:v>
                </c:pt>
                <c:pt idx="399">
                  <c:v>45925</c:v>
                </c:pt>
                <c:pt idx="400">
                  <c:v>45926</c:v>
                </c:pt>
                <c:pt idx="401">
                  <c:v>45927</c:v>
                </c:pt>
                <c:pt idx="402">
                  <c:v>45928</c:v>
                </c:pt>
                <c:pt idx="403">
                  <c:v>45929</c:v>
                </c:pt>
                <c:pt idx="404">
                  <c:v>45930</c:v>
                </c:pt>
                <c:pt idx="405">
                  <c:v>45931</c:v>
                </c:pt>
                <c:pt idx="406">
                  <c:v>45932</c:v>
                </c:pt>
                <c:pt idx="407">
                  <c:v>45933</c:v>
                </c:pt>
                <c:pt idx="408">
                  <c:v>45934</c:v>
                </c:pt>
                <c:pt idx="409">
                  <c:v>45935</c:v>
                </c:pt>
                <c:pt idx="410">
                  <c:v>45936</c:v>
                </c:pt>
                <c:pt idx="411">
                  <c:v>45937</c:v>
                </c:pt>
                <c:pt idx="412">
                  <c:v>45938</c:v>
                </c:pt>
                <c:pt idx="413">
                  <c:v>45939</c:v>
                </c:pt>
                <c:pt idx="414">
                  <c:v>45940</c:v>
                </c:pt>
                <c:pt idx="415">
                  <c:v>45941</c:v>
                </c:pt>
                <c:pt idx="416">
                  <c:v>45942</c:v>
                </c:pt>
                <c:pt idx="417">
                  <c:v>45943</c:v>
                </c:pt>
                <c:pt idx="418">
                  <c:v>45944</c:v>
                </c:pt>
                <c:pt idx="419">
                  <c:v>45945</c:v>
                </c:pt>
                <c:pt idx="420">
                  <c:v>45946</c:v>
                </c:pt>
                <c:pt idx="421">
                  <c:v>45947</c:v>
                </c:pt>
                <c:pt idx="422">
                  <c:v>45948</c:v>
                </c:pt>
                <c:pt idx="423">
                  <c:v>45949</c:v>
                </c:pt>
                <c:pt idx="424">
                  <c:v>45950</c:v>
                </c:pt>
                <c:pt idx="425">
                  <c:v>45951</c:v>
                </c:pt>
                <c:pt idx="426">
                  <c:v>45952</c:v>
                </c:pt>
                <c:pt idx="427">
                  <c:v>45953</c:v>
                </c:pt>
                <c:pt idx="428">
                  <c:v>45954</c:v>
                </c:pt>
                <c:pt idx="429">
                  <c:v>45955</c:v>
                </c:pt>
                <c:pt idx="430">
                  <c:v>45956</c:v>
                </c:pt>
                <c:pt idx="431">
                  <c:v>45957</c:v>
                </c:pt>
                <c:pt idx="432">
                  <c:v>45958</c:v>
                </c:pt>
                <c:pt idx="433">
                  <c:v>45959</c:v>
                </c:pt>
                <c:pt idx="434">
                  <c:v>45960</c:v>
                </c:pt>
                <c:pt idx="435">
                  <c:v>45961</c:v>
                </c:pt>
                <c:pt idx="436">
                  <c:v>45962</c:v>
                </c:pt>
                <c:pt idx="437">
                  <c:v>45963</c:v>
                </c:pt>
                <c:pt idx="438">
                  <c:v>45964</c:v>
                </c:pt>
                <c:pt idx="439">
                  <c:v>45965</c:v>
                </c:pt>
                <c:pt idx="440">
                  <c:v>45966</c:v>
                </c:pt>
                <c:pt idx="441">
                  <c:v>45967</c:v>
                </c:pt>
                <c:pt idx="442">
                  <c:v>45968</c:v>
                </c:pt>
                <c:pt idx="443">
                  <c:v>45969</c:v>
                </c:pt>
                <c:pt idx="444">
                  <c:v>45970</c:v>
                </c:pt>
                <c:pt idx="445">
                  <c:v>45971</c:v>
                </c:pt>
                <c:pt idx="446">
                  <c:v>45972</c:v>
                </c:pt>
                <c:pt idx="447">
                  <c:v>45973</c:v>
                </c:pt>
                <c:pt idx="448">
                  <c:v>45974</c:v>
                </c:pt>
                <c:pt idx="449">
                  <c:v>45975</c:v>
                </c:pt>
                <c:pt idx="450">
                  <c:v>45976</c:v>
                </c:pt>
                <c:pt idx="451">
                  <c:v>45977</c:v>
                </c:pt>
                <c:pt idx="452">
                  <c:v>45978</c:v>
                </c:pt>
                <c:pt idx="453">
                  <c:v>45979</c:v>
                </c:pt>
                <c:pt idx="454">
                  <c:v>45980</c:v>
                </c:pt>
                <c:pt idx="455">
                  <c:v>45981</c:v>
                </c:pt>
                <c:pt idx="456">
                  <c:v>45982</c:v>
                </c:pt>
                <c:pt idx="457">
                  <c:v>45983</c:v>
                </c:pt>
                <c:pt idx="458">
                  <c:v>45984</c:v>
                </c:pt>
                <c:pt idx="459">
                  <c:v>45985</c:v>
                </c:pt>
                <c:pt idx="460">
                  <c:v>45986</c:v>
                </c:pt>
                <c:pt idx="461">
                  <c:v>45987</c:v>
                </c:pt>
                <c:pt idx="462">
                  <c:v>45988</c:v>
                </c:pt>
                <c:pt idx="463">
                  <c:v>45989</c:v>
                </c:pt>
                <c:pt idx="464">
                  <c:v>45990</c:v>
                </c:pt>
                <c:pt idx="465">
                  <c:v>45991</c:v>
                </c:pt>
                <c:pt idx="466">
                  <c:v>45992</c:v>
                </c:pt>
                <c:pt idx="467">
                  <c:v>45993</c:v>
                </c:pt>
                <c:pt idx="468">
                  <c:v>45994</c:v>
                </c:pt>
                <c:pt idx="469">
                  <c:v>45995</c:v>
                </c:pt>
                <c:pt idx="470">
                  <c:v>45996</c:v>
                </c:pt>
                <c:pt idx="471">
                  <c:v>45997</c:v>
                </c:pt>
                <c:pt idx="472">
                  <c:v>45998</c:v>
                </c:pt>
                <c:pt idx="473">
                  <c:v>45999</c:v>
                </c:pt>
                <c:pt idx="474">
                  <c:v>46000</c:v>
                </c:pt>
                <c:pt idx="475">
                  <c:v>46001</c:v>
                </c:pt>
                <c:pt idx="476">
                  <c:v>46002</c:v>
                </c:pt>
                <c:pt idx="477">
                  <c:v>46003</c:v>
                </c:pt>
                <c:pt idx="478">
                  <c:v>46004</c:v>
                </c:pt>
                <c:pt idx="479">
                  <c:v>46005</c:v>
                </c:pt>
                <c:pt idx="480">
                  <c:v>46006</c:v>
                </c:pt>
                <c:pt idx="481">
                  <c:v>46007</c:v>
                </c:pt>
                <c:pt idx="482">
                  <c:v>46008</c:v>
                </c:pt>
                <c:pt idx="483">
                  <c:v>46009</c:v>
                </c:pt>
                <c:pt idx="484">
                  <c:v>46010</c:v>
                </c:pt>
                <c:pt idx="485">
                  <c:v>46011</c:v>
                </c:pt>
                <c:pt idx="486">
                  <c:v>46012</c:v>
                </c:pt>
                <c:pt idx="487">
                  <c:v>46013</c:v>
                </c:pt>
                <c:pt idx="488">
                  <c:v>46014</c:v>
                </c:pt>
                <c:pt idx="489">
                  <c:v>46015</c:v>
                </c:pt>
                <c:pt idx="490">
                  <c:v>46016</c:v>
                </c:pt>
                <c:pt idx="491">
                  <c:v>46017</c:v>
                </c:pt>
                <c:pt idx="492">
                  <c:v>46018</c:v>
                </c:pt>
                <c:pt idx="493">
                  <c:v>46019</c:v>
                </c:pt>
                <c:pt idx="494">
                  <c:v>46020</c:v>
                </c:pt>
                <c:pt idx="495">
                  <c:v>46021</c:v>
                </c:pt>
                <c:pt idx="496">
                  <c:v>46022</c:v>
                </c:pt>
                <c:pt idx="497">
                  <c:v>46023</c:v>
                </c:pt>
                <c:pt idx="498">
                  <c:v>46024</c:v>
                </c:pt>
                <c:pt idx="499">
                  <c:v>46025</c:v>
                </c:pt>
                <c:pt idx="500">
                  <c:v>46026</c:v>
                </c:pt>
                <c:pt idx="501">
                  <c:v>46027</c:v>
                </c:pt>
                <c:pt idx="502">
                  <c:v>46028</c:v>
                </c:pt>
                <c:pt idx="503">
                  <c:v>46029</c:v>
                </c:pt>
                <c:pt idx="504">
                  <c:v>46030</c:v>
                </c:pt>
                <c:pt idx="505">
                  <c:v>46031</c:v>
                </c:pt>
                <c:pt idx="506">
                  <c:v>46032</c:v>
                </c:pt>
                <c:pt idx="507">
                  <c:v>46033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46039</c:v>
                </c:pt>
                <c:pt idx="514">
                  <c:v>46040</c:v>
                </c:pt>
                <c:pt idx="515">
                  <c:v>46041</c:v>
                </c:pt>
                <c:pt idx="516">
                  <c:v>46042</c:v>
                </c:pt>
                <c:pt idx="517">
                  <c:v>46043</c:v>
                </c:pt>
                <c:pt idx="518">
                  <c:v>46044</c:v>
                </c:pt>
                <c:pt idx="519">
                  <c:v>46045</c:v>
                </c:pt>
                <c:pt idx="520">
                  <c:v>46046</c:v>
                </c:pt>
                <c:pt idx="521">
                  <c:v>46047</c:v>
                </c:pt>
                <c:pt idx="522">
                  <c:v>46048</c:v>
                </c:pt>
                <c:pt idx="523">
                  <c:v>46049</c:v>
                </c:pt>
                <c:pt idx="524">
                  <c:v>46050</c:v>
                </c:pt>
                <c:pt idx="525">
                  <c:v>46051</c:v>
                </c:pt>
                <c:pt idx="526">
                  <c:v>46052</c:v>
                </c:pt>
                <c:pt idx="527">
                  <c:v>46053</c:v>
                </c:pt>
                <c:pt idx="528">
                  <c:v>46054</c:v>
                </c:pt>
                <c:pt idx="529">
                  <c:v>46055</c:v>
                </c:pt>
                <c:pt idx="530">
                  <c:v>46056</c:v>
                </c:pt>
                <c:pt idx="531">
                  <c:v>46057</c:v>
                </c:pt>
                <c:pt idx="532">
                  <c:v>46058</c:v>
                </c:pt>
                <c:pt idx="533">
                  <c:v>46059</c:v>
                </c:pt>
                <c:pt idx="534">
                  <c:v>46060</c:v>
                </c:pt>
                <c:pt idx="535">
                  <c:v>46061</c:v>
                </c:pt>
                <c:pt idx="536">
                  <c:v>46062</c:v>
                </c:pt>
                <c:pt idx="537">
                  <c:v>46063</c:v>
                </c:pt>
                <c:pt idx="538">
                  <c:v>46064</c:v>
                </c:pt>
                <c:pt idx="539">
                  <c:v>46065</c:v>
                </c:pt>
                <c:pt idx="540">
                  <c:v>46066</c:v>
                </c:pt>
                <c:pt idx="541">
                  <c:v>46067</c:v>
                </c:pt>
                <c:pt idx="542">
                  <c:v>46068</c:v>
                </c:pt>
                <c:pt idx="543">
                  <c:v>46069</c:v>
                </c:pt>
                <c:pt idx="544">
                  <c:v>46070</c:v>
                </c:pt>
                <c:pt idx="545">
                  <c:v>46071</c:v>
                </c:pt>
                <c:pt idx="546">
                  <c:v>46072</c:v>
                </c:pt>
                <c:pt idx="547">
                  <c:v>46073</c:v>
                </c:pt>
                <c:pt idx="548">
                  <c:v>46074</c:v>
                </c:pt>
                <c:pt idx="549">
                  <c:v>46075</c:v>
                </c:pt>
                <c:pt idx="550">
                  <c:v>46076</c:v>
                </c:pt>
                <c:pt idx="551">
                  <c:v>46077</c:v>
                </c:pt>
                <c:pt idx="552">
                  <c:v>46078</c:v>
                </c:pt>
                <c:pt idx="553">
                  <c:v>46079</c:v>
                </c:pt>
              </c:numCache>
            </c:numRef>
          </c:cat>
          <c:val>
            <c:numRef>
              <c:f>'Daily Velocity'!$C$4:$C$557</c:f>
              <c:numCache>
                <c:formatCode>#,##0</c:formatCode>
                <c:ptCount val="554"/>
                <c:pt idx="0">
                  <c:v>50532</c:v>
                </c:pt>
                <c:pt idx="1">
                  <c:v>38973</c:v>
                </c:pt>
                <c:pt idx="2">
                  <c:v>21658</c:v>
                </c:pt>
                <c:pt idx="3">
                  <c:v>35414</c:v>
                </c:pt>
                <c:pt idx="4">
                  <c:v>54499</c:v>
                </c:pt>
                <c:pt idx="5">
                  <c:v>56357</c:v>
                </c:pt>
                <c:pt idx="6">
                  <c:v>53705</c:v>
                </c:pt>
                <c:pt idx="7">
                  <c:v>53776</c:v>
                </c:pt>
                <c:pt idx="8">
                  <c:v>41389</c:v>
                </c:pt>
                <c:pt idx="9">
                  <c:v>16854</c:v>
                </c:pt>
                <c:pt idx="10">
                  <c:v>27500</c:v>
                </c:pt>
                <c:pt idx="11">
                  <c:v>25145</c:v>
                </c:pt>
                <c:pt idx="12">
                  <c:v>54495</c:v>
                </c:pt>
                <c:pt idx="13">
                  <c:v>59690</c:v>
                </c:pt>
                <c:pt idx="14">
                  <c:v>54087</c:v>
                </c:pt>
                <c:pt idx="15">
                  <c:v>41556</c:v>
                </c:pt>
                <c:pt idx="16">
                  <c:v>21270</c:v>
                </c:pt>
                <c:pt idx="17">
                  <c:v>37329</c:v>
                </c:pt>
                <c:pt idx="18">
                  <c:v>52095</c:v>
                </c:pt>
                <c:pt idx="19">
                  <c:v>52524</c:v>
                </c:pt>
                <c:pt idx="20">
                  <c:v>50860</c:v>
                </c:pt>
                <c:pt idx="21">
                  <c:v>49930</c:v>
                </c:pt>
                <c:pt idx="22">
                  <c:v>38035</c:v>
                </c:pt>
                <c:pt idx="23">
                  <c:v>22022</c:v>
                </c:pt>
                <c:pt idx="24">
                  <c:v>35572</c:v>
                </c:pt>
                <c:pt idx="25">
                  <c:v>50946</c:v>
                </c:pt>
                <c:pt idx="26">
                  <c:v>53925</c:v>
                </c:pt>
                <c:pt idx="27">
                  <c:v>50995</c:v>
                </c:pt>
                <c:pt idx="28">
                  <c:v>48928</c:v>
                </c:pt>
                <c:pt idx="29">
                  <c:v>37534</c:v>
                </c:pt>
                <c:pt idx="30">
                  <c:v>16155</c:v>
                </c:pt>
                <c:pt idx="31">
                  <c:v>36399</c:v>
                </c:pt>
                <c:pt idx="32">
                  <c:v>51400</c:v>
                </c:pt>
                <c:pt idx="33">
                  <c:v>53325</c:v>
                </c:pt>
                <c:pt idx="34">
                  <c:v>48693</c:v>
                </c:pt>
                <c:pt idx="35">
                  <c:v>50690</c:v>
                </c:pt>
                <c:pt idx="36">
                  <c:v>32947</c:v>
                </c:pt>
                <c:pt idx="37">
                  <c:v>20768</c:v>
                </c:pt>
                <c:pt idx="38">
                  <c:v>27257</c:v>
                </c:pt>
                <c:pt idx="39">
                  <c:v>52825</c:v>
                </c:pt>
                <c:pt idx="40">
                  <c:v>54376</c:v>
                </c:pt>
                <c:pt idx="41">
                  <c:v>49327</c:v>
                </c:pt>
                <c:pt idx="42">
                  <c:v>49356</c:v>
                </c:pt>
                <c:pt idx="43">
                  <c:v>38488</c:v>
                </c:pt>
                <c:pt idx="44">
                  <c:v>19520</c:v>
                </c:pt>
                <c:pt idx="45">
                  <c:v>34006</c:v>
                </c:pt>
                <c:pt idx="46">
                  <c:v>52138</c:v>
                </c:pt>
                <c:pt idx="47">
                  <c:v>52077</c:v>
                </c:pt>
                <c:pt idx="48">
                  <c:v>48981</c:v>
                </c:pt>
                <c:pt idx="49">
                  <c:v>49954</c:v>
                </c:pt>
                <c:pt idx="50">
                  <c:v>36074</c:v>
                </c:pt>
                <c:pt idx="51">
                  <c:v>22513</c:v>
                </c:pt>
                <c:pt idx="52">
                  <c:v>34386</c:v>
                </c:pt>
                <c:pt idx="53">
                  <c:v>49986</c:v>
                </c:pt>
                <c:pt idx="54">
                  <c:v>56591</c:v>
                </c:pt>
                <c:pt idx="55">
                  <c:v>51461</c:v>
                </c:pt>
                <c:pt idx="56">
                  <c:v>52025</c:v>
                </c:pt>
                <c:pt idx="57">
                  <c:v>37272</c:v>
                </c:pt>
                <c:pt idx="58">
                  <c:v>21698</c:v>
                </c:pt>
                <c:pt idx="59">
                  <c:v>35989</c:v>
                </c:pt>
                <c:pt idx="60">
                  <c:v>51101</c:v>
                </c:pt>
                <c:pt idx="61">
                  <c:v>56619</c:v>
                </c:pt>
                <c:pt idx="62">
                  <c:v>52441</c:v>
                </c:pt>
                <c:pt idx="63">
                  <c:v>53482</c:v>
                </c:pt>
                <c:pt idx="64">
                  <c:v>34854</c:v>
                </c:pt>
                <c:pt idx="65">
                  <c:v>22673</c:v>
                </c:pt>
                <c:pt idx="66">
                  <c:v>35782</c:v>
                </c:pt>
                <c:pt idx="67">
                  <c:v>52652</c:v>
                </c:pt>
                <c:pt idx="68">
                  <c:v>52153</c:v>
                </c:pt>
                <c:pt idx="69">
                  <c:v>52565</c:v>
                </c:pt>
                <c:pt idx="70">
                  <c:v>51203</c:v>
                </c:pt>
                <c:pt idx="71">
                  <c:v>27420</c:v>
                </c:pt>
                <c:pt idx="72">
                  <c:v>24945</c:v>
                </c:pt>
                <c:pt idx="73">
                  <c:v>39000</c:v>
                </c:pt>
                <c:pt idx="74">
                  <c:v>47400</c:v>
                </c:pt>
                <c:pt idx="75">
                  <c:v>54444</c:v>
                </c:pt>
                <c:pt idx="76">
                  <c:v>51378</c:v>
                </c:pt>
                <c:pt idx="77">
                  <c:v>48559</c:v>
                </c:pt>
                <c:pt idx="78">
                  <c:v>36942</c:v>
                </c:pt>
                <c:pt idx="79">
                  <c:v>18275</c:v>
                </c:pt>
                <c:pt idx="80">
                  <c:v>35836</c:v>
                </c:pt>
                <c:pt idx="81">
                  <c:v>48409</c:v>
                </c:pt>
                <c:pt idx="82">
                  <c:v>52133</c:v>
                </c:pt>
                <c:pt idx="83">
                  <c:v>53627</c:v>
                </c:pt>
                <c:pt idx="84">
                  <c:v>49006</c:v>
                </c:pt>
                <c:pt idx="85">
                  <c:v>34623</c:v>
                </c:pt>
                <c:pt idx="86">
                  <c:v>19401</c:v>
                </c:pt>
                <c:pt idx="87">
                  <c:v>37713</c:v>
                </c:pt>
                <c:pt idx="88">
                  <c:v>49618</c:v>
                </c:pt>
                <c:pt idx="89">
                  <c:v>52125</c:v>
                </c:pt>
                <c:pt idx="90">
                  <c:v>52327</c:v>
                </c:pt>
                <c:pt idx="91">
                  <c:v>50090</c:v>
                </c:pt>
                <c:pt idx="92">
                  <c:v>42351</c:v>
                </c:pt>
                <c:pt idx="93">
                  <c:v>22276</c:v>
                </c:pt>
                <c:pt idx="94">
                  <c:v>37416</c:v>
                </c:pt>
                <c:pt idx="95">
                  <c:v>48678</c:v>
                </c:pt>
                <c:pt idx="96">
                  <c:v>53519</c:v>
                </c:pt>
                <c:pt idx="97">
                  <c:v>44439</c:v>
                </c:pt>
                <c:pt idx="98">
                  <c:v>24688</c:v>
                </c:pt>
                <c:pt idx="99">
                  <c:v>25913</c:v>
                </c:pt>
                <c:pt idx="100">
                  <c:v>21871</c:v>
                </c:pt>
                <c:pt idx="101">
                  <c:v>37794</c:v>
                </c:pt>
                <c:pt idx="102">
                  <c:v>51909</c:v>
                </c:pt>
                <c:pt idx="103">
                  <c:v>56323</c:v>
                </c:pt>
                <c:pt idx="104">
                  <c:v>56860</c:v>
                </c:pt>
                <c:pt idx="105">
                  <c:v>57233</c:v>
                </c:pt>
                <c:pt idx="106">
                  <c:v>47859</c:v>
                </c:pt>
                <c:pt idx="107">
                  <c:v>20614</c:v>
                </c:pt>
                <c:pt idx="108">
                  <c:v>40567</c:v>
                </c:pt>
                <c:pt idx="109">
                  <c:v>54794</c:v>
                </c:pt>
                <c:pt idx="110">
                  <c:v>56227</c:v>
                </c:pt>
                <c:pt idx="111">
                  <c:v>58759</c:v>
                </c:pt>
                <c:pt idx="112">
                  <c:v>56953</c:v>
                </c:pt>
                <c:pt idx="113">
                  <c:v>40206</c:v>
                </c:pt>
                <c:pt idx="114">
                  <c:v>25205</c:v>
                </c:pt>
                <c:pt idx="115">
                  <c:v>38962</c:v>
                </c:pt>
                <c:pt idx="116">
                  <c:v>52555</c:v>
                </c:pt>
                <c:pt idx="117">
                  <c:v>58132</c:v>
                </c:pt>
                <c:pt idx="118">
                  <c:v>58927</c:v>
                </c:pt>
                <c:pt idx="119">
                  <c:v>53294</c:v>
                </c:pt>
                <c:pt idx="120">
                  <c:v>45832</c:v>
                </c:pt>
                <c:pt idx="121">
                  <c:v>23279</c:v>
                </c:pt>
                <c:pt idx="122">
                  <c:v>40690</c:v>
                </c:pt>
                <c:pt idx="123">
                  <c:v>48350</c:v>
                </c:pt>
                <c:pt idx="124">
                  <c:v>14258</c:v>
                </c:pt>
                <c:pt idx="125">
                  <c:v>22091</c:v>
                </c:pt>
                <c:pt idx="126">
                  <c:v>53042</c:v>
                </c:pt>
                <c:pt idx="127">
                  <c:v>43370</c:v>
                </c:pt>
                <c:pt idx="128">
                  <c:v>21421</c:v>
                </c:pt>
                <c:pt idx="129">
                  <c:v>43797</c:v>
                </c:pt>
                <c:pt idx="130">
                  <c:v>55097</c:v>
                </c:pt>
                <c:pt idx="131">
                  <c:v>22184</c:v>
                </c:pt>
                <c:pt idx="132">
                  <c:v>27226</c:v>
                </c:pt>
                <c:pt idx="133">
                  <c:v>56348</c:v>
                </c:pt>
                <c:pt idx="134">
                  <c:v>45750</c:v>
                </c:pt>
                <c:pt idx="135">
                  <c:v>27520</c:v>
                </c:pt>
                <c:pt idx="136">
                  <c:v>51596</c:v>
                </c:pt>
                <c:pt idx="137">
                  <c:v>58305</c:v>
                </c:pt>
                <c:pt idx="138">
                  <c:v>57370</c:v>
                </c:pt>
                <c:pt idx="139">
                  <c:v>59831</c:v>
                </c:pt>
                <c:pt idx="140">
                  <c:v>59590</c:v>
                </c:pt>
                <c:pt idx="141">
                  <c:v>46583</c:v>
                </c:pt>
                <c:pt idx="142">
                  <c:v>23105</c:v>
                </c:pt>
                <c:pt idx="143">
                  <c:v>52918</c:v>
                </c:pt>
                <c:pt idx="144">
                  <c:v>60379</c:v>
                </c:pt>
                <c:pt idx="145">
                  <c:v>57080</c:v>
                </c:pt>
                <c:pt idx="146">
                  <c:v>55761</c:v>
                </c:pt>
                <c:pt idx="147">
                  <c:v>57616</c:v>
                </c:pt>
                <c:pt idx="148">
                  <c:v>47326</c:v>
                </c:pt>
                <c:pt idx="149">
                  <c:v>27199</c:v>
                </c:pt>
                <c:pt idx="150">
                  <c:v>47790</c:v>
                </c:pt>
                <c:pt idx="151">
                  <c:v>53604</c:v>
                </c:pt>
                <c:pt idx="152">
                  <c:v>50501</c:v>
                </c:pt>
                <c:pt idx="153">
                  <c:v>55671</c:v>
                </c:pt>
                <c:pt idx="154">
                  <c:v>44335</c:v>
                </c:pt>
                <c:pt idx="155">
                  <c:v>26472</c:v>
                </c:pt>
                <c:pt idx="156">
                  <c:v>22755</c:v>
                </c:pt>
                <c:pt idx="157">
                  <c:v>54542</c:v>
                </c:pt>
                <c:pt idx="158">
                  <c:v>52788</c:v>
                </c:pt>
                <c:pt idx="159">
                  <c:v>62128</c:v>
                </c:pt>
                <c:pt idx="160">
                  <c:v>70881</c:v>
                </c:pt>
                <c:pt idx="161">
                  <c:v>69626</c:v>
                </c:pt>
                <c:pt idx="162">
                  <c:v>35585</c:v>
                </c:pt>
                <c:pt idx="163">
                  <c:v>30287</c:v>
                </c:pt>
                <c:pt idx="164">
                  <c:v>58173</c:v>
                </c:pt>
                <c:pt idx="165">
                  <c:v>62832</c:v>
                </c:pt>
                <c:pt idx="166">
                  <c:v>59110</c:v>
                </c:pt>
                <c:pt idx="167">
                  <c:v>64018</c:v>
                </c:pt>
                <c:pt idx="168">
                  <c:v>76775</c:v>
                </c:pt>
                <c:pt idx="169">
                  <c:v>28295</c:v>
                </c:pt>
                <c:pt idx="170">
                  <c:v>32805</c:v>
                </c:pt>
                <c:pt idx="171">
                  <c:v>57952</c:v>
                </c:pt>
                <c:pt idx="172">
                  <c:v>62524</c:v>
                </c:pt>
                <c:pt idx="173">
                  <c:v>65962</c:v>
                </c:pt>
                <c:pt idx="174">
                  <c:v>63866</c:v>
                </c:pt>
                <c:pt idx="175">
                  <c:v>78244</c:v>
                </c:pt>
                <c:pt idx="176">
                  <c:v>30521</c:v>
                </c:pt>
                <c:pt idx="177">
                  <c:v>32572</c:v>
                </c:pt>
                <c:pt idx="178">
                  <c:v>61131</c:v>
                </c:pt>
                <c:pt idx="179">
                  <c:v>63612</c:v>
                </c:pt>
                <c:pt idx="180">
                  <c:v>70131</c:v>
                </c:pt>
                <c:pt idx="181">
                  <c:v>67350</c:v>
                </c:pt>
                <c:pt idx="182">
                  <c:v>60466</c:v>
                </c:pt>
                <c:pt idx="183">
                  <c:v>29966</c:v>
                </c:pt>
                <c:pt idx="184">
                  <c:v>29309</c:v>
                </c:pt>
                <c:pt idx="185">
                  <c:v>52437</c:v>
                </c:pt>
                <c:pt idx="186">
                  <c:v>53862</c:v>
                </c:pt>
                <c:pt idx="187">
                  <c:v>57398</c:v>
                </c:pt>
                <c:pt idx="188">
                  <c:v>59909</c:v>
                </c:pt>
                <c:pt idx="189">
                  <c:v>57101</c:v>
                </c:pt>
                <c:pt idx="190">
                  <c:v>32325</c:v>
                </c:pt>
                <c:pt idx="191">
                  <c:v>23844</c:v>
                </c:pt>
                <c:pt idx="192">
                  <c:v>54037</c:v>
                </c:pt>
                <c:pt idx="193">
                  <c:v>63549</c:v>
                </c:pt>
                <c:pt idx="194">
                  <c:v>61969</c:v>
                </c:pt>
                <c:pt idx="195">
                  <c:v>60959</c:v>
                </c:pt>
                <c:pt idx="196">
                  <c:v>60842</c:v>
                </c:pt>
                <c:pt idx="197">
                  <c:v>35090</c:v>
                </c:pt>
                <c:pt idx="198">
                  <c:v>29401</c:v>
                </c:pt>
                <c:pt idx="199">
                  <c:v>54962</c:v>
                </c:pt>
                <c:pt idx="200">
                  <c:v>62517</c:v>
                </c:pt>
                <c:pt idx="201">
                  <c:v>62961</c:v>
                </c:pt>
                <c:pt idx="202">
                  <c:v>61055</c:v>
                </c:pt>
                <c:pt idx="203">
                  <c:v>58624</c:v>
                </c:pt>
                <c:pt idx="204">
                  <c:v>27571</c:v>
                </c:pt>
                <c:pt idx="205">
                  <c:v>30750</c:v>
                </c:pt>
                <c:pt idx="206">
                  <c:v>53795</c:v>
                </c:pt>
                <c:pt idx="207">
                  <c:v>61241</c:v>
                </c:pt>
                <c:pt idx="208">
                  <c:v>62264</c:v>
                </c:pt>
                <c:pt idx="209">
                  <c:v>60583</c:v>
                </c:pt>
                <c:pt idx="210">
                  <c:v>57197</c:v>
                </c:pt>
                <c:pt idx="211">
                  <c:v>35269</c:v>
                </c:pt>
                <c:pt idx="212">
                  <c:v>29809</c:v>
                </c:pt>
                <c:pt idx="213">
                  <c:v>45695</c:v>
                </c:pt>
                <c:pt idx="214">
                  <c:v>61799</c:v>
                </c:pt>
                <c:pt idx="215">
                  <c:v>64027</c:v>
                </c:pt>
                <c:pt idx="216">
                  <c:v>54264</c:v>
                </c:pt>
                <c:pt idx="217">
                  <c:v>55797</c:v>
                </c:pt>
                <c:pt idx="218">
                  <c:v>33283</c:v>
                </c:pt>
                <c:pt idx="219">
                  <c:v>31020</c:v>
                </c:pt>
                <c:pt idx="220">
                  <c:v>51261</c:v>
                </c:pt>
                <c:pt idx="221">
                  <c:v>59009</c:v>
                </c:pt>
                <c:pt idx="222">
                  <c:v>61632</c:v>
                </c:pt>
                <c:pt idx="223">
                  <c:v>59912</c:v>
                </c:pt>
                <c:pt idx="224">
                  <c:v>62220</c:v>
                </c:pt>
                <c:pt idx="225">
                  <c:v>33178</c:v>
                </c:pt>
                <c:pt idx="226">
                  <c:v>28261</c:v>
                </c:pt>
                <c:pt idx="227">
                  <c:v>55544</c:v>
                </c:pt>
                <c:pt idx="228">
                  <c:v>62572</c:v>
                </c:pt>
                <c:pt idx="229">
                  <c:v>62613</c:v>
                </c:pt>
                <c:pt idx="230">
                  <c:v>60302</c:v>
                </c:pt>
                <c:pt idx="231">
                  <c:v>60385</c:v>
                </c:pt>
                <c:pt idx="232">
                  <c:v>31875</c:v>
                </c:pt>
                <c:pt idx="233">
                  <c:v>27006</c:v>
                </c:pt>
                <c:pt idx="234">
                  <c:v>56459</c:v>
                </c:pt>
                <c:pt idx="235">
                  <c:v>64677</c:v>
                </c:pt>
                <c:pt idx="236">
                  <c:v>64017</c:v>
                </c:pt>
                <c:pt idx="237">
                  <c:v>60987</c:v>
                </c:pt>
                <c:pt idx="238">
                  <c:v>71211</c:v>
                </c:pt>
                <c:pt idx="239">
                  <c:v>32994</c:v>
                </c:pt>
                <c:pt idx="240">
                  <c:v>31093</c:v>
                </c:pt>
                <c:pt idx="241">
                  <c:v>53580</c:v>
                </c:pt>
                <c:pt idx="242">
                  <c:v>57026</c:v>
                </c:pt>
                <c:pt idx="243">
                  <c:v>61367</c:v>
                </c:pt>
                <c:pt idx="244">
                  <c:v>60042</c:v>
                </c:pt>
                <c:pt idx="245">
                  <c:v>59947</c:v>
                </c:pt>
                <c:pt idx="246">
                  <c:v>45519</c:v>
                </c:pt>
                <c:pt idx="247">
                  <c:v>29570</c:v>
                </c:pt>
                <c:pt idx="248">
                  <c:v>53345</c:v>
                </c:pt>
                <c:pt idx="249">
                  <c:v>58191</c:v>
                </c:pt>
                <c:pt idx="250">
                  <c:v>67761</c:v>
                </c:pt>
                <c:pt idx="251">
                  <c:v>70751</c:v>
                </c:pt>
                <c:pt idx="252">
                  <c:v>71640</c:v>
                </c:pt>
                <c:pt idx="253">
                  <c:v>36308</c:v>
                </c:pt>
                <c:pt idx="254">
                  <c:v>33583</c:v>
                </c:pt>
                <c:pt idx="255">
                  <c:v>59222</c:v>
                </c:pt>
                <c:pt idx="256">
                  <c:v>65212</c:v>
                </c:pt>
                <c:pt idx="257">
                  <c:v>69999</c:v>
                </c:pt>
                <c:pt idx="258">
                  <c:v>72151</c:v>
                </c:pt>
                <c:pt idx="259">
                  <c:v>73648</c:v>
                </c:pt>
                <c:pt idx="260">
                  <c:v>42340</c:v>
                </c:pt>
                <c:pt idx="261">
                  <c:v>35006</c:v>
                </c:pt>
                <c:pt idx="262">
                  <c:v>56164</c:v>
                </c:pt>
                <c:pt idx="263">
                  <c:v>61991</c:v>
                </c:pt>
                <c:pt idx="264">
                  <c:v>66270</c:v>
                </c:pt>
                <c:pt idx="265">
                  <c:v>76937</c:v>
                </c:pt>
                <c:pt idx="266">
                  <c:v>65800</c:v>
                </c:pt>
                <c:pt idx="267">
                  <c:v>35663</c:v>
                </c:pt>
                <c:pt idx="268">
                  <c:v>32051</c:v>
                </c:pt>
                <c:pt idx="269">
                  <c:v>57706</c:v>
                </c:pt>
                <c:pt idx="270">
                  <c:v>64366</c:v>
                </c:pt>
                <c:pt idx="271">
                  <c:v>70810</c:v>
                </c:pt>
                <c:pt idx="272">
                  <c:v>65617</c:v>
                </c:pt>
                <c:pt idx="273">
                  <c:v>70894</c:v>
                </c:pt>
                <c:pt idx="274">
                  <c:v>37568</c:v>
                </c:pt>
                <c:pt idx="275">
                  <c:v>29454</c:v>
                </c:pt>
                <c:pt idx="276">
                  <c:v>56296</c:v>
                </c:pt>
                <c:pt idx="277">
                  <c:v>27322</c:v>
                </c:pt>
                <c:pt idx="278">
                  <c:v>58562</c:v>
                </c:pt>
                <c:pt idx="279">
                  <c:v>69466</c:v>
                </c:pt>
                <c:pt idx="280">
                  <c:v>71817</c:v>
                </c:pt>
                <c:pt idx="281">
                  <c:v>33370</c:v>
                </c:pt>
                <c:pt idx="282">
                  <c:v>33317</c:v>
                </c:pt>
                <c:pt idx="283">
                  <c:v>57928</c:v>
                </c:pt>
                <c:pt idx="284">
                  <c:v>69149</c:v>
                </c:pt>
                <c:pt idx="285">
                  <c:v>69628</c:v>
                </c:pt>
                <c:pt idx="286">
                  <c:v>68401</c:v>
                </c:pt>
                <c:pt idx="287">
                  <c:v>71998</c:v>
                </c:pt>
                <c:pt idx="288">
                  <c:v>35569</c:v>
                </c:pt>
                <c:pt idx="289">
                  <c:v>32515</c:v>
                </c:pt>
                <c:pt idx="290">
                  <c:v>59121</c:v>
                </c:pt>
                <c:pt idx="291">
                  <c:v>67836</c:v>
                </c:pt>
                <c:pt idx="292">
                  <c:v>66245</c:v>
                </c:pt>
                <c:pt idx="293">
                  <c:v>69784</c:v>
                </c:pt>
                <c:pt idx="294">
                  <c:v>61887</c:v>
                </c:pt>
                <c:pt idx="295">
                  <c:v>32036</c:v>
                </c:pt>
                <c:pt idx="296">
                  <c:v>33101</c:v>
                </c:pt>
                <c:pt idx="297">
                  <c:v>56469</c:v>
                </c:pt>
                <c:pt idx="298">
                  <c:v>61001</c:v>
                </c:pt>
                <c:pt idx="299">
                  <c:v>70394</c:v>
                </c:pt>
                <c:pt idx="300">
                  <c:v>65163</c:v>
                </c:pt>
                <c:pt idx="301">
                  <c:v>63153</c:v>
                </c:pt>
                <c:pt idx="302">
                  <c:v>29444</c:v>
                </c:pt>
                <c:pt idx="303">
                  <c:v>30731</c:v>
                </c:pt>
                <c:pt idx="304">
                  <c:v>58076</c:v>
                </c:pt>
                <c:pt idx="305">
                  <c:v>63115</c:v>
                </c:pt>
                <c:pt idx="306">
                  <c:v>62946</c:v>
                </c:pt>
                <c:pt idx="307">
                  <c:v>64081</c:v>
                </c:pt>
                <c:pt idx="308">
                  <c:v>64571</c:v>
                </c:pt>
                <c:pt idx="309">
                  <c:v>28457</c:v>
                </c:pt>
                <c:pt idx="310">
                  <c:v>31183</c:v>
                </c:pt>
                <c:pt idx="311">
                  <c:v>59530</c:v>
                </c:pt>
                <c:pt idx="312">
                  <c:v>62777</c:v>
                </c:pt>
                <c:pt idx="313">
                  <c:v>62663</c:v>
                </c:pt>
                <c:pt idx="314">
                  <c:v>65103</c:v>
                </c:pt>
                <c:pt idx="315">
                  <c:v>59603</c:v>
                </c:pt>
                <c:pt idx="316">
                  <c:v>29894</c:v>
                </c:pt>
                <c:pt idx="317">
                  <c:v>25543</c:v>
                </c:pt>
                <c:pt idx="318">
                  <c:v>55975</c:v>
                </c:pt>
                <c:pt idx="319">
                  <c:v>56184</c:v>
                </c:pt>
                <c:pt idx="320">
                  <c:v>74793</c:v>
                </c:pt>
                <c:pt idx="321">
                  <c:v>62457</c:v>
                </c:pt>
                <c:pt idx="322">
                  <c:v>61913</c:v>
                </c:pt>
                <c:pt idx="323">
                  <c:v>27674</c:v>
                </c:pt>
                <c:pt idx="324">
                  <c:v>28130</c:v>
                </c:pt>
                <c:pt idx="325">
                  <c:v>58196</c:v>
                </c:pt>
                <c:pt idx="326">
                  <c:v>63459</c:v>
                </c:pt>
                <c:pt idx="327">
                  <c:v>67128</c:v>
                </c:pt>
                <c:pt idx="328">
                  <c:v>63506</c:v>
                </c:pt>
                <c:pt idx="329">
                  <c:v>62888</c:v>
                </c:pt>
                <c:pt idx="330">
                  <c:v>29687</c:v>
                </c:pt>
                <c:pt idx="331">
                  <c:v>31003</c:v>
                </c:pt>
                <c:pt idx="332">
                  <c:v>55457</c:v>
                </c:pt>
                <c:pt idx="333">
                  <c:v>60775</c:v>
                </c:pt>
                <c:pt idx="334">
                  <c:v>61692</c:v>
                </c:pt>
                <c:pt idx="335">
                  <c:v>66997</c:v>
                </c:pt>
                <c:pt idx="336">
                  <c:v>62776</c:v>
                </c:pt>
                <c:pt idx="337">
                  <c:v>30859</c:v>
                </c:pt>
                <c:pt idx="338">
                  <c:v>28438</c:v>
                </c:pt>
                <c:pt idx="339">
                  <c:v>60132</c:v>
                </c:pt>
                <c:pt idx="340">
                  <c:v>65004</c:v>
                </c:pt>
                <c:pt idx="341">
                  <c:v>65713</c:v>
                </c:pt>
                <c:pt idx="342">
                  <c:v>63472</c:v>
                </c:pt>
                <c:pt idx="343">
                  <c:v>66272</c:v>
                </c:pt>
                <c:pt idx="344">
                  <c:v>34623</c:v>
                </c:pt>
                <c:pt idx="345">
                  <c:v>28577</c:v>
                </c:pt>
                <c:pt idx="346">
                  <c:v>57787</c:v>
                </c:pt>
                <c:pt idx="347">
                  <c:v>64543</c:v>
                </c:pt>
                <c:pt idx="348">
                  <c:v>64748</c:v>
                </c:pt>
                <c:pt idx="349">
                  <c:v>65749</c:v>
                </c:pt>
                <c:pt idx="350">
                  <c:v>70044</c:v>
                </c:pt>
                <c:pt idx="351">
                  <c:v>33385</c:v>
                </c:pt>
                <c:pt idx="352">
                  <c:v>31732</c:v>
                </c:pt>
                <c:pt idx="353">
                  <c:v>60118</c:v>
                </c:pt>
                <c:pt idx="354">
                  <c:v>65163</c:v>
                </c:pt>
                <c:pt idx="355">
                  <c:v>68780</c:v>
                </c:pt>
                <c:pt idx="356">
                  <c:v>62300</c:v>
                </c:pt>
                <c:pt idx="357">
                  <c:v>70755</c:v>
                </c:pt>
                <c:pt idx="358">
                  <c:v>35942</c:v>
                </c:pt>
                <c:pt idx="359">
                  <c:v>32052</c:v>
                </c:pt>
                <c:pt idx="360">
                  <c:v>59307</c:v>
                </c:pt>
                <c:pt idx="361">
                  <c:v>67499</c:v>
                </c:pt>
                <c:pt idx="362">
                  <c:v>65172</c:v>
                </c:pt>
                <c:pt idx="363">
                  <c:v>64399</c:v>
                </c:pt>
                <c:pt idx="364">
                  <c:v>63929</c:v>
                </c:pt>
                <c:pt idx="365">
                  <c:v>30341</c:v>
                </c:pt>
                <c:pt idx="366">
                  <c:v>30808</c:v>
                </c:pt>
                <c:pt idx="367">
                  <c:v>58417</c:v>
                </c:pt>
                <c:pt idx="368">
                  <c:v>67958</c:v>
                </c:pt>
                <c:pt idx="369">
                  <c:v>66029</c:v>
                </c:pt>
                <c:pt idx="370">
                  <c:v>64329</c:v>
                </c:pt>
                <c:pt idx="371">
                  <c:v>67583</c:v>
                </c:pt>
                <c:pt idx="372">
                  <c:v>35610</c:v>
                </c:pt>
                <c:pt idx="373">
                  <c:v>27007</c:v>
                </c:pt>
                <c:pt idx="374">
                  <c:v>55448</c:v>
                </c:pt>
                <c:pt idx="375">
                  <c:v>35831</c:v>
                </c:pt>
                <c:pt idx="376">
                  <c:v>56400</c:v>
                </c:pt>
                <c:pt idx="377">
                  <c:v>67060</c:v>
                </c:pt>
                <c:pt idx="378">
                  <c:v>69266</c:v>
                </c:pt>
                <c:pt idx="379">
                  <c:v>31464</c:v>
                </c:pt>
                <c:pt idx="380">
                  <c:v>31963</c:v>
                </c:pt>
                <c:pt idx="381">
                  <c:v>61250</c:v>
                </c:pt>
                <c:pt idx="382">
                  <c:v>67697</c:v>
                </c:pt>
                <c:pt idx="383">
                  <c:v>72604</c:v>
                </c:pt>
                <c:pt idx="384">
                  <c:v>74482</c:v>
                </c:pt>
                <c:pt idx="385">
                  <c:v>78956</c:v>
                </c:pt>
                <c:pt idx="386">
                  <c:v>28848</c:v>
                </c:pt>
                <c:pt idx="387">
                  <c:v>30838</c:v>
                </c:pt>
                <c:pt idx="388">
                  <c:v>61359</c:v>
                </c:pt>
                <c:pt idx="389">
                  <c:v>68161</c:v>
                </c:pt>
                <c:pt idx="390">
                  <c:v>70230</c:v>
                </c:pt>
                <c:pt idx="391">
                  <c:v>73252</c:v>
                </c:pt>
                <c:pt idx="392">
                  <c:v>66919</c:v>
                </c:pt>
                <c:pt idx="393">
                  <c:v>30442</c:v>
                </c:pt>
                <c:pt idx="394">
                  <c:v>31262</c:v>
                </c:pt>
                <c:pt idx="395">
                  <c:v>60975</c:v>
                </c:pt>
                <c:pt idx="396">
                  <c:v>62633</c:v>
                </c:pt>
                <c:pt idx="397">
                  <c:v>65687</c:v>
                </c:pt>
                <c:pt idx="398">
                  <c:v>69033</c:v>
                </c:pt>
                <c:pt idx="399">
                  <c:v>68228</c:v>
                </c:pt>
                <c:pt idx="400">
                  <c:v>31816</c:v>
                </c:pt>
                <c:pt idx="401">
                  <c:v>31123</c:v>
                </c:pt>
                <c:pt idx="402">
                  <c:v>55154</c:v>
                </c:pt>
                <c:pt idx="403">
                  <c:v>65104</c:v>
                </c:pt>
                <c:pt idx="404">
                  <c:v>65903</c:v>
                </c:pt>
                <c:pt idx="405">
                  <c:v>68671</c:v>
                </c:pt>
                <c:pt idx="406">
                  <c:v>63106</c:v>
                </c:pt>
                <c:pt idx="407">
                  <c:v>27659</c:v>
                </c:pt>
                <c:pt idx="408">
                  <c:v>30299</c:v>
                </c:pt>
                <c:pt idx="409">
                  <c:v>59899</c:v>
                </c:pt>
                <c:pt idx="410">
                  <c:v>63824</c:v>
                </c:pt>
                <c:pt idx="411">
                  <c:v>71442</c:v>
                </c:pt>
                <c:pt idx="412">
                  <c:v>73278</c:v>
                </c:pt>
                <c:pt idx="413">
                  <c:v>67965</c:v>
                </c:pt>
                <c:pt idx="414">
                  <c:v>30615</c:v>
                </c:pt>
                <c:pt idx="415">
                  <c:v>31365</c:v>
                </c:pt>
                <c:pt idx="416">
                  <c:v>59828</c:v>
                </c:pt>
                <c:pt idx="417">
                  <c:v>68777</c:v>
                </c:pt>
                <c:pt idx="418">
                  <c:v>69371</c:v>
                </c:pt>
                <c:pt idx="419">
                  <c:v>67414</c:v>
                </c:pt>
                <c:pt idx="420">
                  <c:v>76463</c:v>
                </c:pt>
                <c:pt idx="421">
                  <c:v>30233</c:v>
                </c:pt>
                <c:pt idx="422">
                  <c:v>25388</c:v>
                </c:pt>
                <c:pt idx="423">
                  <c:v>63674</c:v>
                </c:pt>
                <c:pt idx="424">
                  <c:v>65427</c:v>
                </c:pt>
                <c:pt idx="425">
                  <c:v>68263</c:v>
                </c:pt>
                <c:pt idx="426">
                  <c:v>77544</c:v>
                </c:pt>
                <c:pt idx="427">
                  <c:v>68248</c:v>
                </c:pt>
                <c:pt idx="428">
                  <c:v>40777</c:v>
                </c:pt>
                <c:pt idx="429">
                  <c:v>29493</c:v>
                </c:pt>
                <c:pt idx="430">
                  <c:v>59511</c:v>
                </c:pt>
                <c:pt idx="431">
                  <c:v>68958</c:v>
                </c:pt>
                <c:pt idx="432">
                  <c:v>70164</c:v>
                </c:pt>
                <c:pt idx="433">
                  <c:v>76379</c:v>
                </c:pt>
                <c:pt idx="434">
                  <c:v>64414</c:v>
                </c:pt>
                <c:pt idx="435">
                  <c:v>37591</c:v>
                </c:pt>
                <c:pt idx="436">
                  <c:v>28046</c:v>
                </c:pt>
                <c:pt idx="437">
                  <c:v>64190</c:v>
                </c:pt>
                <c:pt idx="438">
                  <c:v>65894</c:v>
                </c:pt>
                <c:pt idx="439">
                  <c:v>68921</c:v>
                </c:pt>
                <c:pt idx="440">
                  <c:v>63263</c:v>
                </c:pt>
                <c:pt idx="441">
                  <c:v>69626</c:v>
                </c:pt>
                <c:pt idx="442">
                  <c:v>59377</c:v>
                </c:pt>
                <c:pt idx="443">
                  <c:v>31024</c:v>
                </c:pt>
                <c:pt idx="444">
                  <c:v>66344</c:v>
                </c:pt>
                <c:pt idx="445">
                  <c:v>64853</c:v>
                </c:pt>
                <c:pt idx="446">
                  <c:v>59778</c:v>
                </c:pt>
                <c:pt idx="447">
                  <c:v>56405</c:v>
                </c:pt>
                <c:pt idx="448">
                  <c:v>67437</c:v>
                </c:pt>
                <c:pt idx="449">
                  <c:v>58960</c:v>
                </c:pt>
                <c:pt idx="450">
                  <c:v>32637</c:v>
                </c:pt>
                <c:pt idx="451">
                  <c:v>71703</c:v>
                </c:pt>
                <c:pt idx="452">
                  <c:v>72619</c:v>
                </c:pt>
                <c:pt idx="453">
                  <c:v>73305</c:v>
                </c:pt>
                <c:pt idx="454">
                  <c:v>72056</c:v>
                </c:pt>
                <c:pt idx="455">
                  <c:v>65504</c:v>
                </c:pt>
                <c:pt idx="456">
                  <c:v>47149</c:v>
                </c:pt>
                <c:pt idx="457">
                  <c:v>29932</c:v>
                </c:pt>
                <c:pt idx="458">
                  <c:v>56264</c:v>
                </c:pt>
                <c:pt idx="459">
                  <c:v>63525</c:v>
                </c:pt>
                <c:pt idx="460">
                  <c:v>63968</c:v>
                </c:pt>
                <c:pt idx="461">
                  <c:v>66484</c:v>
                </c:pt>
                <c:pt idx="462">
                  <c:v>42020</c:v>
                </c:pt>
                <c:pt idx="463">
                  <c:v>18247</c:v>
                </c:pt>
                <c:pt idx="464">
                  <c:v>28868</c:v>
                </c:pt>
                <c:pt idx="465">
                  <c:v>58130</c:v>
                </c:pt>
                <c:pt idx="466">
                  <c:v>57720</c:v>
                </c:pt>
                <c:pt idx="467">
                  <c:v>71381</c:v>
                </c:pt>
                <c:pt idx="468">
                  <c:v>73857</c:v>
                </c:pt>
                <c:pt idx="469">
                  <c:v>76912</c:v>
                </c:pt>
                <c:pt idx="470">
                  <c:v>37654</c:v>
                </c:pt>
                <c:pt idx="471">
                  <c:v>27990</c:v>
                </c:pt>
                <c:pt idx="472">
                  <c:v>64043</c:v>
                </c:pt>
                <c:pt idx="473">
                  <c:v>78333</c:v>
                </c:pt>
                <c:pt idx="474">
                  <c:v>77882</c:v>
                </c:pt>
                <c:pt idx="475">
                  <c:v>72595</c:v>
                </c:pt>
                <c:pt idx="476">
                  <c:v>71837</c:v>
                </c:pt>
                <c:pt idx="477">
                  <c:v>37342</c:v>
                </c:pt>
                <c:pt idx="478">
                  <c:v>26928</c:v>
                </c:pt>
                <c:pt idx="479">
                  <c:v>70183</c:v>
                </c:pt>
                <c:pt idx="480">
                  <c:v>70557</c:v>
                </c:pt>
                <c:pt idx="481">
                  <c:v>73993</c:v>
                </c:pt>
                <c:pt idx="482">
                  <c:v>74220</c:v>
                </c:pt>
                <c:pt idx="483">
                  <c:v>76819</c:v>
                </c:pt>
                <c:pt idx="484">
                  <c:v>31186</c:v>
                </c:pt>
                <c:pt idx="485">
                  <c:v>32886</c:v>
                </c:pt>
                <c:pt idx="486">
                  <c:v>61629</c:v>
                </c:pt>
                <c:pt idx="487">
                  <c:v>68192</c:v>
                </c:pt>
                <c:pt idx="488">
                  <c:v>67726</c:v>
                </c:pt>
                <c:pt idx="489">
                  <c:v>34493</c:v>
                </c:pt>
                <c:pt idx="490">
                  <c:v>34937</c:v>
                </c:pt>
                <c:pt idx="491">
                  <c:v>27962</c:v>
                </c:pt>
                <c:pt idx="492">
                  <c:v>31815</c:v>
                </c:pt>
                <c:pt idx="493">
                  <c:v>71077</c:v>
                </c:pt>
                <c:pt idx="494">
                  <c:v>65790</c:v>
                </c:pt>
                <c:pt idx="495">
                  <c:v>72383</c:v>
                </c:pt>
                <c:pt idx="496">
                  <c:v>33118</c:v>
                </c:pt>
                <c:pt idx="497">
                  <c:v>37015</c:v>
                </c:pt>
                <c:pt idx="498">
                  <c:v>42507</c:v>
                </c:pt>
                <c:pt idx="499">
                  <c:v>28874</c:v>
                </c:pt>
                <c:pt idx="500">
                  <c:v>67069</c:v>
                </c:pt>
                <c:pt idx="501">
                  <c:v>77350</c:v>
                </c:pt>
                <c:pt idx="502">
                  <c:v>79484</c:v>
                </c:pt>
                <c:pt idx="503">
                  <c:v>78536</c:v>
                </c:pt>
                <c:pt idx="504">
                  <c:v>75586</c:v>
                </c:pt>
                <c:pt idx="505">
                  <c:v>50607</c:v>
                </c:pt>
                <c:pt idx="506">
                  <c:v>25103</c:v>
                </c:pt>
                <c:pt idx="507">
                  <c:v>67585</c:v>
                </c:pt>
                <c:pt idx="508">
                  <c:v>67282</c:v>
                </c:pt>
                <c:pt idx="509">
                  <c:v>77192</c:v>
                </c:pt>
                <c:pt idx="510">
                  <c:v>71509</c:v>
                </c:pt>
                <c:pt idx="511">
                  <c:v>73171</c:v>
                </c:pt>
                <c:pt idx="512">
                  <c:v>36542</c:v>
                </c:pt>
                <c:pt idx="513">
                  <c:v>34056</c:v>
                </c:pt>
                <c:pt idx="514">
                  <c:v>65670</c:v>
                </c:pt>
                <c:pt idx="515">
                  <c:v>69985</c:v>
                </c:pt>
                <c:pt idx="516">
                  <c:v>74652</c:v>
                </c:pt>
                <c:pt idx="517">
                  <c:v>68766</c:v>
                </c:pt>
                <c:pt idx="518">
                  <c:v>71955</c:v>
                </c:pt>
                <c:pt idx="519">
                  <c:v>34038</c:v>
                </c:pt>
                <c:pt idx="520">
                  <c:v>30881</c:v>
                </c:pt>
                <c:pt idx="521">
                  <c:v>62701</c:v>
                </c:pt>
                <c:pt idx="522">
                  <c:v>67022</c:v>
                </c:pt>
                <c:pt idx="523">
                  <c:v>71355</c:v>
                </c:pt>
                <c:pt idx="524">
                  <c:v>69509</c:v>
                </c:pt>
                <c:pt idx="525">
                  <c:v>71767</c:v>
                </c:pt>
                <c:pt idx="526">
                  <c:v>31467</c:v>
                </c:pt>
                <c:pt idx="527">
                  <c:v>26887</c:v>
                </c:pt>
                <c:pt idx="528">
                  <c:v>68844</c:v>
                </c:pt>
                <c:pt idx="529">
                  <c:v>71944</c:v>
                </c:pt>
                <c:pt idx="530">
                  <c:v>75521</c:v>
                </c:pt>
                <c:pt idx="531">
                  <c:v>71633</c:v>
                </c:pt>
                <c:pt idx="532">
                  <c:v>76031</c:v>
                </c:pt>
                <c:pt idx="533">
                  <c:v>31769</c:v>
                </c:pt>
                <c:pt idx="534">
                  <c:v>31743</c:v>
                </c:pt>
                <c:pt idx="535">
                  <c:v>63628</c:v>
                </c:pt>
                <c:pt idx="536">
                  <c:v>62893</c:v>
                </c:pt>
                <c:pt idx="537">
                  <c:v>73885</c:v>
                </c:pt>
                <c:pt idx="538">
                  <c:v>75022</c:v>
                </c:pt>
                <c:pt idx="539">
                  <c:v>69036</c:v>
                </c:pt>
                <c:pt idx="540">
                  <c:v>36409</c:v>
                </c:pt>
                <c:pt idx="541">
                  <c:v>29966</c:v>
                </c:pt>
                <c:pt idx="542">
                  <c:v>62788</c:v>
                </c:pt>
                <c:pt idx="543">
                  <c:v>67373</c:v>
                </c:pt>
                <c:pt idx="544">
                  <c:v>75221</c:v>
                </c:pt>
                <c:pt idx="545">
                  <c:v>71394</c:v>
                </c:pt>
                <c:pt idx="546">
                  <c:v>71867</c:v>
                </c:pt>
                <c:pt idx="547">
                  <c:v>35705</c:v>
                </c:pt>
                <c:pt idx="548">
                  <c:v>30952</c:v>
                </c:pt>
                <c:pt idx="549">
                  <c:v>64483</c:v>
                </c:pt>
                <c:pt idx="550">
                  <c:v>62945</c:v>
                </c:pt>
                <c:pt idx="551">
                  <c:v>75446</c:v>
                </c:pt>
                <c:pt idx="552">
                  <c:v>72371</c:v>
                </c:pt>
                <c:pt idx="553">
                  <c:v>17319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E8-4449-BC5F-49CB903A86D5}"/>
            </c:ext>
          </c:extLst>
        </c:ser>
        <c:ser>
          <c:idx val="1"/>
          <c:order val="1"/>
          <c:tx>
            <c:strRef>
              <c:f>'Daily Velocity'!$D$3</c:f>
              <c:strCache>
                <c:ptCount val="1"/>
                <c:pt idx="0">
                  <c:v>7-Day Moving Avg</c:v>
                </c:pt>
              </c:strCache>
            </c:strRef>
          </c:tx>
          <c:spPr>
            <a:ln w="21960">
              <a:solidFill>
                <a:srgbClr val="2F549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'Daily Velocity'!$A$4:$A$557</c:f>
              <c:numCache>
                <c:formatCode>yyyy\-mm\-dd</c:formatCode>
                <c:ptCount val="554"/>
                <c:pt idx="0">
                  <c:v>45526</c:v>
                </c:pt>
                <c:pt idx="1">
                  <c:v>45527</c:v>
                </c:pt>
                <c:pt idx="2">
                  <c:v>45528</c:v>
                </c:pt>
                <c:pt idx="3">
                  <c:v>45529</c:v>
                </c:pt>
                <c:pt idx="4">
                  <c:v>45530</c:v>
                </c:pt>
                <c:pt idx="5">
                  <c:v>45531</c:v>
                </c:pt>
                <c:pt idx="6">
                  <c:v>45532</c:v>
                </c:pt>
                <c:pt idx="7">
                  <c:v>45533</c:v>
                </c:pt>
                <c:pt idx="8">
                  <c:v>45534</c:v>
                </c:pt>
                <c:pt idx="9">
                  <c:v>45535</c:v>
                </c:pt>
                <c:pt idx="10">
                  <c:v>45536</c:v>
                </c:pt>
                <c:pt idx="11">
                  <c:v>45537</c:v>
                </c:pt>
                <c:pt idx="12">
                  <c:v>45538</c:v>
                </c:pt>
                <c:pt idx="13">
                  <c:v>45539</c:v>
                </c:pt>
                <c:pt idx="14">
                  <c:v>45540</c:v>
                </c:pt>
                <c:pt idx="15">
                  <c:v>45541</c:v>
                </c:pt>
                <c:pt idx="16">
                  <c:v>45542</c:v>
                </c:pt>
                <c:pt idx="17">
                  <c:v>45543</c:v>
                </c:pt>
                <c:pt idx="18">
                  <c:v>45544</c:v>
                </c:pt>
                <c:pt idx="19">
                  <c:v>45545</c:v>
                </c:pt>
                <c:pt idx="20">
                  <c:v>45546</c:v>
                </c:pt>
                <c:pt idx="21">
                  <c:v>45547</c:v>
                </c:pt>
                <c:pt idx="22">
                  <c:v>45548</c:v>
                </c:pt>
                <c:pt idx="23">
                  <c:v>45549</c:v>
                </c:pt>
                <c:pt idx="24">
                  <c:v>45550</c:v>
                </c:pt>
                <c:pt idx="25">
                  <c:v>45551</c:v>
                </c:pt>
                <c:pt idx="26">
                  <c:v>45552</c:v>
                </c:pt>
                <c:pt idx="27">
                  <c:v>45553</c:v>
                </c:pt>
                <c:pt idx="28">
                  <c:v>45554</c:v>
                </c:pt>
                <c:pt idx="29">
                  <c:v>45555</c:v>
                </c:pt>
                <c:pt idx="30">
                  <c:v>45556</c:v>
                </c:pt>
                <c:pt idx="31">
                  <c:v>45557</c:v>
                </c:pt>
                <c:pt idx="32">
                  <c:v>45558</c:v>
                </c:pt>
                <c:pt idx="33">
                  <c:v>45559</c:v>
                </c:pt>
                <c:pt idx="34">
                  <c:v>45560</c:v>
                </c:pt>
                <c:pt idx="35">
                  <c:v>45561</c:v>
                </c:pt>
                <c:pt idx="36">
                  <c:v>45562</c:v>
                </c:pt>
                <c:pt idx="37">
                  <c:v>45563</c:v>
                </c:pt>
                <c:pt idx="38">
                  <c:v>45564</c:v>
                </c:pt>
                <c:pt idx="39">
                  <c:v>45565</c:v>
                </c:pt>
                <c:pt idx="40">
                  <c:v>45566</c:v>
                </c:pt>
                <c:pt idx="41">
                  <c:v>45567</c:v>
                </c:pt>
                <c:pt idx="42">
                  <c:v>45568</c:v>
                </c:pt>
                <c:pt idx="43">
                  <c:v>45569</c:v>
                </c:pt>
                <c:pt idx="44">
                  <c:v>45570</c:v>
                </c:pt>
                <c:pt idx="45">
                  <c:v>45571</c:v>
                </c:pt>
                <c:pt idx="46">
                  <c:v>45572</c:v>
                </c:pt>
                <c:pt idx="47">
                  <c:v>45573</c:v>
                </c:pt>
                <c:pt idx="48">
                  <c:v>45574</c:v>
                </c:pt>
                <c:pt idx="49">
                  <c:v>45575</c:v>
                </c:pt>
                <c:pt idx="50">
                  <c:v>45576</c:v>
                </c:pt>
                <c:pt idx="51">
                  <c:v>45577</c:v>
                </c:pt>
                <c:pt idx="52">
                  <c:v>45578</c:v>
                </c:pt>
                <c:pt idx="53">
                  <c:v>45579</c:v>
                </c:pt>
                <c:pt idx="54">
                  <c:v>45580</c:v>
                </c:pt>
                <c:pt idx="55">
                  <c:v>45581</c:v>
                </c:pt>
                <c:pt idx="56">
                  <c:v>45582</c:v>
                </c:pt>
                <c:pt idx="57">
                  <c:v>45583</c:v>
                </c:pt>
                <c:pt idx="58">
                  <c:v>45584</c:v>
                </c:pt>
                <c:pt idx="59">
                  <c:v>45585</c:v>
                </c:pt>
                <c:pt idx="60">
                  <c:v>45586</c:v>
                </c:pt>
                <c:pt idx="61">
                  <c:v>45587</c:v>
                </c:pt>
                <c:pt idx="62">
                  <c:v>45588</c:v>
                </c:pt>
                <c:pt idx="63">
                  <c:v>45589</c:v>
                </c:pt>
                <c:pt idx="64">
                  <c:v>45590</c:v>
                </c:pt>
                <c:pt idx="65">
                  <c:v>45591</c:v>
                </c:pt>
                <c:pt idx="66">
                  <c:v>45592</c:v>
                </c:pt>
                <c:pt idx="67">
                  <c:v>45593</c:v>
                </c:pt>
                <c:pt idx="68">
                  <c:v>45594</c:v>
                </c:pt>
                <c:pt idx="69">
                  <c:v>45595</c:v>
                </c:pt>
                <c:pt idx="70">
                  <c:v>45596</c:v>
                </c:pt>
                <c:pt idx="71">
                  <c:v>45597</c:v>
                </c:pt>
                <c:pt idx="72">
                  <c:v>45598</c:v>
                </c:pt>
                <c:pt idx="73">
                  <c:v>45599</c:v>
                </c:pt>
                <c:pt idx="74">
                  <c:v>45600</c:v>
                </c:pt>
                <c:pt idx="75">
                  <c:v>45601</c:v>
                </c:pt>
                <c:pt idx="76">
                  <c:v>45602</c:v>
                </c:pt>
                <c:pt idx="77">
                  <c:v>45603</c:v>
                </c:pt>
                <c:pt idx="78">
                  <c:v>45604</c:v>
                </c:pt>
                <c:pt idx="79">
                  <c:v>45605</c:v>
                </c:pt>
                <c:pt idx="80">
                  <c:v>45606</c:v>
                </c:pt>
                <c:pt idx="81">
                  <c:v>45607</c:v>
                </c:pt>
                <c:pt idx="82">
                  <c:v>45608</c:v>
                </c:pt>
                <c:pt idx="83">
                  <c:v>45609</c:v>
                </c:pt>
                <c:pt idx="84">
                  <c:v>45610</c:v>
                </c:pt>
                <c:pt idx="85">
                  <c:v>45611</c:v>
                </c:pt>
                <c:pt idx="86">
                  <c:v>45612</c:v>
                </c:pt>
                <c:pt idx="87">
                  <c:v>45613</c:v>
                </c:pt>
                <c:pt idx="88">
                  <c:v>45614</c:v>
                </c:pt>
                <c:pt idx="89">
                  <c:v>45615</c:v>
                </c:pt>
                <c:pt idx="90">
                  <c:v>45616</c:v>
                </c:pt>
                <c:pt idx="91">
                  <c:v>45617</c:v>
                </c:pt>
                <c:pt idx="92">
                  <c:v>45618</c:v>
                </c:pt>
                <c:pt idx="93">
                  <c:v>45619</c:v>
                </c:pt>
                <c:pt idx="94">
                  <c:v>45620</c:v>
                </c:pt>
                <c:pt idx="95">
                  <c:v>45621</c:v>
                </c:pt>
                <c:pt idx="96">
                  <c:v>45622</c:v>
                </c:pt>
                <c:pt idx="97">
                  <c:v>45623</c:v>
                </c:pt>
                <c:pt idx="98">
                  <c:v>45624</c:v>
                </c:pt>
                <c:pt idx="99">
                  <c:v>45625</c:v>
                </c:pt>
                <c:pt idx="100">
                  <c:v>45626</c:v>
                </c:pt>
                <c:pt idx="101">
                  <c:v>45627</c:v>
                </c:pt>
                <c:pt idx="102">
                  <c:v>45628</c:v>
                </c:pt>
                <c:pt idx="103">
                  <c:v>45629</c:v>
                </c:pt>
                <c:pt idx="104">
                  <c:v>45630</c:v>
                </c:pt>
                <c:pt idx="105">
                  <c:v>45631</c:v>
                </c:pt>
                <c:pt idx="106">
                  <c:v>45632</c:v>
                </c:pt>
                <c:pt idx="107">
                  <c:v>45633</c:v>
                </c:pt>
                <c:pt idx="108">
                  <c:v>45634</c:v>
                </c:pt>
                <c:pt idx="109">
                  <c:v>45635</c:v>
                </c:pt>
                <c:pt idx="110">
                  <c:v>45636</c:v>
                </c:pt>
                <c:pt idx="111">
                  <c:v>45637</c:v>
                </c:pt>
                <c:pt idx="112">
                  <c:v>45638</c:v>
                </c:pt>
                <c:pt idx="113">
                  <c:v>45639</c:v>
                </c:pt>
                <c:pt idx="114">
                  <c:v>45640</c:v>
                </c:pt>
                <c:pt idx="115">
                  <c:v>45641</c:v>
                </c:pt>
                <c:pt idx="116">
                  <c:v>45642</c:v>
                </c:pt>
                <c:pt idx="117">
                  <c:v>45643</c:v>
                </c:pt>
                <c:pt idx="118">
                  <c:v>45644</c:v>
                </c:pt>
                <c:pt idx="119">
                  <c:v>45645</c:v>
                </c:pt>
                <c:pt idx="120">
                  <c:v>45646</c:v>
                </c:pt>
                <c:pt idx="121">
                  <c:v>45647</c:v>
                </c:pt>
                <c:pt idx="122">
                  <c:v>45648</c:v>
                </c:pt>
                <c:pt idx="123">
                  <c:v>45649</c:v>
                </c:pt>
                <c:pt idx="124">
                  <c:v>45650</c:v>
                </c:pt>
                <c:pt idx="125">
                  <c:v>45651</c:v>
                </c:pt>
                <c:pt idx="126">
                  <c:v>45652</c:v>
                </c:pt>
                <c:pt idx="127">
                  <c:v>45653</c:v>
                </c:pt>
                <c:pt idx="128">
                  <c:v>45654</c:v>
                </c:pt>
                <c:pt idx="129">
                  <c:v>45655</c:v>
                </c:pt>
                <c:pt idx="130">
                  <c:v>45656</c:v>
                </c:pt>
                <c:pt idx="131">
                  <c:v>45657</c:v>
                </c:pt>
                <c:pt idx="132">
                  <c:v>45658</c:v>
                </c:pt>
                <c:pt idx="133">
                  <c:v>45659</c:v>
                </c:pt>
                <c:pt idx="134">
                  <c:v>45660</c:v>
                </c:pt>
                <c:pt idx="135">
                  <c:v>45661</c:v>
                </c:pt>
                <c:pt idx="136">
                  <c:v>45662</c:v>
                </c:pt>
                <c:pt idx="137">
                  <c:v>45663</c:v>
                </c:pt>
                <c:pt idx="138">
                  <c:v>45664</c:v>
                </c:pt>
                <c:pt idx="139">
                  <c:v>45665</c:v>
                </c:pt>
                <c:pt idx="140">
                  <c:v>45666</c:v>
                </c:pt>
                <c:pt idx="141">
                  <c:v>45667</c:v>
                </c:pt>
                <c:pt idx="142">
                  <c:v>45668</c:v>
                </c:pt>
                <c:pt idx="143">
                  <c:v>45669</c:v>
                </c:pt>
                <c:pt idx="144">
                  <c:v>45670</c:v>
                </c:pt>
                <c:pt idx="145">
                  <c:v>45671</c:v>
                </c:pt>
                <c:pt idx="146">
                  <c:v>45672</c:v>
                </c:pt>
                <c:pt idx="147">
                  <c:v>45673</c:v>
                </c:pt>
                <c:pt idx="148">
                  <c:v>45674</c:v>
                </c:pt>
                <c:pt idx="149">
                  <c:v>45675</c:v>
                </c:pt>
                <c:pt idx="150">
                  <c:v>45676</c:v>
                </c:pt>
                <c:pt idx="151">
                  <c:v>45677</c:v>
                </c:pt>
                <c:pt idx="152">
                  <c:v>45678</c:v>
                </c:pt>
                <c:pt idx="153">
                  <c:v>45679</c:v>
                </c:pt>
                <c:pt idx="154">
                  <c:v>45680</c:v>
                </c:pt>
                <c:pt idx="155">
                  <c:v>45681</c:v>
                </c:pt>
                <c:pt idx="156">
                  <c:v>45682</c:v>
                </c:pt>
                <c:pt idx="157">
                  <c:v>45683</c:v>
                </c:pt>
                <c:pt idx="158">
                  <c:v>45684</c:v>
                </c:pt>
                <c:pt idx="159">
                  <c:v>45685</c:v>
                </c:pt>
                <c:pt idx="160">
                  <c:v>45686</c:v>
                </c:pt>
                <c:pt idx="161">
                  <c:v>45687</c:v>
                </c:pt>
                <c:pt idx="162">
                  <c:v>45688</c:v>
                </c:pt>
                <c:pt idx="163">
                  <c:v>45689</c:v>
                </c:pt>
                <c:pt idx="164">
                  <c:v>45690</c:v>
                </c:pt>
                <c:pt idx="165">
                  <c:v>45691</c:v>
                </c:pt>
                <c:pt idx="166">
                  <c:v>45692</c:v>
                </c:pt>
                <c:pt idx="167">
                  <c:v>45693</c:v>
                </c:pt>
                <c:pt idx="168">
                  <c:v>45694</c:v>
                </c:pt>
                <c:pt idx="169">
                  <c:v>45695</c:v>
                </c:pt>
                <c:pt idx="170">
                  <c:v>45696</c:v>
                </c:pt>
                <c:pt idx="171">
                  <c:v>45697</c:v>
                </c:pt>
                <c:pt idx="172">
                  <c:v>45698</c:v>
                </c:pt>
                <c:pt idx="173">
                  <c:v>45699</c:v>
                </c:pt>
                <c:pt idx="174">
                  <c:v>45700</c:v>
                </c:pt>
                <c:pt idx="175">
                  <c:v>45701</c:v>
                </c:pt>
                <c:pt idx="176">
                  <c:v>45702</c:v>
                </c:pt>
                <c:pt idx="177">
                  <c:v>45703</c:v>
                </c:pt>
                <c:pt idx="178">
                  <c:v>45704</c:v>
                </c:pt>
                <c:pt idx="179">
                  <c:v>45705</c:v>
                </c:pt>
                <c:pt idx="180">
                  <c:v>45706</c:v>
                </c:pt>
                <c:pt idx="181">
                  <c:v>45707</c:v>
                </c:pt>
                <c:pt idx="182">
                  <c:v>45708</c:v>
                </c:pt>
                <c:pt idx="183">
                  <c:v>45709</c:v>
                </c:pt>
                <c:pt idx="184">
                  <c:v>45710</c:v>
                </c:pt>
                <c:pt idx="185">
                  <c:v>45711</c:v>
                </c:pt>
                <c:pt idx="186">
                  <c:v>45712</c:v>
                </c:pt>
                <c:pt idx="187">
                  <c:v>45713</c:v>
                </c:pt>
                <c:pt idx="188">
                  <c:v>45714</c:v>
                </c:pt>
                <c:pt idx="189">
                  <c:v>45715</c:v>
                </c:pt>
                <c:pt idx="190">
                  <c:v>45716</c:v>
                </c:pt>
                <c:pt idx="191">
                  <c:v>45717</c:v>
                </c:pt>
                <c:pt idx="192">
                  <c:v>45718</c:v>
                </c:pt>
                <c:pt idx="193">
                  <c:v>45719</c:v>
                </c:pt>
                <c:pt idx="194">
                  <c:v>45720</c:v>
                </c:pt>
                <c:pt idx="195">
                  <c:v>45721</c:v>
                </c:pt>
                <c:pt idx="196">
                  <c:v>45722</c:v>
                </c:pt>
                <c:pt idx="197">
                  <c:v>45723</c:v>
                </c:pt>
                <c:pt idx="198">
                  <c:v>45724</c:v>
                </c:pt>
                <c:pt idx="199">
                  <c:v>45725</c:v>
                </c:pt>
                <c:pt idx="200">
                  <c:v>45726</c:v>
                </c:pt>
                <c:pt idx="201">
                  <c:v>45727</c:v>
                </c:pt>
                <c:pt idx="202">
                  <c:v>45728</c:v>
                </c:pt>
                <c:pt idx="203">
                  <c:v>45729</c:v>
                </c:pt>
                <c:pt idx="204">
                  <c:v>45730</c:v>
                </c:pt>
                <c:pt idx="205">
                  <c:v>45731</c:v>
                </c:pt>
                <c:pt idx="206">
                  <c:v>45732</c:v>
                </c:pt>
                <c:pt idx="207">
                  <c:v>45733</c:v>
                </c:pt>
                <c:pt idx="208">
                  <c:v>45734</c:v>
                </c:pt>
                <c:pt idx="209">
                  <c:v>45735</c:v>
                </c:pt>
                <c:pt idx="210">
                  <c:v>45736</c:v>
                </c:pt>
                <c:pt idx="211">
                  <c:v>45737</c:v>
                </c:pt>
                <c:pt idx="212">
                  <c:v>45738</c:v>
                </c:pt>
                <c:pt idx="213">
                  <c:v>45739</c:v>
                </c:pt>
                <c:pt idx="214">
                  <c:v>45740</c:v>
                </c:pt>
                <c:pt idx="215">
                  <c:v>45741</c:v>
                </c:pt>
                <c:pt idx="216">
                  <c:v>45742</c:v>
                </c:pt>
                <c:pt idx="217">
                  <c:v>45743</c:v>
                </c:pt>
                <c:pt idx="218">
                  <c:v>45744</c:v>
                </c:pt>
                <c:pt idx="219">
                  <c:v>45745</c:v>
                </c:pt>
                <c:pt idx="220">
                  <c:v>45746</c:v>
                </c:pt>
                <c:pt idx="221">
                  <c:v>45747</c:v>
                </c:pt>
                <c:pt idx="222">
                  <c:v>45748</c:v>
                </c:pt>
                <c:pt idx="223">
                  <c:v>45749</c:v>
                </c:pt>
                <c:pt idx="224">
                  <c:v>45750</c:v>
                </c:pt>
                <c:pt idx="225">
                  <c:v>45751</c:v>
                </c:pt>
                <c:pt idx="226">
                  <c:v>45752</c:v>
                </c:pt>
                <c:pt idx="227">
                  <c:v>45753</c:v>
                </c:pt>
                <c:pt idx="228">
                  <c:v>45754</c:v>
                </c:pt>
                <c:pt idx="229">
                  <c:v>45755</c:v>
                </c:pt>
                <c:pt idx="230">
                  <c:v>45756</c:v>
                </c:pt>
                <c:pt idx="231">
                  <c:v>45757</c:v>
                </c:pt>
                <c:pt idx="232">
                  <c:v>45758</c:v>
                </c:pt>
                <c:pt idx="233">
                  <c:v>45759</c:v>
                </c:pt>
                <c:pt idx="234">
                  <c:v>45760</c:v>
                </c:pt>
                <c:pt idx="235">
                  <c:v>45761</c:v>
                </c:pt>
                <c:pt idx="236">
                  <c:v>45762</c:v>
                </c:pt>
                <c:pt idx="237">
                  <c:v>45763</c:v>
                </c:pt>
                <c:pt idx="238">
                  <c:v>45764</c:v>
                </c:pt>
                <c:pt idx="239">
                  <c:v>45765</c:v>
                </c:pt>
                <c:pt idx="240">
                  <c:v>45766</c:v>
                </c:pt>
                <c:pt idx="241">
                  <c:v>45767</c:v>
                </c:pt>
                <c:pt idx="242">
                  <c:v>45768</c:v>
                </c:pt>
                <c:pt idx="243">
                  <c:v>45769</c:v>
                </c:pt>
                <c:pt idx="244">
                  <c:v>45770</c:v>
                </c:pt>
                <c:pt idx="245">
                  <c:v>45771</c:v>
                </c:pt>
                <c:pt idx="246">
                  <c:v>45772</c:v>
                </c:pt>
                <c:pt idx="247">
                  <c:v>45773</c:v>
                </c:pt>
                <c:pt idx="248">
                  <c:v>45774</c:v>
                </c:pt>
                <c:pt idx="249">
                  <c:v>45775</c:v>
                </c:pt>
                <c:pt idx="250">
                  <c:v>45776</c:v>
                </c:pt>
                <c:pt idx="251">
                  <c:v>45777</c:v>
                </c:pt>
                <c:pt idx="252">
                  <c:v>45778</c:v>
                </c:pt>
                <c:pt idx="253">
                  <c:v>45779</c:v>
                </c:pt>
                <c:pt idx="254">
                  <c:v>45780</c:v>
                </c:pt>
                <c:pt idx="255">
                  <c:v>45781</c:v>
                </c:pt>
                <c:pt idx="256">
                  <c:v>45782</c:v>
                </c:pt>
                <c:pt idx="257">
                  <c:v>45783</c:v>
                </c:pt>
                <c:pt idx="258">
                  <c:v>45784</c:v>
                </c:pt>
                <c:pt idx="259">
                  <c:v>45785</c:v>
                </c:pt>
                <c:pt idx="260">
                  <c:v>45786</c:v>
                </c:pt>
                <c:pt idx="261">
                  <c:v>45787</c:v>
                </c:pt>
                <c:pt idx="262">
                  <c:v>45788</c:v>
                </c:pt>
                <c:pt idx="263">
                  <c:v>45789</c:v>
                </c:pt>
                <c:pt idx="264">
                  <c:v>45790</c:v>
                </c:pt>
                <c:pt idx="265">
                  <c:v>45791</c:v>
                </c:pt>
                <c:pt idx="266">
                  <c:v>45792</c:v>
                </c:pt>
                <c:pt idx="267">
                  <c:v>45793</c:v>
                </c:pt>
                <c:pt idx="268">
                  <c:v>45794</c:v>
                </c:pt>
                <c:pt idx="269">
                  <c:v>45795</c:v>
                </c:pt>
                <c:pt idx="270">
                  <c:v>45796</c:v>
                </c:pt>
                <c:pt idx="271">
                  <c:v>45797</c:v>
                </c:pt>
                <c:pt idx="272">
                  <c:v>45798</c:v>
                </c:pt>
                <c:pt idx="273">
                  <c:v>45799</c:v>
                </c:pt>
                <c:pt idx="274">
                  <c:v>45800</c:v>
                </c:pt>
                <c:pt idx="275">
                  <c:v>45801</c:v>
                </c:pt>
                <c:pt idx="276">
                  <c:v>45802</c:v>
                </c:pt>
                <c:pt idx="277">
                  <c:v>45803</c:v>
                </c:pt>
                <c:pt idx="278">
                  <c:v>45804</c:v>
                </c:pt>
                <c:pt idx="279">
                  <c:v>45805</c:v>
                </c:pt>
                <c:pt idx="280">
                  <c:v>45806</c:v>
                </c:pt>
                <c:pt idx="281">
                  <c:v>45807</c:v>
                </c:pt>
                <c:pt idx="282">
                  <c:v>45808</c:v>
                </c:pt>
                <c:pt idx="283">
                  <c:v>45809</c:v>
                </c:pt>
                <c:pt idx="284">
                  <c:v>45810</c:v>
                </c:pt>
                <c:pt idx="285">
                  <c:v>45811</c:v>
                </c:pt>
                <c:pt idx="286">
                  <c:v>45812</c:v>
                </c:pt>
                <c:pt idx="287">
                  <c:v>45813</c:v>
                </c:pt>
                <c:pt idx="288">
                  <c:v>45814</c:v>
                </c:pt>
                <c:pt idx="289">
                  <c:v>45815</c:v>
                </c:pt>
                <c:pt idx="290">
                  <c:v>45816</c:v>
                </c:pt>
                <c:pt idx="291">
                  <c:v>45817</c:v>
                </c:pt>
                <c:pt idx="292">
                  <c:v>45818</c:v>
                </c:pt>
                <c:pt idx="293">
                  <c:v>45819</c:v>
                </c:pt>
                <c:pt idx="294">
                  <c:v>45820</c:v>
                </c:pt>
                <c:pt idx="295">
                  <c:v>45821</c:v>
                </c:pt>
                <c:pt idx="296">
                  <c:v>45822</c:v>
                </c:pt>
                <c:pt idx="297">
                  <c:v>45823</c:v>
                </c:pt>
                <c:pt idx="298">
                  <c:v>45824</c:v>
                </c:pt>
                <c:pt idx="299">
                  <c:v>45825</c:v>
                </c:pt>
                <c:pt idx="300">
                  <c:v>45826</c:v>
                </c:pt>
                <c:pt idx="301">
                  <c:v>45827</c:v>
                </c:pt>
                <c:pt idx="302">
                  <c:v>45828</c:v>
                </c:pt>
                <c:pt idx="303">
                  <c:v>45829</c:v>
                </c:pt>
                <c:pt idx="304">
                  <c:v>45830</c:v>
                </c:pt>
                <c:pt idx="305">
                  <c:v>45831</c:v>
                </c:pt>
                <c:pt idx="306">
                  <c:v>45832</c:v>
                </c:pt>
                <c:pt idx="307">
                  <c:v>45833</c:v>
                </c:pt>
                <c:pt idx="308">
                  <c:v>45834</c:v>
                </c:pt>
                <c:pt idx="309">
                  <c:v>45835</c:v>
                </c:pt>
                <c:pt idx="310">
                  <c:v>45836</c:v>
                </c:pt>
                <c:pt idx="311">
                  <c:v>45837</c:v>
                </c:pt>
                <c:pt idx="312">
                  <c:v>45838</c:v>
                </c:pt>
                <c:pt idx="313">
                  <c:v>45839</c:v>
                </c:pt>
                <c:pt idx="314">
                  <c:v>45840</c:v>
                </c:pt>
                <c:pt idx="315">
                  <c:v>45841</c:v>
                </c:pt>
                <c:pt idx="316">
                  <c:v>45842</c:v>
                </c:pt>
                <c:pt idx="317">
                  <c:v>45843</c:v>
                </c:pt>
                <c:pt idx="318">
                  <c:v>45844</c:v>
                </c:pt>
                <c:pt idx="319">
                  <c:v>45845</c:v>
                </c:pt>
                <c:pt idx="320">
                  <c:v>45846</c:v>
                </c:pt>
                <c:pt idx="321">
                  <c:v>45847</c:v>
                </c:pt>
                <c:pt idx="322">
                  <c:v>45848</c:v>
                </c:pt>
                <c:pt idx="323">
                  <c:v>45849</c:v>
                </c:pt>
                <c:pt idx="324">
                  <c:v>45850</c:v>
                </c:pt>
                <c:pt idx="325">
                  <c:v>45851</c:v>
                </c:pt>
                <c:pt idx="326">
                  <c:v>45852</c:v>
                </c:pt>
                <c:pt idx="327">
                  <c:v>45853</c:v>
                </c:pt>
                <c:pt idx="328">
                  <c:v>45854</c:v>
                </c:pt>
                <c:pt idx="329">
                  <c:v>45855</c:v>
                </c:pt>
                <c:pt idx="330">
                  <c:v>45856</c:v>
                </c:pt>
                <c:pt idx="331">
                  <c:v>45857</c:v>
                </c:pt>
                <c:pt idx="332">
                  <c:v>45858</c:v>
                </c:pt>
                <c:pt idx="333">
                  <c:v>45859</c:v>
                </c:pt>
                <c:pt idx="334">
                  <c:v>45860</c:v>
                </c:pt>
                <c:pt idx="335">
                  <c:v>45861</c:v>
                </c:pt>
                <c:pt idx="336">
                  <c:v>45862</c:v>
                </c:pt>
                <c:pt idx="337">
                  <c:v>45863</c:v>
                </c:pt>
                <c:pt idx="338">
                  <c:v>45864</c:v>
                </c:pt>
                <c:pt idx="339">
                  <c:v>45865</c:v>
                </c:pt>
                <c:pt idx="340">
                  <c:v>45866</c:v>
                </c:pt>
                <c:pt idx="341">
                  <c:v>45867</c:v>
                </c:pt>
                <c:pt idx="342">
                  <c:v>45868</c:v>
                </c:pt>
                <c:pt idx="343">
                  <c:v>45869</c:v>
                </c:pt>
                <c:pt idx="344">
                  <c:v>45870</c:v>
                </c:pt>
                <c:pt idx="345">
                  <c:v>45871</c:v>
                </c:pt>
                <c:pt idx="346">
                  <c:v>45872</c:v>
                </c:pt>
                <c:pt idx="347">
                  <c:v>45873</c:v>
                </c:pt>
                <c:pt idx="348">
                  <c:v>45874</c:v>
                </c:pt>
                <c:pt idx="349">
                  <c:v>45875</c:v>
                </c:pt>
                <c:pt idx="350">
                  <c:v>45876</c:v>
                </c:pt>
                <c:pt idx="351">
                  <c:v>45877</c:v>
                </c:pt>
                <c:pt idx="352">
                  <c:v>45878</c:v>
                </c:pt>
                <c:pt idx="353">
                  <c:v>45879</c:v>
                </c:pt>
                <c:pt idx="354">
                  <c:v>45880</c:v>
                </c:pt>
                <c:pt idx="355">
                  <c:v>45881</c:v>
                </c:pt>
                <c:pt idx="356">
                  <c:v>45882</c:v>
                </c:pt>
                <c:pt idx="357">
                  <c:v>45883</c:v>
                </c:pt>
                <c:pt idx="358">
                  <c:v>45884</c:v>
                </c:pt>
                <c:pt idx="359">
                  <c:v>45885</c:v>
                </c:pt>
                <c:pt idx="360">
                  <c:v>45886</c:v>
                </c:pt>
                <c:pt idx="361">
                  <c:v>45887</c:v>
                </c:pt>
                <c:pt idx="362">
                  <c:v>45888</c:v>
                </c:pt>
                <c:pt idx="363">
                  <c:v>45889</c:v>
                </c:pt>
                <c:pt idx="364">
                  <c:v>45890</c:v>
                </c:pt>
                <c:pt idx="365">
                  <c:v>45891</c:v>
                </c:pt>
                <c:pt idx="366">
                  <c:v>45892</c:v>
                </c:pt>
                <c:pt idx="367">
                  <c:v>45893</c:v>
                </c:pt>
                <c:pt idx="368">
                  <c:v>45894</c:v>
                </c:pt>
                <c:pt idx="369">
                  <c:v>45895</c:v>
                </c:pt>
                <c:pt idx="370">
                  <c:v>45896</c:v>
                </c:pt>
                <c:pt idx="371">
                  <c:v>45897</c:v>
                </c:pt>
                <c:pt idx="372">
                  <c:v>45898</c:v>
                </c:pt>
                <c:pt idx="373">
                  <c:v>45899</c:v>
                </c:pt>
                <c:pt idx="374">
                  <c:v>45900</c:v>
                </c:pt>
                <c:pt idx="375">
                  <c:v>45901</c:v>
                </c:pt>
                <c:pt idx="376">
                  <c:v>45902</c:v>
                </c:pt>
                <c:pt idx="377">
                  <c:v>45903</c:v>
                </c:pt>
                <c:pt idx="378">
                  <c:v>45904</c:v>
                </c:pt>
                <c:pt idx="379">
                  <c:v>45905</c:v>
                </c:pt>
                <c:pt idx="380">
                  <c:v>45906</c:v>
                </c:pt>
                <c:pt idx="381">
                  <c:v>45907</c:v>
                </c:pt>
                <c:pt idx="382">
                  <c:v>45908</c:v>
                </c:pt>
                <c:pt idx="383">
                  <c:v>45909</c:v>
                </c:pt>
                <c:pt idx="384">
                  <c:v>45910</c:v>
                </c:pt>
                <c:pt idx="385">
                  <c:v>45911</c:v>
                </c:pt>
                <c:pt idx="386">
                  <c:v>45912</c:v>
                </c:pt>
                <c:pt idx="387">
                  <c:v>45913</c:v>
                </c:pt>
                <c:pt idx="388">
                  <c:v>45914</c:v>
                </c:pt>
                <c:pt idx="389">
                  <c:v>45915</c:v>
                </c:pt>
                <c:pt idx="390">
                  <c:v>45916</c:v>
                </c:pt>
                <c:pt idx="391">
                  <c:v>45917</c:v>
                </c:pt>
                <c:pt idx="392">
                  <c:v>45918</c:v>
                </c:pt>
                <c:pt idx="393">
                  <c:v>45919</c:v>
                </c:pt>
                <c:pt idx="394">
                  <c:v>45920</c:v>
                </c:pt>
                <c:pt idx="395">
                  <c:v>45921</c:v>
                </c:pt>
                <c:pt idx="396">
                  <c:v>45922</c:v>
                </c:pt>
                <c:pt idx="397">
                  <c:v>45923</c:v>
                </c:pt>
                <c:pt idx="398">
                  <c:v>45924</c:v>
                </c:pt>
                <c:pt idx="399">
                  <c:v>45925</c:v>
                </c:pt>
                <c:pt idx="400">
                  <c:v>45926</c:v>
                </c:pt>
                <c:pt idx="401">
                  <c:v>45927</c:v>
                </c:pt>
                <c:pt idx="402">
                  <c:v>45928</c:v>
                </c:pt>
                <c:pt idx="403">
                  <c:v>45929</c:v>
                </c:pt>
                <c:pt idx="404">
                  <c:v>45930</c:v>
                </c:pt>
                <c:pt idx="405">
                  <c:v>45931</c:v>
                </c:pt>
                <c:pt idx="406">
                  <c:v>45932</c:v>
                </c:pt>
                <c:pt idx="407">
                  <c:v>45933</c:v>
                </c:pt>
                <c:pt idx="408">
                  <c:v>45934</c:v>
                </c:pt>
                <c:pt idx="409">
                  <c:v>45935</c:v>
                </c:pt>
                <c:pt idx="410">
                  <c:v>45936</c:v>
                </c:pt>
                <c:pt idx="411">
                  <c:v>45937</c:v>
                </c:pt>
                <c:pt idx="412">
                  <c:v>45938</c:v>
                </c:pt>
                <c:pt idx="413">
                  <c:v>45939</c:v>
                </c:pt>
                <c:pt idx="414">
                  <c:v>45940</c:v>
                </c:pt>
                <c:pt idx="415">
                  <c:v>45941</c:v>
                </c:pt>
                <c:pt idx="416">
                  <c:v>45942</c:v>
                </c:pt>
                <c:pt idx="417">
                  <c:v>45943</c:v>
                </c:pt>
                <c:pt idx="418">
                  <c:v>45944</c:v>
                </c:pt>
                <c:pt idx="419">
                  <c:v>45945</c:v>
                </c:pt>
                <c:pt idx="420">
                  <c:v>45946</c:v>
                </c:pt>
                <c:pt idx="421">
                  <c:v>45947</c:v>
                </c:pt>
                <c:pt idx="422">
                  <c:v>45948</c:v>
                </c:pt>
                <c:pt idx="423">
                  <c:v>45949</c:v>
                </c:pt>
                <c:pt idx="424">
                  <c:v>45950</c:v>
                </c:pt>
                <c:pt idx="425">
                  <c:v>45951</c:v>
                </c:pt>
                <c:pt idx="426">
                  <c:v>45952</c:v>
                </c:pt>
                <c:pt idx="427">
                  <c:v>45953</c:v>
                </c:pt>
                <c:pt idx="428">
                  <c:v>45954</c:v>
                </c:pt>
                <c:pt idx="429">
                  <c:v>45955</c:v>
                </c:pt>
                <c:pt idx="430">
                  <c:v>45956</c:v>
                </c:pt>
                <c:pt idx="431">
                  <c:v>45957</c:v>
                </c:pt>
                <c:pt idx="432">
                  <c:v>45958</c:v>
                </c:pt>
                <c:pt idx="433">
                  <c:v>45959</c:v>
                </c:pt>
                <c:pt idx="434">
                  <c:v>45960</c:v>
                </c:pt>
                <c:pt idx="435">
                  <c:v>45961</c:v>
                </c:pt>
                <c:pt idx="436">
                  <c:v>45962</c:v>
                </c:pt>
                <c:pt idx="437">
                  <c:v>45963</c:v>
                </c:pt>
                <c:pt idx="438">
                  <c:v>45964</c:v>
                </c:pt>
                <c:pt idx="439">
                  <c:v>45965</c:v>
                </c:pt>
                <c:pt idx="440">
                  <c:v>45966</c:v>
                </c:pt>
                <c:pt idx="441">
                  <c:v>45967</c:v>
                </c:pt>
                <c:pt idx="442">
                  <c:v>45968</c:v>
                </c:pt>
                <c:pt idx="443">
                  <c:v>45969</c:v>
                </c:pt>
                <c:pt idx="444">
                  <c:v>45970</c:v>
                </c:pt>
                <c:pt idx="445">
                  <c:v>45971</c:v>
                </c:pt>
                <c:pt idx="446">
                  <c:v>45972</c:v>
                </c:pt>
                <c:pt idx="447">
                  <c:v>45973</c:v>
                </c:pt>
                <c:pt idx="448">
                  <c:v>45974</c:v>
                </c:pt>
                <c:pt idx="449">
                  <c:v>45975</c:v>
                </c:pt>
                <c:pt idx="450">
                  <c:v>45976</c:v>
                </c:pt>
                <c:pt idx="451">
                  <c:v>45977</c:v>
                </c:pt>
                <c:pt idx="452">
                  <c:v>45978</c:v>
                </c:pt>
                <c:pt idx="453">
                  <c:v>45979</c:v>
                </c:pt>
                <c:pt idx="454">
                  <c:v>45980</c:v>
                </c:pt>
                <c:pt idx="455">
                  <c:v>45981</c:v>
                </c:pt>
                <c:pt idx="456">
                  <c:v>45982</c:v>
                </c:pt>
                <c:pt idx="457">
                  <c:v>45983</c:v>
                </c:pt>
                <c:pt idx="458">
                  <c:v>45984</c:v>
                </c:pt>
                <c:pt idx="459">
                  <c:v>45985</c:v>
                </c:pt>
                <c:pt idx="460">
                  <c:v>45986</c:v>
                </c:pt>
                <c:pt idx="461">
                  <c:v>45987</c:v>
                </c:pt>
                <c:pt idx="462">
                  <c:v>45988</c:v>
                </c:pt>
                <c:pt idx="463">
                  <c:v>45989</c:v>
                </c:pt>
                <c:pt idx="464">
                  <c:v>45990</c:v>
                </c:pt>
                <c:pt idx="465">
                  <c:v>45991</c:v>
                </c:pt>
                <c:pt idx="466">
                  <c:v>45992</c:v>
                </c:pt>
                <c:pt idx="467">
                  <c:v>45993</c:v>
                </c:pt>
                <c:pt idx="468">
                  <c:v>45994</c:v>
                </c:pt>
                <c:pt idx="469">
                  <c:v>45995</c:v>
                </c:pt>
                <c:pt idx="470">
                  <c:v>45996</c:v>
                </c:pt>
                <c:pt idx="471">
                  <c:v>45997</c:v>
                </c:pt>
                <c:pt idx="472">
                  <c:v>45998</c:v>
                </c:pt>
                <c:pt idx="473">
                  <c:v>45999</c:v>
                </c:pt>
                <c:pt idx="474">
                  <c:v>46000</c:v>
                </c:pt>
                <c:pt idx="475">
                  <c:v>46001</c:v>
                </c:pt>
                <c:pt idx="476">
                  <c:v>46002</c:v>
                </c:pt>
                <c:pt idx="477">
                  <c:v>46003</c:v>
                </c:pt>
                <c:pt idx="478">
                  <c:v>46004</c:v>
                </c:pt>
                <c:pt idx="479">
                  <c:v>46005</c:v>
                </c:pt>
                <c:pt idx="480">
                  <c:v>46006</c:v>
                </c:pt>
                <c:pt idx="481">
                  <c:v>46007</c:v>
                </c:pt>
                <c:pt idx="482">
                  <c:v>46008</c:v>
                </c:pt>
                <c:pt idx="483">
                  <c:v>46009</c:v>
                </c:pt>
                <c:pt idx="484">
                  <c:v>46010</c:v>
                </c:pt>
                <c:pt idx="485">
                  <c:v>46011</c:v>
                </c:pt>
                <c:pt idx="486">
                  <c:v>46012</c:v>
                </c:pt>
                <c:pt idx="487">
                  <c:v>46013</c:v>
                </c:pt>
                <c:pt idx="488">
                  <c:v>46014</c:v>
                </c:pt>
                <c:pt idx="489">
                  <c:v>46015</c:v>
                </c:pt>
                <c:pt idx="490">
                  <c:v>46016</c:v>
                </c:pt>
                <c:pt idx="491">
                  <c:v>46017</c:v>
                </c:pt>
                <c:pt idx="492">
                  <c:v>46018</c:v>
                </c:pt>
                <c:pt idx="493">
                  <c:v>46019</c:v>
                </c:pt>
                <c:pt idx="494">
                  <c:v>46020</c:v>
                </c:pt>
                <c:pt idx="495">
                  <c:v>46021</c:v>
                </c:pt>
                <c:pt idx="496">
                  <c:v>46022</c:v>
                </c:pt>
                <c:pt idx="497">
                  <c:v>46023</c:v>
                </c:pt>
                <c:pt idx="498">
                  <c:v>46024</c:v>
                </c:pt>
                <c:pt idx="499">
                  <c:v>46025</c:v>
                </c:pt>
                <c:pt idx="500">
                  <c:v>46026</c:v>
                </c:pt>
                <c:pt idx="501">
                  <c:v>46027</c:v>
                </c:pt>
                <c:pt idx="502">
                  <c:v>46028</c:v>
                </c:pt>
                <c:pt idx="503">
                  <c:v>46029</c:v>
                </c:pt>
                <c:pt idx="504">
                  <c:v>46030</c:v>
                </c:pt>
                <c:pt idx="505">
                  <c:v>46031</c:v>
                </c:pt>
                <c:pt idx="506">
                  <c:v>46032</c:v>
                </c:pt>
                <c:pt idx="507">
                  <c:v>46033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46039</c:v>
                </c:pt>
                <c:pt idx="514">
                  <c:v>46040</c:v>
                </c:pt>
                <c:pt idx="515">
                  <c:v>46041</c:v>
                </c:pt>
                <c:pt idx="516">
                  <c:v>46042</c:v>
                </c:pt>
                <c:pt idx="517">
                  <c:v>46043</c:v>
                </c:pt>
                <c:pt idx="518">
                  <c:v>46044</c:v>
                </c:pt>
                <c:pt idx="519">
                  <c:v>46045</c:v>
                </c:pt>
                <c:pt idx="520">
                  <c:v>46046</c:v>
                </c:pt>
                <c:pt idx="521">
                  <c:v>46047</c:v>
                </c:pt>
                <c:pt idx="522">
                  <c:v>46048</c:v>
                </c:pt>
                <c:pt idx="523">
                  <c:v>46049</c:v>
                </c:pt>
                <c:pt idx="524">
                  <c:v>46050</c:v>
                </c:pt>
                <c:pt idx="525">
                  <c:v>46051</c:v>
                </c:pt>
                <c:pt idx="526">
                  <c:v>46052</c:v>
                </c:pt>
                <c:pt idx="527">
                  <c:v>46053</c:v>
                </c:pt>
                <c:pt idx="528">
                  <c:v>46054</c:v>
                </c:pt>
                <c:pt idx="529">
                  <c:v>46055</c:v>
                </c:pt>
                <c:pt idx="530">
                  <c:v>46056</c:v>
                </c:pt>
                <c:pt idx="531">
                  <c:v>46057</c:v>
                </c:pt>
                <c:pt idx="532">
                  <c:v>46058</c:v>
                </c:pt>
                <c:pt idx="533">
                  <c:v>46059</c:v>
                </c:pt>
                <c:pt idx="534">
                  <c:v>46060</c:v>
                </c:pt>
                <c:pt idx="535">
                  <c:v>46061</c:v>
                </c:pt>
                <c:pt idx="536">
                  <c:v>46062</c:v>
                </c:pt>
                <c:pt idx="537">
                  <c:v>46063</c:v>
                </c:pt>
                <c:pt idx="538">
                  <c:v>46064</c:v>
                </c:pt>
                <c:pt idx="539">
                  <c:v>46065</c:v>
                </c:pt>
                <c:pt idx="540">
                  <c:v>46066</c:v>
                </c:pt>
                <c:pt idx="541">
                  <c:v>46067</c:v>
                </c:pt>
                <c:pt idx="542">
                  <c:v>46068</c:v>
                </c:pt>
                <c:pt idx="543">
                  <c:v>46069</c:v>
                </c:pt>
                <c:pt idx="544">
                  <c:v>46070</c:v>
                </c:pt>
                <c:pt idx="545">
                  <c:v>46071</c:v>
                </c:pt>
                <c:pt idx="546">
                  <c:v>46072</c:v>
                </c:pt>
                <c:pt idx="547">
                  <c:v>46073</c:v>
                </c:pt>
                <c:pt idx="548">
                  <c:v>46074</c:v>
                </c:pt>
                <c:pt idx="549">
                  <c:v>46075</c:v>
                </c:pt>
                <c:pt idx="550">
                  <c:v>46076</c:v>
                </c:pt>
                <c:pt idx="551">
                  <c:v>46077</c:v>
                </c:pt>
                <c:pt idx="552">
                  <c:v>46078</c:v>
                </c:pt>
                <c:pt idx="553">
                  <c:v>46079</c:v>
                </c:pt>
              </c:numCache>
            </c:numRef>
          </c:cat>
          <c:val>
            <c:numRef>
              <c:f>'Daily Velocity'!$D$4:$D$557</c:f>
              <c:numCache>
                <c:formatCode>#,##0</c:formatCode>
                <c:ptCount val="554"/>
                <c:pt idx="6">
                  <c:v>44448.285714285717</c:v>
                </c:pt>
                <c:pt idx="7">
                  <c:v>44911.714285714283</c:v>
                </c:pt>
                <c:pt idx="8">
                  <c:v>45256.857142857145</c:v>
                </c:pt>
                <c:pt idx="9">
                  <c:v>44570.571428571428</c:v>
                </c:pt>
                <c:pt idx="10">
                  <c:v>43440</c:v>
                </c:pt>
                <c:pt idx="11">
                  <c:v>39246.571428571428</c:v>
                </c:pt>
                <c:pt idx="12">
                  <c:v>38980.571428571428</c:v>
                </c:pt>
                <c:pt idx="13">
                  <c:v>39835.571428571428</c:v>
                </c:pt>
                <c:pt idx="14">
                  <c:v>39880</c:v>
                </c:pt>
                <c:pt idx="15">
                  <c:v>39903.857142857145</c:v>
                </c:pt>
                <c:pt idx="16">
                  <c:v>40534.714285714283</c:v>
                </c:pt>
                <c:pt idx="17">
                  <c:v>41938.857142857145</c:v>
                </c:pt>
                <c:pt idx="18">
                  <c:v>45788.857142857145</c:v>
                </c:pt>
                <c:pt idx="19">
                  <c:v>45507.285714285717</c:v>
                </c:pt>
                <c:pt idx="20">
                  <c:v>44245.857142857145</c:v>
                </c:pt>
                <c:pt idx="21">
                  <c:v>43652</c:v>
                </c:pt>
                <c:pt idx="22">
                  <c:v>43149</c:v>
                </c:pt>
                <c:pt idx="23">
                  <c:v>43256.428571428572</c:v>
                </c:pt>
                <c:pt idx="24">
                  <c:v>43005.428571428572</c:v>
                </c:pt>
                <c:pt idx="25">
                  <c:v>42841.285714285717</c:v>
                </c:pt>
                <c:pt idx="26">
                  <c:v>43041.428571428572</c:v>
                </c:pt>
                <c:pt idx="27">
                  <c:v>43060.714285714283</c:v>
                </c:pt>
                <c:pt idx="28">
                  <c:v>42917.571428571428</c:v>
                </c:pt>
                <c:pt idx="29">
                  <c:v>42846</c:v>
                </c:pt>
                <c:pt idx="30">
                  <c:v>42007.857142857145</c:v>
                </c:pt>
                <c:pt idx="31">
                  <c:v>42126</c:v>
                </c:pt>
                <c:pt idx="32">
                  <c:v>42190.857142857145</c:v>
                </c:pt>
                <c:pt idx="33">
                  <c:v>42105.142857142855</c:v>
                </c:pt>
                <c:pt idx="34">
                  <c:v>41776.285714285717</c:v>
                </c:pt>
                <c:pt idx="35">
                  <c:v>42028</c:v>
                </c:pt>
                <c:pt idx="36">
                  <c:v>41372.714285714283</c:v>
                </c:pt>
                <c:pt idx="37">
                  <c:v>42031.714285714283</c:v>
                </c:pt>
                <c:pt idx="38">
                  <c:v>40725.714285714283</c:v>
                </c:pt>
                <c:pt idx="39">
                  <c:v>40929.285714285717</c:v>
                </c:pt>
                <c:pt idx="40">
                  <c:v>41079.428571428572</c:v>
                </c:pt>
                <c:pt idx="41">
                  <c:v>41170</c:v>
                </c:pt>
                <c:pt idx="42">
                  <c:v>40979.428571428572</c:v>
                </c:pt>
                <c:pt idx="43">
                  <c:v>41771</c:v>
                </c:pt>
                <c:pt idx="44">
                  <c:v>41592.714285714283</c:v>
                </c:pt>
                <c:pt idx="45">
                  <c:v>42556.857142857145</c:v>
                </c:pt>
                <c:pt idx="46">
                  <c:v>42458.714285714283</c:v>
                </c:pt>
                <c:pt idx="47">
                  <c:v>42130.285714285717</c:v>
                </c:pt>
                <c:pt idx="48">
                  <c:v>42080.857142857145</c:v>
                </c:pt>
                <c:pt idx="49">
                  <c:v>42166.285714285717</c:v>
                </c:pt>
                <c:pt idx="50">
                  <c:v>41821.428571428572</c:v>
                </c:pt>
                <c:pt idx="51">
                  <c:v>42249</c:v>
                </c:pt>
                <c:pt idx="52">
                  <c:v>42303.285714285717</c:v>
                </c:pt>
                <c:pt idx="53">
                  <c:v>41995.857142857145</c:v>
                </c:pt>
                <c:pt idx="54">
                  <c:v>42640.714285714283</c:v>
                </c:pt>
                <c:pt idx="55">
                  <c:v>42995</c:v>
                </c:pt>
                <c:pt idx="56">
                  <c:v>43290.857142857145</c:v>
                </c:pt>
                <c:pt idx="57">
                  <c:v>43462</c:v>
                </c:pt>
                <c:pt idx="58">
                  <c:v>43345.571428571428</c:v>
                </c:pt>
                <c:pt idx="59">
                  <c:v>43574.571428571428</c:v>
                </c:pt>
                <c:pt idx="60">
                  <c:v>43733.857142857145</c:v>
                </c:pt>
                <c:pt idx="61">
                  <c:v>43737.857142857145</c:v>
                </c:pt>
                <c:pt idx="62">
                  <c:v>43877.857142857145</c:v>
                </c:pt>
                <c:pt idx="63">
                  <c:v>44086</c:v>
                </c:pt>
                <c:pt idx="64">
                  <c:v>43740.571428571428</c:v>
                </c:pt>
                <c:pt idx="65">
                  <c:v>43879.857142857145</c:v>
                </c:pt>
                <c:pt idx="66">
                  <c:v>43850.285714285717</c:v>
                </c:pt>
                <c:pt idx="67">
                  <c:v>44071.857142857145</c:v>
                </c:pt>
                <c:pt idx="68">
                  <c:v>43433.857142857145</c:v>
                </c:pt>
                <c:pt idx="69">
                  <c:v>43451.571428571428</c:v>
                </c:pt>
                <c:pt idx="70">
                  <c:v>43126</c:v>
                </c:pt>
                <c:pt idx="71">
                  <c:v>42064</c:v>
                </c:pt>
                <c:pt idx="72">
                  <c:v>42388.571428571428</c:v>
                </c:pt>
                <c:pt idx="73">
                  <c:v>42848.285714285717</c:v>
                </c:pt>
                <c:pt idx="74">
                  <c:v>42098</c:v>
                </c:pt>
                <c:pt idx="75">
                  <c:v>42425.285714285717</c:v>
                </c:pt>
                <c:pt idx="76">
                  <c:v>42255.714285714283</c:v>
                </c:pt>
                <c:pt idx="77">
                  <c:v>41878</c:v>
                </c:pt>
                <c:pt idx="78">
                  <c:v>43238.285714285717</c:v>
                </c:pt>
                <c:pt idx="79">
                  <c:v>42285.428571428572</c:v>
                </c:pt>
                <c:pt idx="80">
                  <c:v>41833.428571428572</c:v>
                </c:pt>
                <c:pt idx="81">
                  <c:v>41977.571428571428</c:v>
                </c:pt>
                <c:pt idx="82">
                  <c:v>41647.428571428572</c:v>
                </c:pt>
                <c:pt idx="83">
                  <c:v>41968.714285714283</c:v>
                </c:pt>
                <c:pt idx="84">
                  <c:v>42032.571428571428</c:v>
                </c:pt>
                <c:pt idx="85">
                  <c:v>41701.285714285717</c:v>
                </c:pt>
                <c:pt idx="86">
                  <c:v>41862.142857142855</c:v>
                </c:pt>
                <c:pt idx="87">
                  <c:v>42130.285714285717</c:v>
                </c:pt>
                <c:pt idx="88">
                  <c:v>42303</c:v>
                </c:pt>
                <c:pt idx="89">
                  <c:v>42301.857142857145</c:v>
                </c:pt>
                <c:pt idx="90">
                  <c:v>42116.142857142855</c:v>
                </c:pt>
                <c:pt idx="91">
                  <c:v>42271</c:v>
                </c:pt>
                <c:pt idx="92">
                  <c:v>43375</c:v>
                </c:pt>
                <c:pt idx="93">
                  <c:v>43785.714285714283</c:v>
                </c:pt>
                <c:pt idx="94">
                  <c:v>43743.285714285717</c:v>
                </c:pt>
                <c:pt idx="95">
                  <c:v>43609</c:v>
                </c:pt>
                <c:pt idx="96">
                  <c:v>43808.142857142855</c:v>
                </c:pt>
                <c:pt idx="97">
                  <c:v>42681.285714285717</c:v>
                </c:pt>
                <c:pt idx="98">
                  <c:v>39052.428571428572</c:v>
                </c:pt>
                <c:pt idx="99">
                  <c:v>36704.142857142855</c:v>
                </c:pt>
                <c:pt idx="100">
                  <c:v>36646.285714285717</c:v>
                </c:pt>
                <c:pt idx="101">
                  <c:v>36700.285714285717</c:v>
                </c:pt>
                <c:pt idx="102">
                  <c:v>37161.857142857145</c:v>
                </c:pt>
                <c:pt idx="103">
                  <c:v>37562.428571428572</c:v>
                </c:pt>
                <c:pt idx="104">
                  <c:v>39336.857142857145</c:v>
                </c:pt>
                <c:pt idx="105">
                  <c:v>43986.142857142855</c:v>
                </c:pt>
                <c:pt idx="106">
                  <c:v>47121.285714285717</c:v>
                </c:pt>
                <c:pt idx="107">
                  <c:v>46941.714285714283</c:v>
                </c:pt>
                <c:pt idx="108">
                  <c:v>47337.857142857145</c:v>
                </c:pt>
                <c:pt idx="109">
                  <c:v>47750</c:v>
                </c:pt>
                <c:pt idx="110">
                  <c:v>47736.285714285717</c:v>
                </c:pt>
                <c:pt idx="111">
                  <c:v>48007.571428571428</c:v>
                </c:pt>
                <c:pt idx="112">
                  <c:v>47967.571428571428</c:v>
                </c:pt>
                <c:pt idx="113">
                  <c:v>46874.285714285717</c:v>
                </c:pt>
                <c:pt idx="114">
                  <c:v>47530.142857142855</c:v>
                </c:pt>
                <c:pt idx="115">
                  <c:v>47300.857142857145</c:v>
                </c:pt>
                <c:pt idx="116">
                  <c:v>46981</c:v>
                </c:pt>
                <c:pt idx="117">
                  <c:v>47253.142857142855</c:v>
                </c:pt>
                <c:pt idx="118">
                  <c:v>47277.142857142855</c:v>
                </c:pt>
                <c:pt idx="119">
                  <c:v>46754.428571428572</c:v>
                </c:pt>
                <c:pt idx="120">
                  <c:v>47558.142857142855</c:v>
                </c:pt>
                <c:pt idx="121">
                  <c:v>47283</c:v>
                </c:pt>
                <c:pt idx="122">
                  <c:v>47529.857142857145</c:v>
                </c:pt>
                <c:pt idx="123">
                  <c:v>46929.142857142855</c:v>
                </c:pt>
                <c:pt idx="124">
                  <c:v>40661.428571428572</c:v>
                </c:pt>
                <c:pt idx="125">
                  <c:v>35399.142857142855</c:v>
                </c:pt>
                <c:pt idx="126">
                  <c:v>35363.142857142855</c:v>
                </c:pt>
                <c:pt idx="127">
                  <c:v>35011.428571428572</c:v>
                </c:pt>
                <c:pt idx="128">
                  <c:v>34746</c:v>
                </c:pt>
                <c:pt idx="129">
                  <c:v>35189.857142857145</c:v>
                </c:pt>
                <c:pt idx="130">
                  <c:v>36153.714285714283</c:v>
                </c:pt>
                <c:pt idx="131">
                  <c:v>37286</c:v>
                </c:pt>
                <c:pt idx="132">
                  <c:v>38019.571428571428</c:v>
                </c:pt>
                <c:pt idx="133">
                  <c:v>38491.857142857145</c:v>
                </c:pt>
                <c:pt idx="134">
                  <c:v>38831.857142857145</c:v>
                </c:pt>
                <c:pt idx="135">
                  <c:v>39703.142857142855</c:v>
                </c:pt>
                <c:pt idx="136">
                  <c:v>40817.285714285717</c:v>
                </c:pt>
                <c:pt idx="137">
                  <c:v>41275.571428571428</c:v>
                </c:pt>
                <c:pt idx="138">
                  <c:v>46302.142857142855</c:v>
                </c:pt>
                <c:pt idx="139">
                  <c:v>50960</c:v>
                </c:pt>
                <c:pt idx="140">
                  <c:v>51423.142857142855</c:v>
                </c:pt>
                <c:pt idx="141">
                  <c:v>51542.142857142855</c:v>
                </c:pt>
                <c:pt idx="142">
                  <c:v>50911.428571428572</c:v>
                </c:pt>
                <c:pt idx="143">
                  <c:v>51100.285714285717</c:v>
                </c:pt>
                <c:pt idx="144">
                  <c:v>51396.571428571428</c:v>
                </c:pt>
                <c:pt idx="145">
                  <c:v>51355.142857142855</c:v>
                </c:pt>
                <c:pt idx="146">
                  <c:v>50773.714285714283</c:v>
                </c:pt>
                <c:pt idx="147">
                  <c:v>50491.714285714283</c:v>
                </c:pt>
                <c:pt idx="148">
                  <c:v>50597.857142857145</c:v>
                </c:pt>
                <c:pt idx="149">
                  <c:v>51182.714285714283</c:v>
                </c:pt>
                <c:pt idx="150">
                  <c:v>50450.142857142855</c:v>
                </c:pt>
                <c:pt idx="151">
                  <c:v>49482.285714285717</c:v>
                </c:pt>
                <c:pt idx="152">
                  <c:v>48542.428571428572</c:v>
                </c:pt>
                <c:pt idx="153">
                  <c:v>48529.571428571428</c:v>
                </c:pt>
                <c:pt idx="154">
                  <c:v>46632.285714285717</c:v>
                </c:pt>
                <c:pt idx="155">
                  <c:v>43653.142857142855</c:v>
                </c:pt>
                <c:pt idx="156">
                  <c:v>43018.285714285717</c:v>
                </c:pt>
                <c:pt idx="157">
                  <c:v>43982.857142857145</c:v>
                </c:pt>
                <c:pt idx="158">
                  <c:v>43866.285714285717</c:v>
                </c:pt>
                <c:pt idx="159">
                  <c:v>45527.285714285717</c:v>
                </c:pt>
                <c:pt idx="160">
                  <c:v>47700.142857142855</c:v>
                </c:pt>
                <c:pt idx="161">
                  <c:v>51313.142857142855</c:v>
                </c:pt>
                <c:pt idx="162">
                  <c:v>52615</c:v>
                </c:pt>
                <c:pt idx="163">
                  <c:v>53691</c:v>
                </c:pt>
                <c:pt idx="164">
                  <c:v>54209.714285714283</c:v>
                </c:pt>
                <c:pt idx="165">
                  <c:v>55644.571428571428</c:v>
                </c:pt>
                <c:pt idx="166">
                  <c:v>55213.428571428572</c:v>
                </c:pt>
                <c:pt idx="167">
                  <c:v>54233</c:v>
                </c:pt>
                <c:pt idx="168">
                  <c:v>55254.285714285717</c:v>
                </c:pt>
                <c:pt idx="169">
                  <c:v>54212.857142857145</c:v>
                </c:pt>
                <c:pt idx="170">
                  <c:v>54572.571428571428</c:v>
                </c:pt>
                <c:pt idx="171">
                  <c:v>54541</c:v>
                </c:pt>
                <c:pt idx="172">
                  <c:v>54497</c:v>
                </c:pt>
                <c:pt idx="173">
                  <c:v>55475.857142857145</c:v>
                </c:pt>
                <c:pt idx="174">
                  <c:v>55454.142857142855</c:v>
                </c:pt>
                <c:pt idx="175">
                  <c:v>55664</c:v>
                </c:pt>
                <c:pt idx="176">
                  <c:v>55982</c:v>
                </c:pt>
                <c:pt idx="177">
                  <c:v>55948.714285714283</c:v>
                </c:pt>
                <c:pt idx="178">
                  <c:v>56402.857142857145</c:v>
                </c:pt>
                <c:pt idx="179">
                  <c:v>56558.285714285717</c:v>
                </c:pt>
                <c:pt idx="180">
                  <c:v>57153.857142857145</c:v>
                </c:pt>
                <c:pt idx="181">
                  <c:v>57651.571428571428</c:v>
                </c:pt>
                <c:pt idx="182">
                  <c:v>55111.857142857145</c:v>
                </c:pt>
                <c:pt idx="183">
                  <c:v>55032.571428571428</c:v>
                </c:pt>
                <c:pt idx="184">
                  <c:v>54566.428571428572</c:v>
                </c:pt>
                <c:pt idx="185">
                  <c:v>53324.428571428572</c:v>
                </c:pt>
                <c:pt idx="186">
                  <c:v>51931.571428571428</c:v>
                </c:pt>
                <c:pt idx="187">
                  <c:v>50112.571428571428</c:v>
                </c:pt>
                <c:pt idx="188">
                  <c:v>49049.571428571428</c:v>
                </c:pt>
                <c:pt idx="189">
                  <c:v>48568.857142857145</c:v>
                </c:pt>
                <c:pt idx="190">
                  <c:v>48905.857142857145</c:v>
                </c:pt>
                <c:pt idx="191">
                  <c:v>48125.142857142855</c:v>
                </c:pt>
                <c:pt idx="192">
                  <c:v>48353.714285714283</c:v>
                </c:pt>
                <c:pt idx="193">
                  <c:v>49737.571428571428</c:v>
                </c:pt>
                <c:pt idx="194">
                  <c:v>50390.571428571428</c:v>
                </c:pt>
                <c:pt idx="195">
                  <c:v>50540.571428571428</c:v>
                </c:pt>
                <c:pt idx="196">
                  <c:v>51075</c:v>
                </c:pt>
                <c:pt idx="197">
                  <c:v>51470</c:v>
                </c:pt>
                <c:pt idx="198">
                  <c:v>52263.857142857145</c:v>
                </c:pt>
                <c:pt idx="199">
                  <c:v>52396</c:v>
                </c:pt>
                <c:pt idx="200">
                  <c:v>52248.571428571428</c:v>
                </c:pt>
                <c:pt idx="201">
                  <c:v>52390.285714285717</c:v>
                </c:pt>
                <c:pt idx="202">
                  <c:v>52404</c:v>
                </c:pt>
                <c:pt idx="203">
                  <c:v>52087.142857142855</c:v>
                </c:pt>
                <c:pt idx="204">
                  <c:v>51013</c:v>
                </c:pt>
                <c:pt idx="205">
                  <c:v>51205.714285714283</c:v>
                </c:pt>
                <c:pt idx="206">
                  <c:v>51039</c:v>
                </c:pt>
                <c:pt idx="207">
                  <c:v>50856.714285714283</c:v>
                </c:pt>
                <c:pt idx="208">
                  <c:v>50757.142857142855</c:v>
                </c:pt>
                <c:pt idx="209">
                  <c:v>50689.714285714283</c:v>
                </c:pt>
                <c:pt idx="210">
                  <c:v>50485.857142857145</c:v>
                </c:pt>
                <c:pt idx="211">
                  <c:v>51585.571428571428</c:v>
                </c:pt>
                <c:pt idx="212">
                  <c:v>51451.142857142855</c:v>
                </c:pt>
                <c:pt idx="213">
                  <c:v>50294</c:v>
                </c:pt>
                <c:pt idx="214">
                  <c:v>50373.714285714283</c:v>
                </c:pt>
                <c:pt idx="215">
                  <c:v>50625.571428571428</c:v>
                </c:pt>
                <c:pt idx="216">
                  <c:v>49722.857142857145</c:v>
                </c:pt>
                <c:pt idx="217">
                  <c:v>49522.857142857145</c:v>
                </c:pt>
                <c:pt idx="218">
                  <c:v>49239.142857142855</c:v>
                </c:pt>
                <c:pt idx="219">
                  <c:v>49412.142857142855</c:v>
                </c:pt>
                <c:pt idx="220">
                  <c:v>50207.285714285717</c:v>
                </c:pt>
                <c:pt idx="221">
                  <c:v>49808.714285714283</c:v>
                </c:pt>
                <c:pt idx="222">
                  <c:v>49466.571428571428</c:v>
                </c:pt>
                <c:pt idx="223">
                  <c:v>50273.428571428572</c:v>
                </c:pt>
                <c:pt idx="224">
                  <c:v>51191</c:v>
                </c:pt>
                <c:pt idx="225">
                  <c:v>51176</c:v>
                </c:pt>
                <c:pt idx="226">
                  <c:v>50781.857142857145</c:v>
                </c:pt>
                <c:pt idx="227">
                  <c:v>51393.714285714283</c:v>
                </c:pt>
                <c:pt idx="228">
                  <c:v>51902.714285714283</c:v>
                </c:pt>
                <c:pt idx="229">
                  <c:v>52042.857142857145</c:v>
                </c:pt>
                <c:pt idx="230">
                  <c:v>52098.571428571428</c:v>
                </c:pt>
                <c:pt idx="231">
                  <c:v>51836.428571428572</c:v>
                </c:pt>
                <c:pt idx="232">
                  <c:v>51650.285714285717</c:v>
                </c:pt>
                <c:pt idx="233">
                  <c:v>51471</c:v>
                </c:pt>
                <c:pt idx="234">
                  <c:v>51601.714285714283</c:v>
                </c:pt>
                <c:pt idx="235">
                  <c:v>51902.428571428572</c:v>
                </c:pt>
                <c:pt idx="236">
                  <c:v>52103</c:v>
                </c:pt>
                <c:pt idx="237">
                  <c:v>52200.857142857145</c:v>
                </c:pt>
                <c:pt idx="238">
                  <c:v>53747.428571428572</c:v>
                </c:pt>
                <c:pt idx="239">
                  <c:v>53907.285714285717</c:v>
                </c:pt>
                <c:pt idx="240">
                  <c:v>54491.142857142855</c:v>
                </c:pt>
                <c:pt idx="241">
                  <c:v>54079.857142857145</c:v>
                </c:pt>
                <c:pt idx="242">
                  <c:v>52986.857142857145</c:v>
                </c:pt>
                <c:pt idx="243">
                  <c:v>52608.285714285717</c:v>
                </c:pt>
                <c:pt idx="244">
                  <c:v>52473.285714285717</c:v>
                </c:pt>
                <c:pt idx="245">
                  <c:v>50864.142857142855</c:v>
                </c:pt>
                <c:pt idx="246">
                  <c:v>52653.428571428572</c:v>
                </c:pt>
                <c:pt idx="247">
                  <c:v>52435.857142857145</c:v>
                </c:pt>
                <c:pt idx="248">
                  <c:v>52402.285714285717</c:v>
                </c:pt>
                <c:pt idx="249">
                  <c:v>52568.714285714283</c:v>
                </c:pt>
                <c:pt idx="250">
                  <c:v>53482.142857142855</c:v>
                </c:pt>
                <c:pt idx="251">
                  <c:v>55012</c:v>
                </c:pt>
                <c:pt idx="252">
                  <c:v>56682.428571428572</c:v>
                </c:pt>
                <c:pt idx="253">
                  <c:v>55366.571428571428</c:v>
                </c:pt>
                <c:pt idx="254">
                  <c:v>55939.857142857145</c:v>
                </c:pt>
                <c:pt idx="255">
                  <c:v>56779.428571428572</c:v>
                </c:pt>
                <c:pt idx="256">
                  <c:v>57782.428571428572</c:v>
                </c:pt>
                <c:pt idx="257">
                  <c:v>58102.142857142855</c:v>
                </c:pt>
                <c:pt idx="258">
                  <c:v>58302.142857142855</c:v>
                </c:pt>
                <c:pt idx="259">
                  <c:v>58589</c:v>
                </c:pt>
                <c:pt idx="260">
                  <c:v>59450.714285714283</c:v>
                </c:pt>
                <c:pt idx="261">
                  <c:v>59654</c:v>
                </c:pt>
                <c:pt idx="262">
                  <c:v>59217.142857142855</c:v>
                </c:pt>
                <c:pt idx="263">
                  <c:v>58757</c:v>
                </c:pt>
                <c:pt idx="264">
                  <c:v>58224.285714285717</c:v>
                </c:pt>
                <c:pt idx="265">
                  <c:v>58908</c:v>
                </c:pt>
                <c:pt idx="266">
                  <c:v>57786.857142857145</c:v>
                </c:pt>
                <c:pt idx="267">
                  <c:v>56833</c:v>
                </c:pt>
                <c:pt idx="268">
                  <c:v>56410.857142857145</c:v>
                </c:pt>
                <c:pt idx="269">
                  <c:v>56631.142857142855</c:v>
                </c:pt>
                <c:pt idx="270">
                  <c:v>56970.428571428572</c:v>
                </c:pt>
                <c:pt idx="271">
                  <c:v>57619</c:v>
                </c:pt>
                <c:pt idx="272">
                  <c:v>56001.857142857145</c:v>
                </c:pt>
                <c:pt idx="273">
                  <c:v>56729.571428571428</c:v>
                </c:pt>
                <c:pt idx="274">
                  <c:v>57001.714285714283</c:v>
                </c:pt>
                <c:pt idx="275">
                  <c:v>56630.714285714283</c:v>
                </c:pt>
                <c:pt idx="276">
                  <c:v>56429.285714285717</c:v>
                </c:pt>
                <c:pt idx="277">
                  <c:v>51137.285714285717</c:v>
                </c:pt>
                <c:pt idx="278">
                  <c:v>49387.571428571428</c:v>
                </c:pt>
                <c:pt idx="279">
                  <c:v>49937.428571428572</c:v>
                </c:pt>
                <c:pt idx="280">
                  <c:v>50069.285714285717</c:v>
                </c:pt>
                <c:pt idx="281">
                  <c:v>49469.571428571428</c:v>
                </c:pt>
                <c:pt idx="282">
                  <c:v>50021.428571428572</c:v>
                </c:pt>
                <c:pt idx="283">
                  <c:v>50254.571428571428</c:v>
                </c:pt>
                <c:pt idx="284">
                  <c:v>56229.857142857145</c:v>
                </c:pt>
                <c:pt idx="285">
                  <c:v>57810.714285714283</c:v>
                </c:pt>
                <c:pt idx="286">
                  <c:v>57658.571428571428</c:v>
                </c:pt>
                <c:pt idx="287">
                  <c:v>57684.428571428572</c:v>
                </c:pt>
                <c:pt idx="288">
                  <c:v>57998.571428571428</c:v>
                </c:pt>
                <c:pt idx="289">
                  <c:v>57884</c:v>
                </c:pt>
                <c:pt idx="290">
                  <c:v>58054.428571428572</c:v>
                </c:pt>
                <c:pt idx="291">
                  <c:v>57866.857142857145</c:v>
                </c:pt>
                <c:pt idx="292">
                  <c:v>57383.571428571428</c:v>
                </c:pt>
                <c:pt idx="293">
                  <c:v>57581.142857142855</c:v>
                </c:pt>
                <c:pt idx="294">
                  <c:v>56136.714285714283</c:v>
                </c:pt>
                <c:pt idx="295">
                  <c:v>55632</c:v>
                </c:pt>
                <c:pt idx="296">
                  <c:v>55715.714285714283</c:v>
                </c:pt>
                <c:pt idx="297">
                  <c:v>55336.857142857145</c:v>
                </c:pt>
                <c:pt idx="298">
                  <c:v>54360.428571428572</c:v>
                </c:pt>
                <c:pt idx="299">
                  <c:v>54953.142857142855</c:v>
                </c:pt>
                <c:pt idx="300">
                  <c:v>54293</c:v>
                </c:pt>
                <c:pt idx="301">
                  <c:v>54473.857142857145</c:v>
                </c:pt>
                <c:pt idx="302">
                  <c:v>54103.571428571428</c:v>
                </c:pt>
                <c:pt idx="303">
                  <c:v>53765</c:v>
                </c:pt>
                <c:pt idx="304">
                  <c:v>53994.571428571428</c:v>
                </c:pt>
                <c:pt idx="305">
                  <c:v>54296.571428571428</c:v>
                </c:pt>
                <c:pt idx="306">
                  <c:v>53232.571428571428</c:v>
                </c:pt>
                <c:pt idx="307">
                  <c:v>53078</c:v>
                </c:pt>
                <c:pt idx="308">
                  <c:v>53280.571428571428</c:v>
                </c:pt>
                <c:pt idx="309">
                  <c:v>53139.571428571428</c:v>
                </c:pt>
                <c:pt idx="310">
                  <c:v>53204.142857142855</c:v>
                </c:pt>
                <c:pt idx="311">
                  <c:v>53411.857142857145</c:v>
                </c:pt>
                <c:pt idx="312">
                  <c:v>53363.571428571428</c:v>
                </c:pt>
                <c:pt idx="313">
                  <c:v>53323.142857142855</c:v>
                </c:pt>
                <c:pt idx="314">
                  <c:v>53469.142857142855</c:v>
                </c:pt>
                <c:pt idx="315">
                  <c:v>52759.428571428572</c:v>
                </c:pt>
                <c:pt idx="316">
                  <c:v>52964.714285714283</c:v>
                </c:pt>
                <c:pt idx="317">
                  <c:v>52159</c:v>
                </c:pt>
                <c:pt idx="318">
                  <c:v>51651.142857142855</c:v>
                </c:pt>
                <c:pt idx="319">
                  <c:v>50709.285714285717</c:v>
                </c:pt>
                <c:pt idx="320">
                  <c:v>52442.142857142855</c:v>
                </c:pt>
                <c:pt idx="321">
                  <c:v>52064.142857142855</c:v>
                </c:pt>
                <c:pt idx="322">
                  <c:v>52394.142857142855</c:v>
                </c:pt>
                <c:pt idx="323">
                  <c:v>52077</c:v>
                </c:pt>
                <c:pt idx="324">
                  <c:v>52446.571428571428</c:v>
                </c:pt>
                <c:pt idx="325">
                  <c:v>52763.857142857145</c:v>
                </c:pt>
                <c:pt idx="326">
                  <c:v>53803.142857142855</c:v>
                </c:pt>
                <c:pt idx="327">
                  <c:v>52708.142857142855</c:v>
                </c:pt>
                <c:pt idx="328">
                  <c:v>52858</c:v>
                </c:pt>
                <c:pt idx="329">
                  <c:v>52997.285714285717</c:v>
                </c:pt>
                <c:pt idx="330">
                  <c:v>53284.857142857145</c:v>
                </c:pt>
                <c:pt idx="331">
                  <c:v>53695.285714285717</c:v>
                </c:pt>
                <c:pt idx="332">
                  <c:v>53304</c:v>
                </c:pt>
                <c:pt idx="333">
                  <c:v>52920.571428571428</c:v>
                </c:pt>
                <c:pt idx="334">
                  <c:v>52144</c:v>
                </c:pt>
                <c:pt idx="335">
                  <c:v>52642.714285714283</c:v>
                </c:pt>
                <c:pt idx="336">
                  <c:v>52626.714285714283</c:v>
                </c:pt>
                <c:pt idx="337">
                  <c:v>52794.142857142855</c:v>
                </c:pt>
                <c:pt idx="338">
                  <c:v>52427.714285714283</c:v>
                </c:pt>
                <c:pt idx="339">
                  <c:v>53095.571428571428</c:v>
                </c:pt>
                <c:pt idx="340">
                  <c:v>53699.714285714283</c:v>
                </c:pt>
                <c:pt idx="341">
                  <c:v>54274.142857142855</c:v>
                </c:pt>
                <c:pt idx="342">
                  <c:v>53770.571428571428</c:v>
                </c:pt>
                <c:pt idx="343">
                  <c:v>54270</c:v>
                </c:pt>
                <c:pt idx="344">
                  <c:v>54807.714285714283</c:v>
                </c:pt>
                <c:pt idx="345">
                  <c:v>54827.571428571428</c:v>
                </c:pt>
                <c:pt idx="346">
                  <c:v>54492.571428571428</c:v>
                </c:pt>
                <c:pt idx="347">
                  <c:v>54426.714285714283</c:v>
                </c:pt>
                <c:pt idx="348">
                  <c:v>54288.857142857145</c:v>
                </c:pt>
                <c:pt idx="349">
                  <c:v>54614.142857142855</c:v>
                </c:pt>
                <c:pt idx="350">
                  <c:v>55153</c:v>
                </c:pt>
                <c:pt idx="351">
                  <c:v>54976.142857142855</c:v>
                </c:pt>
                <c:pt idx="352">
                  <c:v>55426.857142857145</c:v>
                </c:pt>
                <c:pt idx="353">
                  <c:v>55759.857142857145</c:v>
                </c:pt>
                <c:pt idx="354">
                  <c:v>55848.428571428572</c:v>
                </c:pt>
                <c:pt idx="355">
                  <c:v>56424.428571428572</c:v>
                </c:pt>
                <c:pt idx="356">
                  <c:v>55931.714285714283</c:v>
                </c:pt>
                <c:pt idx="357">
                  <c:v>56033.285714285717</c:v>
                </c:pt>
                <c:pt idx="358">
                  <c:v>56398.571428571428</c:v>
                </c:pt>
                <c:pt idx="359">
                  <c:v>56444.285714285717</c:v>
                </c:pt>
                <c:pt idx="360">
                  <c:v>56328.428571428572</c:v>
                </c:pt>
                <c:pt idx="361">
                  <c:v>56662.142857142855</c:v>
                </c:pt>
                <c:pt idx="362">
                  <c:v>56146.714285714283</c:v>
                </c:pt>
                <c:pt idx="363">
                  <c:v>56446.571428571428</c:v>
                </c:pt>
                <c:pt idx="364">
                  <c:v>55471.428571428572</c:v>
                </c:pt>
                <c:pt idx="365">
                  <c:v>54671.285714285717</c:v>
                </c:pt>
                <c:pt idx="366">
                  <c:v>54493.571428571428</c:v>
                </c:pt>
                <c:pt idx="367">
                  <c:v>54366.428571428572</c:v>
                </c:pt>
                <c:pt idx="368">
                  <c:v>54432</c:v>
                </c:pt>
                <c:pt idx="369">
                  <c:v>54554.428571428572</c:v>
                </c:pt>
                <c:pt idx="370">
                  <c:v>54544.428571428572</c:v>
                </c:pt>
                <c:pt idx="371">
                  <c:v>55066.428571428572</c:v>
                </c:pt>
                <c:pt idx="372">
                  <c:v>55819.142857142855</c:v>
                </c:pt>
                <c:pt idx="373">
                  <c:v>55276.142857142855</c:v>
                </c:pt>
                <c:pt idx="374">
                  <c:v>54852</c:v>
                </c:pt>
                <c:pt idx="375">
                  <c:v>50262.428571428572</c:v>
                </c:pt>
                <c:pt idx="376">
                  <c:v>48886.857142857145</c:v>
                </c:pt>
                <c:pt idx="377">
                  <c:v>49277</c:v>
                </c:pt>
                <c:pt idx="378">
                  <c:v>49517.428571428572</c:v>
                </c:pt>
                <c:pt idx="379">
                  <c:v>48925.142857142855</c:v>
                </c:pt>
                <c:pt idx="380">
                  <c:v>49633.142857142855</c:v>
                </c:pt>
                <c:pt idx="381">
                  <c:v>50462</c:v>
                </c:pt>
                <c:pt idx="382">
                  <c:v>55014.285714285717</c:v>
                </c:pt>
                <c:pt idx="383">
                  <c:v>57329.142857142855</c:v>
                </c:pt>
                <c:pt idx="384">
                  <c:v>58389.428571428572</c:v>
                </c:pt>
                <c:pt idx="385">
                  <c:v>59773.714285714283</c:v>
                </c:pt>
                <c:pt idx="386">
                  <c:v>59400</c:v>
                </c:pt>
                <c:pt idx="387">
                  <c:v>59239.285714285717</c:v>
                </c:pt>
                <c:pt idx="388">
                  <c:v>59254.857142857145</c:v>
                </c:pt>
                <c:pt idx="389">
                  <c:v>59321.142857142855</c:v>
                </c:pt>
                <c:pt idx="390">
                  <c:v>58982</c:v>
                </c:pt>
                <c:pt idx="391">
                  <c:v>58806.285714285717</c:v>
                </c:pt>
                <c:pt idx="392">
                  <c:v>57086.714285714283</c:v>
                </c:pt>
                <c:pt idx="393">
                  <c:v>57314.428571428572</c:v>
                </c:pt>
                <c:pt idx="394">
                  <c:v>57375</c:v>
                </c:pt>
                <c:pt idx="395">
                  <c:v>57320.142857142855</c:v>
                </c:pt>
                <c:pt idx="396">
                  <c:v>56530.428571428572</c:v>
                </c:pt>
                <c:pt idx="397">
                  <c:v>55881.428571428572</c:v>
                </c:pt>
                <c:pt idx="398">
                  <c:v>55278.714285714283</c:v>
                </c:pt>
                <c:pt idx="399">
                  <c:v>55465.714285714283</c:v>
                </c:pt>
                <c:pt idx="400">
                  <c:v>55662</c:v>
                </c:pt>
                <c:pt idx="401">
                  <c:v>55642.142857142855</c:v>
                </c:pt>
                <c:pt idx="402">
                  <c:v>54810.571428571428</c:v>
                </c:pt>
                <c:pt idx="403">
                  <c:v>55163.571428571428</c:v>
                </c:pt>
                <c:pt idx="404">
                  <c:v>55194.428571428572</c:v>
                </c:pt>
                <c:pt idx="405">
                  <c:v>55142.714285714283</c:v>
                </c:pt>
                <c:pt idx="406">
                  <c:v>54411</c:v>
                </c:pt>
                <c:pt idx="407">
                  <c:v>53817.142857142855</c:v>
                </c:pt>
                <c:pt idx="408">
                  <c:v>53699.428571428572</c:v>
                </c:pt>
                <c:pt idx="409">
                  <c:v>54377.285714285717</c:v>
                </c:pt>
                <c:pt idx="410">
                  <c:v>54194.428571428572</c:v>
                </c:pt>
                <c:pt idx="411">
                  <c:v>54985.714285714283</c:v>
                </c:pt>
                <c:pt idx="412">
                  <c:v>55643.857142857145</c:v>
                </c:pt>
                <c:pt idx="413">
                  <c:v>56338</c:v>
                </c:pt>
                <c:pt idx="414">
                  <c:v>56760.285714285717</c:v>
                </c:pt>
                <c:pt idx="415">
                  <c:v>56912.571428571428</c:v>
                </c:pt>
                <c:pt idx="416">
                  <c:v>56902.428571428572</c:v>
                </c:pt>
                <c:pt idx="417">
                  <c:v>57610</c:v>
                </c:pt>
                <c:pt idx="418">
                  <c:v>57314.142857142855</c:v>
                </c:pt>
                <c:pt idx="419">
                  <c:v>56476.428571428572</c:v>
                </c:pt>
                <c:pt idx="420">
                  <c:v>57690.428571428572</c:v>
                </c:pt>
                <c:pt idx="421">
                  <c:v>57635.857142857145</c:v>
                </c:pt>
                <c:pt idx="422">
                  <c:v>56782</c:v>
                </c:pt>
                <c:pt idx="423">
                  <c:v>57331.428571428572</c:v>
                </c:pt>
                <c:pt idx="424">
                  <c:v>56852.857142857145</c:v>
                </c:pt>
                <c:pt idx="425">
                  <c:v>56694.571428571428</c:v>
                </c:pt>
                <c:pt idx="426">
                  <c:v>58141.714285714283</c:v>
                </c:pt>
                <c:pt idx="427">
                  <c:v>56968.142857142855</c:v>
                </c:pt>
                <c:pt idx="428">
                  <c:v>58474.428571428572</c:v>
                </c:pt>
                <c:pt idx="429">
                  <c:v>59060.857142857145</c:v>
                </c:pt>
                <c:pt idx="430">
                  <c:v>58466.142857142855</c:v>
                </c:pt>
                <c:pt idx="431">
                  <c:v>58970.571428571428</c:v>
                </c:pt>
                <c:pt idx="432">
                  <c:v>59242.142857142855</c:v>
                </c:pt>
                <c:pt idx="433">
                  <c:v>59075.714285714283</c:v>
                </c:pt>
                <c:pt idx="434">
                  <c:v>58528</c:v>
                </c:pt>
                <c:pt idx="435">
                  <c:v>58072.857142857145</c:v>
                </c:pt>
                <c:pt idx="436">
                  <c:v>57866.142857142855</c:v>
                </c:pt>
                <c:pt idx="437">
                  <c:v>58534.571428571428</c:v>
                </c:pt>
                <c:pt idx="438">
                  <c:v>58096.857142857145</c:v>
                </c:pt>
                <c:pt idx="439">
                  <c:v>57919.285714285717</c:v>
                </c:pt>
                <c:pt idx="440">
                  <c:v>56045.571428571428</c:v>
                </c:pt>
                <c:pt idx="441">
                  <c:v>56790.142857142855</c:v>
                </c:pt>
                <c:pt idx="442">
                  <c:v>59902.428571428572</c:v>
                </c:pt>
                <c:pt idx="443">
                  <c:v>60327.857142857145</c:v>
                </c:pt>
                <c:pt idx="444">
                  <c:v>60635.571428571428</c:v>
                </c:pt>
                <c:pt idx="445">
                  <c:v>60486.857142857145</c:v>
                </c:pt>
                <c:pt idx="446">
                  <c:v>59180.714285714283</c:v>
                </c:pt>
                <c:pt idx="447">
                  <c:v>58201</c:v>
                </c:pt>
                <c:pt idx="448">
                  <c:v>57888.285714285717</c:v>
                </c:pt>
                <c:pt idx="449">
                  <c:v>57828.714285714283</c:v>
                </c:pt>
                <c:pt idx="450">
                  <c:v>58059.142857142855</c:v>
                </c:pt>
                <c:pt idx="451">
                  <c:v>58824.714285714283</c:v>
                </c:pt>
                <c:pt idx="452">
                  <c:v>59934.142857142855</c:v>
                </c:pt>
                <c:pt idx="453">
                  <c:v>61866.571428571428</c:v>
                </c:pt>
                <c:pt idx="454">
                  <c:v>64102.428571428572</c:v>
                </c:pt>
                <c:pt idx="455">
                  <c:v>63826.285714285717</c:v>
                </c:pt>
                <c:pt idx="456">
                  <c:v>62139</c:v>
                </c:pt>
                <c:pt idx="457">
                  <c:v>61752.571428571428</c:v>
                </c:pt>
                <c:pt idx="458">
                  <c:v>59547</c:v>
                </c:pt>
                <c:pt idx="459">
                  <c:v>58247.857142857145</c:v>
                </c:pt>
                <c:pt idx="460">
                  <c:v>56914</c:v>
                </c:pt>
                <c:pt idx="461">
                  <c:v>56118</c:v>
                </c:pt>
                <c:pt idx="462">
                  <c:v>52763.142857142855</c:v>
                </c:pt>
                <c:pt idx="463">
                  <c:v>48634.285714285717</c:v>
                </c:pt>
                <c:pt idx="464">
                  <c:v>48482.285714285717</c:v>
                </c:pt>
                <c:pt idx="465">
                  <c:v>48748.857142857145</c:v>
                </c:pt>
                <c:pt idx="466">
                  <c:v>47919.571428571428</c:v>
                </c:pt>
                <c:pt idx="467">
                  <c:v>48978.571428571428</c:v>
                </c:pt>
                <c:pt idx="468">
                  <c:v>50031.857142857145</c:v>
                </c:pt>
                <c:pt idx="469">
                  <c:v>55016.428571428572</c:v>
                </c:pt>
                <c:pt idx="470">
                  <c:v>57788.857142857145</c:v>
                </c:pt>
                <c:pt idx="471">
                  <c:v>57663.428571428572</c:v>
                </c:pt>
                <c:pt idx="472">
                  <c:v>58508.142857142855</c:v>
                </c:pt>
                <c:pt idx="473">
                  <c:v>61452.857142857145</c:v>
                </c:pt>
                <c:pt idx="474">
                  <c:v>62381.571428571428</c:v>
                </c:pt>
                <c:pt idx="475">
                  <c:v>62201.285714285717</c:v>
                </c:pt>
                <c:pt idx="476">
                  <c:v>61476.285714285717</c:v>
                </c:pt>
                <c:pt idx="477">
                  <c:v>61431.714285714283</c:v>
                </c:pt>
                <c:pt idx="478">
                  <c:v>61280</c:v>
                </c:pt>
                <c:pt idx="479">
                  <c:v>62157.142857142855</c:v>
                </c:pt>
                <c:pt idx="480">
                  <c:v>61046.285714285717</c:v>
                </c:pt>
                <c:pt idx="481">
                  <c:v>60490.714285714283</c:v>
                </c:pt>
                <c:pt idx="482">
                  <c:v>60722.857142857145</c:v>
                </c:pt>
                <c:pt idx="483">
                  <c:v>61434.571428571428</c:v>
                </c:pt>
                <c:pt idx="484">
                  <c:v>60555.142857142855</c:v>
                </c:pt>
                <c:pt idx="485">
                  <c:v>61406.285714285717</c:v>
                </c:pt>
                <c:pt idx="486">
                  <c:v>60184.285714285717</c:v>
                </c:pt>
                <c:pt idx="487">
                  <c:v>59846.428571428572</c:v>
                </c:pt>
                <c:pt idx="488">
                  <c:v>58951.142857142855</c:v>
                </c:pt>
                <c:pt idx="489">
                  <c:v>53275.857142857145</c:v>
                </c:pt>
                <c:pt idx="490">
                  <c:v>47292.714285714283</c:v>
                </c:pt>
                <c:pt idx="491">
                  <c:v>46832.142857142855</c:v>
                </c:pt>
                <c:pt idx="492">
                  <c:v>46679.142857142855</c:v>
                </c:pt>
                <c:pt idx="493">
                  <c:v>48028.857142857145</c:v>
                </c:pt>
                <c:pt idx="494">
                  <c:v>47685.714285714283</c:v>
                </c:pt>
                <c:pt idx="495">
                  <c:v>48351</c:v>
                </c:pt>
                <c:pt idx="496">
                  <c:v>48154.571428571428</c:v>
                </c:pt>
                <c:pt idx="497">
                  <c:v>48451.428571428572</c:v>
                </c:pt>
                <c:pt idx="498">
                  <c:v>50529.285714285717</c:v>
                </c:pt>
                <c:pt idx="499">
                  <c:v>50109.142857142855</c:v>
                </c:pt>
                <c:pt idx="500">
                  <c:v>49536.571428571428</c:v>
                </c:pt>
                <c:pt idx="501">
                  <c:v>51188</c:v>
                </c:pt>
                <c:pt idx="502">
                  <c:v>52202.428571428572</c:v>
                </c:pt>
                <c:pt idx="503">
                  <c:v>58690.714285714283</c:v>
                </c:pt>
                <c:pt idx="504">
                  <c:v>64200.857142857145</c:v>
                </c:pt>
                <c:pt idx="505">
                  <c:v>65358</c:v>
                </c:pt>
                <c:pt idx="506">
                  <c:v>64819.285714285717</c:v>
                </c:pt>
                <c:pt idx="507">
                  <c:v>64893</c:v>
                </c:pt>
                <c:pt idx="508">
                  <c:v>63454.714285714283</c:v>
                </c:pt>
                <c:pt idx="509">
                  <c:v>63127.285714285717</c:v>
                </c:pt>
                <c:pt idx="510">
                  <c:v>62123.428571428572</c:v>
                </c:pt>
                <c:pt idx="511">
                  <c:v>61778.428571428572</c:v>
                </c:pt>
                <c:pt idx="512">
                  <c:v>59769.142857142855</c:v>
                </c:pt>
                <c:pt idx="513">
                  <c:v>61048.142857142855</c:v>
                </c:pt>
                <c:pt idx="514">
                  <c:v>60774.571428571428</c:v>
                </c:pt>
                <c:pt idx="515">
                  <c:v>61160.714285714283</c:v>
                </c:pt>
                <c:pt idx="516">
                  <c:v>60797.857142857145</c:v>
                </c:pt>
                <c:pt idx="517">
                  <c:v>60406</c:v>
                </c:pt>
                <c:pt idx="518">
                  <c:v>60232.285714285717</c:v>
                </c:pt>
                <c:pt idx="519">
                  <c:v>59874.571428571428</c:v>
                </c:pt>
                <c:pt idx="520">
                  <c:v>59421</c:v>
                </c:pt>
                <c:pt idx="521">
                  <c:v>58996.857142857145</c:v>
                </c:pt>
                <c:pt idx="522">
                  <c:v>58573.571428571428</c:v>
                </c:pt>
                <c:pt idx="523">
                  <c:v>58102.571428571428</c:v>
                </c:pt>
                <c:pt idx="524">
                  <c:v>58208.714285714283</c:v>
                </c:pt>
                <c:pt idx="525">
                  <c:v>58181.857142857145</c:v>
                </c:pt>
                <c:pt idx="526">
                  <c:v>57814.571428571428</c:v>
                </c:pt>
                <c:pt idx="527">
                  <c:v>57244</c:v>
                </c:pt>
                <c:pt idx="528">
                  <c:v>58121.571428571428</c:v>
                </c:pt>
                <c:pt idx="529">
                  <c:v>58824.714285714283</c:v>
                </c:pt>
                <c:pt idx="530">
                  <c:v>59419.857142857145</c:v>
                </c:pt>
                <c:pt idx="531">
                  <c:v>59723.285714285717</c:v>
                </c:pt>
                <c:pt idx="532">
                  <c:v>60332.428571428572</c:v>
                </c:pt>
                <c:pt idx="533">
                  <c:v>60375.571428571428</c:v>
                </c:pt>
                <c:pt idx="534">
                  <c:v>61069.285714285717</c:v>
                </c:pt>
                <c:pt idx="535">
                  <c:v>60324.142857142855</c:v>
                </c:pt>
                <c:pt idx="536">
                  <c:v>59031.142857142855</c:v>
                </c:pt>
                <c:pt idx="537">
                  <c:v>58797.428571428572</c:v>
                </c:pt>
                <c:pt idx="538">
                  <c:v>59281.571428571428</c:v>
                </c:pt>
                <c:pt idx="539">
                  <c:v>58282.285714285717</c:v>
                </c:pt>
                <c:pt idx="540">
                  <c:v>58945.142857142855</c:v>
                </c:pt>
                <c:pt idx="541">
                  <c:v>58691.285714285717</c:v>
                </c:pt>
                <c:pt idx="542">
                  <c:v>58571.285714285717</c:v>
                </c:pt>
                <c:pt idx="543">
                  <c:v>59211.285714285717</c:v>
                </c:pt>
                <c:pt idx="544">
                  <c:v>59402.142857142855</c:v>
                </c:pt>
                <c:pt idx="545">
                  <c:v>58883.857142857145</c:v>
                </c:pt>
                <c:pt idx="546">
                  <c:v>59288.285714285717</c:v>
                </c:pt>
                <c:pt idx="547">
                  <c:v>59187.714285714283</c:v>
                </c:pt>
                <c:pt idx="548">
                  <c:v>59328.571428571428</c:v>
                </c:pt>
                <c:pt idx="549">
                  <c:v>59570.714285714283</c:v>
                </c:pt>
                <c:pt idx="550">
                  <c:v>58938.142857142855</c:v>
                </c:pt>
                <c:pt idx="551">
                  <c:v>58970.285714285717</c:v>
                </c:pt>
                <c:pt idx="552">
                  <c:v>59109.857142857145</c:v>
                </c:pt>
                <c:pt idx="553">
                  <c:v>51317.285714285717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AE8-4449-BC5F-49CB903A86D5}"/>
            </c:ext>
          </c:extLst>
        </c:ser>
        <c:ser>
          <c:idx val="2"/>
          <c:order val="2"/>
          <c:tx>
            <c:strRef>
              <c:f>'Daily Velocity'!$E$3</c:f>
              <c:strCache>
                <c:ptCount val="1"/>
                <c:pt idx="0">
                  <c:v>30-Day Moving Avg</c:v>
                </c:pt>
              </c:strCache>
            </c:strRef>
          </c:tx>
          <c:spPr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'Daily Velocity'!$A$4:$A$557</c:f>
              <c:numCache>
                <c:formatCode>yyyy\-mm\-dd</c:formatCode>
                <c:ptCount val="554"/>
                <c:pt idx="0">
                  <c:v>45526</c:v>
                </c:pt>
                <c:pt idx="1">
                  <c:v>45527</c:v>
                </c:pt>
                <c:pt idx="2">
                  <c:v>45528</c:v>
                </c:pt>
                <c:pt idx="3">
                  <c:v>45529</c:v>
                </c:pt>
                <c:pt idx="4">
                  <c:v>45530</c:v>
                </c:pt>
                <c:pt idx="5">
                  <c:v>45531</c:v>
                </c:pt>
                <c:pt idx="6">
                  <c:v>45532</c:v>
                </c:pt>
                <c:pt idx="7">
                  <c:v>45533</c:v>
                </c:pt>
                <c:pt idx="8">
                  <c:v>45534</c:v>
                </c:pt>
                <c:pt idx="9">
                  <c:v>45535</c:v>
                </c:pt>
                <c:pt idx="10">
                  <c:v>45536</c:v>
                </c:pt>
                <c:pt idx="11">
                  <c:v>45537</c:v>
                </c:pt>
                <c:pt idx="12">
                  <c:v>45538</c:v>
                </c:pt>
                <c:pt idx="13">
                  <c:v>45539</c:v>
                </c:pt>
                <c:pt idx="14">
                  <c:v>45540</c:v>
                </c:pt>
                <c:pt idx="15">
                  <c:v>45541</c:v>
                </c:pt>
                <c:pt idx="16">
                  <c:v>45542</c:v>
                </c:pt>
                <c:pt idx="17">
                  <c:v>45543</c:v>
                </c:pt>
                <c:pt idx="18">
                  <c:v>45544</c:v>
                </c:pt>
                <c:pt idx="19">
                  <c:v>45545</c:v>
                </c:pt>
                <c:pt idx="20">
                  <c:v>45546</c:v>
                </c:pt>
                <c:pt idx="21">
                  <c:v>45547</c:v>
                </c:pt>
                <c:pt idx="22">
                  <c:v>45548</c:v>
                </c:pt>
                <c:pt idx="23">
                  <c:v>45549</c:v>
                </c:pt>
                <c:pt idx="24">
                  <c:v>45550</c:v>
                </c:pt>
                <c:pt idx="25">
                  <c:v>45551</c:v>
                </c:pt>
                <c:pt idx="26">
                  <c:v>45552</c:v>
                </c:pt>
                <c:pt idx="27">
                  <c:v>45553</c:v>
                </c:pt>
                <c:pt idx="28">
                  <c:v>45554</c:v>
                </c:pt>
                <c:pt idx="29">
                  <c:v>45555</c:v>
                </c:pt>
                <c:pt idx="30">
                  <c:v>45556</c:v>
                </c:pt>
                <c:pt idx="31">
                  <c:v>45557</c:v>
                </c:pt>
                <c:pt idx="32">
                  <c:v>45558</c:v>
                </c:pt>
                <c:pt idx="33">
                  <c:v>45559</c:v>
                </c:pt>
                <c:pt idx="34">
                  <c:v>45560</c:v>
                </c:pt>
                <c:pt idx="35">
                  <c:v>45561</c:v>
                </c:pt>
                <c:pt idx="36">
                  <c:v>45562</c:v>
                </c:pt>
                <c:pt idx="37">
                  <c:v>45563</c:v>
                </c:pt>
                <c:pt idx="38">
                  <c:v>45564</c:v>
                </c:pt>
                <c:pt idx="39">
                  <c:v>45565</c:v>
                </c:pt>
                <c:pt idx="40">
                  <c:v>45566</c:v>
                </c:pt>
                <c:pt idx="41">
                  <c:v>45567</c:v>
                </c:pt>
                <c:pt idx="42">
                  <c:v>45568</c:v>
                </c:pt>
                <c:pt idx="43">
                  <c:v>45569</c:v>
                </c:pt>
                <c:pt idx="44">
                  <c:v>45570</c:v>
                </c:pt>
                <c:pt idx="45">
                  <c:v>45571</c:v>
                </c:pt>
                <c:pt idx="46">
                  <c:v>45572</c:v>
                </c:pt>
                <c:pt idx="47">
                  <c:v>45573</c:v>
                </c:pt>
                <c:pt idx="48">
                  <c:v>45574</c:v>
                </c:pt>
                <c:pt idx="49">
                  <c:v>45575</c:v>
                </c:pt>
                <c:pt idx="50">
                  <c:v>45576</c:v>
                </c:pt>
                <c:pt idx="51">
                  <c:v>45577</c:v>
                </c:pt>
                <c:pt idx="52">
                  <c:v>45578</c:v>
                </c:pt>
                <c:pt idx="53">
                  <c:v>45579</c:v>
                </c:pt>
                <c:pt idx="54">
                  <c:v>45580</c:v>
                </c:pt>
                <c:pt idx="55">
                  <c:v>45581</c:v>
                </c:pt>
                <c:pt idx="56">
                  <c:v>45582</c:v>
                </c:pt>
                <c:pt idx="57">
                  <c:v>45583</c:v>
                </c:pt>
                <c:pt idx="58">
                  <c:v>45584</c:v>
                </c:pt>
                <c:pt idx="59">
                  <c:v>45585</c:v>
                </c:pt>
                <c:pt idx="60">
                  <c:v>45586</c:v>
                </c:pt>
                <c:pt idx="61">
                  <c:v>45587</c:v>
                </c:pt>
                <c:pt idx="62">
                  <c:v>45588</c:v>
                </c:pt>
                <c:pt idx="63">
                  <c:v>45589</c:v>
                </c:pt>
                <c:pt idx="64">
                  <c:v>45590</c:v>
                </c:pt>
                <c:pt idx="65">
                  <c:v>45591</c:v>
                </c:pt>
                <c:pt idx="66">
                  <c:v>45592</c:v>
                </c:pt>
                <c:pt idx="67">
                  <c:v>45593</c:v>
                </c:pt>
                <c:pt idx="68">
                  <c:v>45594</c:v>
                </c:pt>
                <c:pt idx="69">
                  <c:v>45595</c:v>
                </c:pt>
                <c:pt idx="70">
                  <c:v>45596</c:v>
                </c:pt>
                <c:pt idx="71">
                  <c:v>45597</c:v>
                </c:pt>
                <c:pt idx="72">
                  <c:v>45598</c:v>
                </c:pt>
                <c:pt idx="73">
                  <c:v>45599</c:v>
                </c:pt>
                <c:pt idx="74">
                  <c:v>45600</c:v>
                </c:pt>
                <c:pt idx="75">
                  <c:v>45601</c:v>
                </c:pt>
                <c:pt idx="76">
                  <c:v>45602</c:v>
                </c:pt>
                <c:pt idx="77">
                  <c:v>45603</c:v>
                </c:pt>
                <c:pt idx="78">
                  <c:v>45604</c:v>
                </c:pt>
                <c:pt idx="79">
                  <c:v>45605</c:v>
                </c:pt>
                <c:pt idx="80">
                  <c:v>45606</c:v>
                </c:pt>
                <c:pt idx="81">
                  <c:v>45607</c:v>
                </c:pt>
                <c:pt idx="82">
                  <c:v>45608</c:v>
                </c:pt>
                <c:pt idx="83">
                  <c:v>45609</c:v>
                </c:pt>
                <c:pt idx="84">
                  <c:v>45610</c:v>
                </c:pt>
                <c:pt idx="85">
                  <c:v>45611</c:v>
                </c:pt>
                <c:pt idx="86">
                  <c:v>45612</c:v>
                </c:pt>
                <c:pt idx="87">
                  <c:v>45613</c:v>
                </c:pt>
                <c:pt idx="88">
                  <c:v>45614</c:v>
                </c:pt>
                <c:pt idx="89">
                  <c:v>45615</c:v>
                </c:pt>
                <c:pt idx="90">
                  <c:v>45616</c:v>
                </c:pt>
                <c:pt idx="91">
                  <c:v>45617</c:v>
                </c:pt>
                <c:pt idx="92">
                  <c:v>45618</c:v>
                </c:pt>
                <c:pt idx="93">
                  <c:v>45619</c:v>
                </c:pt>
                <c:pt idx="94">
                  <c:v>45620</c:v>
                </c:pt>
                <c:pt idx="95">
                  <c:v>45621</c:v>
                </c:pt>
                <c:pt idx="96">
                  <c:v>45622</c:v>
                </c:pt>
                <c:pt idx="97">
                  <c:v>45623</c:v>
                </c:pt>
                <c:pt idx="98">
                  <c:v>45624</c:v>
                </c:pt>
                <c:pt idx="99">
                  <c:v>45625</c:v>
                </c:pt>
                <c:pt idx="100">
                  <c:v>45626</c:v>
                </c:pt>
                <c:pt idx="101">
                  <c:v>45627</c:v>
                </c:pt>
                <c:pt idx="102">
                  <c:v>45628</c:v>
                </c:pt>
                <c:pt idx="103">
                  <c:v>45629</c:v>
                </c:pt>
                <c:pt idx="104">
                  <c:v>45630</c:v>
                </c:pt>
                <c:pt idx="105">
                  <c:v>45631</c:v>
                </c:pt>
                <c:pt idx="106">
                  <c:v>45632</c:v>
                </c:pt>
                <c:pt idx="107">
                  <c:v>45633</c:v>
                </c:pt>
                <c:pt idx="108">
                  <c:v>45634</c:v>
                </c:pt>
                <c:pt idx="109">
                  <c:v>45635</c:v>
                </c:pt>
                <c:pt idx="110">
                  <c:v>45636</c:v>
                </c:pt>
                <c:pt idx="111">
                  <c:v>45637</c:v>
                </c:pt>
                <c:pt idx="112">
                  <c:v>45638</c:v>
                </c:pt>
                <c:pt idx="113">
                  <c:v>45639</c:v>
                </c:pt>
                <c:pt idx="114">
                  <c:v>45640</c:v>
                </c:pt>
                <c:pt idx="115">
                  <c:v>45641</c:v>
                </c:pt>
                <c:pt idx="116">
                  <c:v>45642</c:v>
                </c:pt>
                <c:pt idx="117">
                  <c:v>45643</c:v>
                </c:pt>
                <c:pt idx="118">
                  <c:v>45644</c:v>
                </c:pt>
                <c:pt idx="119">
                  <c:v>45645</c:v>
                </c:pt>
                <c:pt idx="120">
                  <c:v>45646</c:v>
                </c:pt>
                <c:pt idx="121">
                  <c:v>45647</c:v>
                </c:pt>
                <c:pt idx="122">
                  <c:v>45648</c:v>
                </c:pt>
                <c:pt idx="123">
                  <c:v>45649</c:v>
                </c:pt>
                <c:pt idx="124">
                  <c:v>45650</c:v>
                </c:pt>
                <c:pt idx="125">
                  <c:v>45651</c:v>
                </c:pt>
                <c:pt idx="126">
                  <c:v>45652</c:v>
                </c:pt>
                <c:pt idx="127">
                  <c:v>45653</c:v>
                </c:pt>
                <c:pt idx="128">
                  <c:v>45654</c:v>
                </c:pt>
                <c:pt idx="129">
                  <c:v>45655</c:v>
                </c:pt>
                <c:pt idx="130">
                  <c:v>45656</c:v>
                </c:pt>
                <c:pt idx="131">
                  <c:v>45657</c:v>
                </c:pt>
                <c:pt idx="132">
                  <c:v>45658</c:v>
                </c:pt>
                <c:pt idx="133">
                  <c:v>45659</c:v>
                </c:pt>
                <c:pt idx="134">
                  <c:v>45660</c:v>
                </c:pt>
                <c:pt idx="135">
                  <c:v>45661</c:v>
                </c:pt>
                <c:pt idx="136">
                  <c:v>45662</c:v>
                </c:pt>
                <c:pt idx="137">
                  <c:v>45663</c:v>
                </c:pt>
                <c:pt idx="138">
                  <c:v>45664</c:v>
                </c:pt>
                <c:pt idx="139">
                  <c:v>45665</c:v>
                </c:pt>
                <c:pt idx="140">
                  <c:v>45666</c:v>
                </c:pt>
                <c:pt idx="141">
                  <c:v>45667</c:v>
                </c:pt>
                <c:pt idx="142">
                  <c:v>45668</c:v>
                </c:pt>
                <c:pt idx="143">
                  <c:v>45669</c:v>
                </c:pt>
                <c:pt idx="144">
                  <c:v>45670</c:v>
                </c:pt>
                <c:pt idx="145">
                  <c:v>45671</c:v>
                </c:pt>
                <c:pt idx="146">
                  <c:v>45672</c:v>
                </c:pt>
                <c:pt idx="147">
                  <c:v>45673</c:v>
                </c:pt>
                <c:pt idx="148">
                  <c:v>45674</c:v>
                </c:pt>
                <c:pt idx="149">
                  <c:v>45675</c:v>
                </c:pt>
                <c:pt idx="150">
                  <c:v>45676</c:v>
                </c:pt>
                <c:pt idx="151">
                  <c:v>45677</c:v>
                </c:pt>
                <c:pt idx="152">
                  <c:v>45678</c:v>
                </c:pt>
                <c:pt idx="153">
                  <c:v>45679</c:v>
                </c:pt>
                <c:pt idx="154">
                  <c:v>45680</c:v>
                </c:pt>
                <c:pt idx="155">
                  <c:v>45681</c:v>
                </c:pt>
                <c:pt idx="156">
                  <c:v>45682</c:v>
                </c:pt>
                <c:pt idx="157">
                  <c:v>45683</c:v>
                </c:pt>
                <c:pt idx="158">
                  <c:v>45684</c:v>
                </c:pt>
                <c:pt idx="159">
                  <c:v>45685</c:v>
                </c:pt>
                <c:pt idx="160">
                  <c:v>45686</c:v>
                </c:pt>
                <c:pt idx="161">
                  <c:v>45687</c:v>
                </c:pt>
                <c:pt idx="162">
                  <c:v>45688</c:v>
                </c:pt>
                <c:pt idx="163">
                  <c:v>45689</c:v>
                </c:pt>
                <c:pt idx="164">
                  <c:v>45690</c:v>
                </c:pt>
                <c:pt idx="165">
                  <c:v>45691</c:v>
                </c:pt>
                <c:pt idx="166">
                  <c:v>45692</c:v>
                </c:pt>
                <c:pt idx="167">
                  <c:v>45693</c:v>
                </c:pt>
                <c:pt idx="168">
                  <c:v>45694</c:v>
                </c:pt>
                <c:pt idx="169">
                  <c:v>45695</c:v>
                </c:pt>
                <c:pt idx="170">
                  <c:v>45696</c:v>
                </c:pt>
                <c:pt idx="171">
                  <c:v>45697</c:v>
                </c:pt>
                <c:pt idx="172">
                  <c:v>45698</c:v>
                </c:pt>
                <c:pt idx="173">
                  <c:v>45699</c:v>
                </c:pt>
                <c:pt idx="174">
                  <c:v>45700</c:v>
                </c:pt>
                <c:pt idx="175">
                  <c:v>45701</c:v>
                </c:pt>
                <c:pt idx="176">
                  <c:v>45702</c:v>
                </c:pt>
                <c:pt idx="177">
                  <c:v>45703</c:v>
                </c:pt>
                <c:pt idx="178">
                  <c:v>45704</c:v>
                </c:pt>
                <c:pt idx="179">
                  <c:v>45705</c:v>
                </c:pt>
                <c:pt idx="180">
                  <c:v>45706</c:v>
                </c:pt>
                <c:pt idx="181">
                  <c:v>45707</c:v>
                </c:pt>
                <c:pt idx="182">
                  <c:v>45708</c:v>
                </c:pt>
                <c:pt idx="183">
                  <c:v>45709</c:v>
                </c:pt>
                <c:pt idx="184">
                  <c:v>45710</c:v>
                </c:pt>
                <c:pt idx="185">
                  <c:v>45711</c:v>
                </c:pt>
                <c:pt idx="186">
                  <c:v>45712</c:v>
                </c:pt>
                <c:pt idx="187">
                  <c:v>45713</c:v>
                </c:pt>
                <c:pt idx="188">
                  <c:v>45714</c:v>
                </c:pt>
                <c:pt idx="189">
                  <c:v>45715</c:v>
                </c:pt>
                <c:pt idx="190">
                  <c:v>45716</c:v>
                </c:pt>
                <c:pt idx="191">
                  <c:v>45717</c:v>
                </c:pt>
                <c:pt idx="192">
                  <c:v>45718</c:v>
                </c:pt>
                <c:pt idx="193">
                  <c:v>45719</c:v>
                </c:pt>
                <c:pt idx="194">
                  <c:v>45720</c:v>
                </c:pt>
                <c:pt idx="195">
                  <c:v>45721</c:v>
                </c:pt>
                <c:pt idx="196">
                  <c:v>45722</c:v>
                </c:pt>
                <c:pt idx="197">
                  <c:v>45723</c:v>
                </c:pt>
                <c:pt idx="198">
                  <c:v>45724</c:v>
                </c:pt>
                <c:pt idx="199">
                  <c:v>45725</c:v>
                </c:pt>
                <c:pt idx="200">
                  <c:v>45726</c:v>
                </c:pt>
                <c:pt idx="201">
                  <c:v>45727</c:v>
                </c:pt>
                <c:pt idx="202">
                  <c:v>45728</c:v>
                </c:pt>
                <c:pt idx="203">
                  <c:v>45729</c:v>
                </c:pt>
                <c:pt idx="204">
                  <c:v>45730</c:v>
                </c:pt>
                <c:pt idx="205">
                  <c:v>45731</c:v>
                </c:pt>
                <c:pt idx="206">
                  <c:v>45732</c:v>
                </c:pt>
                <c:pt idx="207">
                  <c:v>45733</c:v>
                </c:pt>
                <c:pt idx="208">
                  <c:v>45734</c:v>
                </c:pt>
                <c:pt idx="209">
                  <c:v>45735</c:v>
                </c:pt>
                <c:pt idx="210">
                  <c:v>45736</c:v>
                </c:pt>
                <c:pt idx="211">
                  <c:v>45737</c:v>
                </c:pt>
                <c:pt idx="212">
                  <c:v>45738</c:v>
                </c:pt>
                <c:pt idx="213">
                  <c:v>45739</c:v>
                </c:pt>
                <c:pt idx="214">
                  <c:v>45740</c:v>
                </c:pt>
                <c:pt idx="215">
                  <c:v>45741</c:v>
                </c:pt>
                <c:pt idx="216">
                  <c:v>45742</c:v>
                </c:pt>
                <c:pt idx="217">
                  <c:v>45743</c:v>
                </c:pt>
                <c:pt idx="218">
                  <c:v>45744</c:v>
                </c:pt>
                <c:pt idx="219">
                  <c:v>45745</c:v>
                </c:pt>
                <c:pt idx="220">
                  <c:v>45746</c:v>
                </c:pt>
                <c:pt idx="221">
                  <c:v>45747</c:v>
                </c:pt>
                <c:pt idx="222">
                  <c:v>45748</c:v>
                </c:pt>
                <c:pt idx="223">
                  <c:v>45749</c:v>
                </c:pt>
                <c:pt idx="224">
                  <c:v>45750</c:v>
                </c:pt>
                <c:pt idx="225">
                  <c:v>45751</c:v>
                </c:pt>
                <c:pt idx="226">
                  <c:v>45752</c:v>
                </c:pt>
                <c:pt idx="227">
                  <c:v>45753</c:v>
                </c:pt>
                <c:pt idx="228">
                  <c:v>45754</c:v>
                </c:pt>
                <c:pt idx="229">
                  <c:v>45755</c:v>
                </c:pt>
                <c:pt idx="230">
                  <c:v>45756</c:v>
                </c:pt>
                <c:pt idx="231">
                  <c:v>45757</c:v>
                </c:pt>
                <c:pt idx="232">
                  <c:v>45758</c:v>
                </c:pt>
                <c:pt idx="233">
                  <c:v>45759</c:v>
                </c:pt>
                <c:pt idx="234">
                  <c:v>45760</c:v>
                </c:pt>
                <c:pt idx="235">
                  <c:v>45761</c:v>
                </c:pt>
                <c:pt idx="236">
                  <c:v>45762</c:v>
                </c:pt>
                <c:pt idx="237">
                  <c:v>45763</c:v>
                </c:pt>
                <c:pt idx="238">
                  <c:v>45764</c:v>
                </c:pt>
                <c:pt idx="239">
                  <c:v>45765</c:v>
                </c:pt>
                <c:pt idx="240">
                  <c:v>45766</c:v>
                </c:pt>
                <c:pt idx="241">
                  <c:v>45767</c:v>
                </c:pt>
                <c:pt idx="242">
                  <c:v>45768</c:v>
                </c:pt>
                <c:pt idx="243">
                  <c:v>45769</c:v>
                </c:pt>
                <c:pt idx="244">
                  <c:v>45770</c:v>
                </c:pt>
                <c:pt idx="245">
                  <c:v>45771</c:v>
                </c:pt>
                <c:pt idx="246">
                  <c:v>45772</c:v>
                </c:pt>
                <c:pt idx="247">
                  <c:v>45773</c:v>
                </c:pt>
                <c:pt idx="248">
                  <c:v>45774</c:v>
                </c:pt>
                <c:pt idx="249">
                  <c:v>45775</c:v>
                </c:pt>
                <c:pt idx="250">
                  <c:v>45776</c:v>
                </c:pt>
                <c:pt idx="251">
                  <c:v>45777</c:v>
                </c:pt>
                <c:pt idx="252">
                  <c:v>45778</c:v>
                </c:pt>
                <c:pt idx="253">
                  <c:v>45779</c:v>
                </c:pt>
                <c:pt idx="254">
                  <c:v>45780</c:v>
                </c:pt>
                <c:pt idx="255">
                  <c:v>45781</c:v>
                </c:pt>
                <c:pt idx="256">
                  <c:v>45782</c:v>
                </c:pt>
                <c:pt idx="257">
                  <c:v>45783</c:v>
                </c:pt>
                <c:pt idx="258">
                  <c:v>45784</c:v>
                </c:pt>
                <c:pt idx="259">
                  <c:v>45785</c:v>
                </c:pt>
                <c:pt idx="260">
                  <c:v>45786</c:v>
                </c:pt>
                <c:pt idx="261">
                  <c:v>45787</c:v>
                </c:pt>
                <c:pt idx="262">
                  <c:v>45788</c:v>
                </c:pt>
                <c:pt idx="263">
                  <c:v>45789</c:v>
                </c:pt>
                <c:pt idx="264">
                  <c:v>45790</c:v>
                </c:pt>
                <c:pt idx="265">
                  <c:v>45791</c:v>
                </c:pt>
                <c:pt idx="266">
                  <c:v>45792</c:v>
                </c:pt>
                <c:pt idx="267">
                  <c:v>45793</c:v>
                </c:pt>
                <c:pt idx="268">
                  <c:v>45794</c:v>
                </c:pt>
                <c:pt idx="269">
                  <c:v>45795</c:v>
                </c:pt>
                <c:pt idx="270">
                  <c:v>45796</c:v>
                </c:pt>
                <c:pt idx="271">
                  <c:v>45797</c:v>
                </c:pt>
                <c:pt idx="272">
                  <c:v>45798</c:v>
                </c:pt>
                <c:pt idx="273">
                  <c:v>45799</c:v>
                </c:pt>
                <c:pt idx="274">
                  <c:v>45800</c:v>
                </c:pt>
                <c:pt idx="275">
                  <c:v>45801</c:v>
                </c:pt>
                <c:pt idx="276">
                  <c:v>45802</c:v>
                </c:pt>
                <c:pt idx="277">
                  <c:v>45803</c:v>
                </c:pt>
                <c:pt idx="278">
                  <c:v>45804</c:v>
                </c:pt>
                <c:pt idx="279">
                  <c:v>45805</c:v>
                </c:pt>
                <c:pt idx="280">
                  <c:v>45806</c:v>
                </c:pt>
                <c:pt idx="281">
                  <c:v>45807</c:v>
                </c:pt>
                <c:pt idx="282">
                  <c:v>45808</c:v>
                </c:pt>
                <c:pt idx="283">
                  <c:v>45809</c:v>
                </c:pt>
                <c:pt idx="284">
                  <c:v>45810</c:v>
                </c:pt>
                <c:pt idx="285">
                  <c:v>45811</c:v>
                </c:pt>
                <c:pt idx="286">
                  <c:v>45812</c:v>
                </c:pt>
                <c:pt idx="287">
                  <c:v>45813</c:v>
                </c:pt>
                <c:pt idx="288">
                  <c:v>45814</c:v>
                </c:pt>
                <c:pt idx="289">
                  <c:v>45815</c:v>
                </c:pt>
                <c:pt idx="290">
                  <c:v>45816</c:v>
                </c:pt>
                <c:pt idx="291">
                  <c:v>45817</c:v>
                </c:pt>
                <c:pt idx="292">
                  <c:v>45818</c:v>
                </c:pt>
                <c:pt idx="293">
                  <c:v>45819</c:v>
                </c:pt>
                <c:pt idx="294">
                  <c:v>45820</c:v>
                </c:pt>
                <c:pt idx="295">
                  <c:v>45821</c:v>
                </c:pt>
                <c:pt idx="296">
                  <c:v>45822</c:v>
                </c:pt>
                <c:pt idx="297">
                  <c:v>45823</c:v>
                </c:pt>
                <c:pt idx="298">
                  <c:v>45824</c:v>
                </c:pt>
                <c:pt idx="299">
                  <c:v>45825</c:v>
                </c:pt>
                <c:pt idx="300">
                  <c:v>45826</c:v>
                </c:pt>
                <c:pt idx="301">
                  <c:v>45827</c:v>
                </c:pt>
                <c:pt idx="302">
                  <c:v>45828</c:v>
                </c:pt>
                <c:pt idx="303">
                  <c:v>45829</c:v>
                </c:pt>
                <c:pt idx="304">
                  <c:v>45830</c:v>
                </c:pt>
                <c:pt idx="305">
                  <c:v>45831</c:v>
                </c:pt>
                <c:pt idx="306">
                  <c:v>45832</c:v>
                </c:pt>
                <c:pt idx="307">
                  <c:v>45833</c:v>
                </c:pt>
                <c:pt idx="308">
                  <c:v>45834</c:v>
                </c:pt>
                <c:pt idx="309">
                  <c:v>45835</c:v>
                </c:pt>
                <c:pt idx="310">
                  <c:v>45836</c:v>
                </c:pt>
                <c:pt idx="311">
                  <c:v>45837</c:v>
                </c:pt>
                <c:pt idx="312">
                  <c:v>45838</c:v>
                </c:pt>
                <c:pt idx="313">
                  <c:v>45839</c:v>
                </c:pt>
                <c:pt idx="314">
                  <c:v>45840</c:v>
                </c:pt>
                <c:pt idx="315">
                  <c:v>45841</c:v>
                </c:pt>
                <c:pt idx="316">
                  <c:v>45842</c:v>
                </c:pt>
                <c:pt idx="317">
                  <c:v>45843</c:v>
                </c:pt>
                <c:pt idx="318">
                  <c:v>45844</c:v>
                </c:pt>
                <c:pt idx="319">
                  <c:v>45845</c:v>
                </c:pt>
                <c:pt idx="320">
                  <c:v>45846</c:v>
                </c:pt>
                <c:pt idx="321">
                  <c:v>45847</c:v>
                </c:pt>
                <c:pt idx="322">
                  <c:v>45848</c:v>
                </c:pt>
                <c:pt idx="323">
                  <c:v>45849</c:v>
                </c:pt>
                <c:pt idx="324">
                  <c:v>45850</c:v>
                </c:pt>
                <c:pt idx="325">
                  <c:v>45851</c:v>
                </c:pt>
                <c:pt idx="326">
                  <c:v>45852</c:v>
                </c:pt>
                <c:pt idx="327">
                  <c:v>45853</c:v>
                </c:pt>
                <c:pt idx="328">
                  <c:v>45854</c:v>
                </c:pt>
                <c:pt idx="329">
                  <c:v>45855</c:v>
                </c:pt>
                <c:pt idx="330">
                  <c:v>45856</c:v>
                </c:pt>
                <c:pt idx="331">
                  <c:v>45857</c:v>
                </c:pt>
                <c:pt idx="332">
                  <c:v>45858</c:v>
                </c:pt>
                <c:pt idx="333">
                  <c:v>45859</c:v>
                </c:pt>
                <c:pt idx="334">
                  <c:v>45860</c:v>
                </c:pt>
                <c:pt idx="335">
                  <c:v>45861</c:v>
                </c:pt>
                <c:pt idx="336">
                  <c:v>45862</c:v>
                </c:pt>
                <c:pt idx="337">
                  <c:v>45863</c:v>
                </c:pt>
                <c:pt idx="338">
                  <c:v>45864</c:v>
                </c:pt>
                <c:pt idx="339">
                  <c:v>45865</c:v>
                </c:pt>
                <c:pt idx="340">
                  <c:v>45866</c:v>
                </c:pt>
                <c:pt idx="341">
                  <c:v>45867</c:v>
                </c:pt>
                <c:pt idx="342">
                  <c:v>45868</c:v>
                </c:pt>
                <c:pt idx="343">
                  <c:v>45869</c:v>
                </c:pt>
                <c:pt idx="344">
                  <c:v>45870</c:v>
                </c:pt>
                <c:pt idx="345">
                  <c:v>45871</c:v>
                </c:pt>
                <c:pt idx="346">
                  <c:v>45872</c:v>
                </c:pt>
                <c:pt idx="347">
                  <c:v>45873</c:v>
                </c:pt>
                <c:pt idx="348">
                  <c:v>45874</c:v>
                </c:pt>
                <c:pt idx="349">
                  <c:v>45875</c:v>
                </c:pt>
                <c:pt idx="350">
                  <c:v>45876</c:v>
                </c:pt>
                <c:pt idx="351">
                  <c:v>45877</c:v>
                </c:pt>
                <c:pt idx="352">
                  <c:v>45878</c:v>
                </c:pt>
                <c:pt idx="353">
                  <c:v>45879</c:v>
                </c:pt>
                <c:pt idx="354">
                  <c:v>45880</c:v>
                </c:pt>
                <c:pt idx="355">
                  <c:v>45881</c:v>
                </c:pt>
                <c:pt idx="356">
                  <c:v>45882</c:v>
                </c:pt>
                <c:pt idx="357">
                  <c:v>45883</c:v>
                </c:pt>
                <c:pt idx="358">
                  <c:v>45884</c:v>
                </c:pt>
                <c:pt idx="359">
                  <c:v>45885</c:v>
                </c:pt>
                <c:pt idx="360">
                  <c:v>45886</c:v>
                </c:pt>
                <c:pt idx="361">
                  <c:v>45887</c:v>
                </c:pt>
                <c:pt idx="362">
                  <c:v>45888</c:v>
                </c:pt>
                <c:pt idx="363">
                  <c:v>45889</c:v>
                </c:pt>
                <c:pt idx="364">
                  <c:v>45890</c:v>
                </c:pt>
                <c:pt idx="365">
                  <c:v>45891</c:v>
                </c:pt>
                <c:pt idx="366">
                  <c:v>45892</c:v>
                </c:pt>
                <c:pt idx="367">
                  <c:v>45893</c:v>
                </c:pt>
                <c:pt idx="368">
                  <c:v>45894</c:v>
                </c:pt>
                <c:pt idx="369">
                  <c:v>45895</c:v>
                </c:pt>
                <c:pt idx="370">
                  <c:v>45896</c:v>
                </c:pt>
                <c:pt idx="371">
                  <c:v>45897</c:v>
                </c:pt>
                <c:pt idx="372">
                  <c:v>45898</c:v>
                </c:pt>
                <c:pt idx="373">
                  <c:v>45899</c:v>
                </c:pt>
                <c:pt idx="374">
                  <c:v>45900</c:v>
                </c:pt>
                <c:pt idx="375">
                  <c:v>45901</c:v>
                </c:pt>
                <c:pt idx="376">
                  <c:v>45902</c:v>
                </c:pt>
                <c:pt idx="377">
                  <c:v>45903</c:v>
                </c:pt>
                <c:pt idx="378">
                  <c:v>45904</c:v>
                </c:pt>
                <c:pt idx="379">
                  <c:v>45905</c:v>
                </c:pt>
                <c:pt idx="380">
                  <c:v>45906</c:v>
                </c:pt>
                <c:pt idx="381">
                  <c:v>45907</c:v>
                </c:pt>
                <c:pt idx="382">
                  <c:v>45908</c:v>
                </c:pt>
                <c:pt idx="383">
                  <c:v>45909</c:v>
                </c:pt>
                <c:pt idx="384">
                  <c:v>45910</c:v>
                </c:pt>
                <c:pt idx="385">
                  <c:v>45911</c:v>
                </c:pt>
                <c:pt idx="386">
                  <c:v>45912</c:v>
                </c:pt>
                <c:pt idx="387">
                  <c:v>45913</c:v>
                </c:pt>
                <c:pt idx="388">
                  <c:v>45914</c:v>
                </c:pt>
                <c:pt idx="389">
                  <c:v>45915</c:v>
                </c:pt>
                <c:pt idx="390">
                  <c:v>45916</c:v>
                </c:pt>
                <c:pt idx="391">
                  <c:v>45917</c:v>
                </c:pt>
                <c:pt idx="392">
                  <c:v>45918</c:v>
                </c:pt>
                <c:pt idx="393">
                  <c:v>45919</c:v>
                </c:pt>
                <c:pt idx="394">
                  <c:v>45920</c:v>
                </c:pt>
                <c:pt idx="395">
                  <c:v>45921</c:v>
                </c:pt>
                <c:pt idx="396">
                  <c:v>45922</c:v>
                </c:pt>
                <c:pt idx="397">
                  <c:v>45923</c:v>
                </c:pt>
                <c:pt idx="398">
                  <c:v>45924</c:v>
                </c:pt>
                <c:pt idx="399">
                  <c:v>45925</c:v>
                </c:pt>
                <c:pt idx="400">
                  <c:v>45926</c:v>
                </c:pt>
                <c:pt idx="401">
                  <c:v>45927</c:v>
                </c:pt>
                <c:pt idx="402">
                  <c:v>45928</c:v>
                </c:pt>
                <c:pt idx="403">
                  <c:v>45929</c:v>
                </c:pt>
                <c:pt idx="404">
                  <c:v>45930</c:v>
                </c:pt>
                <c:pt idx="405">
                  <c:v>45931</c:v>
                </c:pt>
                <c:pt idx="406">
                  <c:v>45932</c:v>
                </c:pt>
                <c:pt idx="407">
                  <c:v>45933</c:v>
                </c:pt>
                <c:pt idx="408">
                  <c:v>45934</c:v>
                </c:pt>
                <c:pt idx="409">
                  <c:v>45935</c:v>
                </c:pt>
                <c:pt idx="410">
                  <c:v>45936</c:v>
                </c:pt>
                <c:pt idx="411">
                  <c:v>45937</c:v>
                </c:pt>
                <c:pt idx="412">
                  <c:v>45938</c:v>
                </c:pt>
                <c:pt idx="413">
                  <c:v>45939</c:v>
                </c:pt>
                <c:pt idx="414">
                  <c:v>45940</c:v>
                </c:pt>
                <c:pt idx="415">
                  <c:v>45941</c:v>
                </c:pt>
                <c:pt idx="416">
                  <c:v>45942</c:v>
                </c:pt>
                <c:pt idx="417">
                  <c:v>45943</c:v>
                </c:pt>
                <c:pt idx="418">
                  <c:v>45944</c:v>
                </c:pt>
                <c:pt idx="419">
                  <c:v>45945</c:v>
                </c:pt>
                <c:pt idx="420">
                  <c:v>45946</c:v>
                </c:pt>
                <c:pt idx="421">
                  <c:v>45947</c:v>
                </c:pt>
                <c:pt idx="422">
                  <c:v>45948</c:v>
                </c:pt>
                <c:pt idx="423">
                  <c:v>45949</c:v>
                </c:pt>
                <c:pt idx="424">
                  <c:v>45950</c:v>
                </c:pt>
                <c:pt idx="425">
                  <c:v>45951</c:v>
                </c:pt>
                <c:pt idx="426">
                  <c:v>45952</c:v>
                </c:pt>
                <c:pt idx="427">
                  <c:v>45953</c:v>
                </c:pt>
                <c:pt idx="428">
                  <c:v>45954</c:v>
                </c:pt>
                <c:pt idx="429">
                  <c:v>45955</c:v>
                </c:pt>
                <c:pt idx="430">
                  <c:v>45956</c:v>
                </c:pt>
                <c:pt idx="431">
                  <c:v>45957</c:v>
                </c:pt>
                <c:pt idx="432">
                  <c:v>45958</c:v>
                </c:pt>
                <c:pt idx="433">
                  <c:v>45959</c:v>
                </c:pt>
                <c:pt idx="434">
                  <c:v>45960</c:v>
                </c:pt>
                <c:pt idx="435">
                  <c:v>45961</c:v>
                </c:pt>
                <c:pt idx="436">
                  <c:v>45962</c:v>
                </c:pt>
                <c:pt idx="437">
                  <c:v>45963</c:v>
                </c:pt>
                <c:pt idx="438">
                  <c:v>45964</c:v>
                </c:pt>
                <c:pt idx="439">
                  <c:v>45965</c:v>
                </c:pt>
                <c:pt idx="440">
                  <c:v>45966</c:v>
                </c:pt>
                <c:pt idx="441">
                  <c:v>45967</c:v>
                </c:pt>
                <c:pt idx="442">
                  <c:v>45968</c:v>
                </c:pt>
                <c:pt idx="443">
                  <c:v>45969</c:v>
                </c:pt>
                <c:pt idx="444">
                  <c:v>45970</c:v>
                </c:pt>
                <c:pt idx="445">
                  <c:v>45971</c:v>
                </c:pt>
                <c:pt idx="446">
                  <c:v>45972</c:v>
                </c:pt>
                <c:pt idx="447">
                  <c:v>45973</c:v>
                </c:pt>
                <c:pt idx="448">
                  <c:v>45974</c:v>
                </c:pt>
                <c:pt idx="449">
                  <c:v>45975</c:v>
                </c:pt>
                <c:pt idx="450">
                  <c:v>45976</c:v>
                </c:pt>
                <c:pt idx="451">
                  <c:v>45977</c:v>
                </c:pt>
                <c:pt idx="452">
                  <c:v>45978</c:v>
                </c:pt>
                <c:pt idx="453">
                  <c:v>45979</c:v>
                </c:pt>
                <c:pt idx="454">
                  <c:v>45980</c:v>
                </c:pt>
                <c:pt idx="455">
                  <c:v>45981</c:v>
                </c:pt>
                <c:pt idx="456">
                  <c:v>45982</c:v>
                </c:pt>
                <c:pt idx="457">
                  <c:v>45983</c:v>
                </c:pt>
                <c:pt idx="458">
                  <c:v>45984</c:v>
                </c:pt>
                <c:pt idx="459">
                  <c:v>45985</c:v>
                </c:pt>
                <c:pt idx="460">
                  <c:v>45986</c:v>
                </c:pt>
                <c:pt idx="461">
                  <c:v>45987</c:v>
                </c:pt>
                <c:pt idx="462">
                  <c:v>45988</c:v>
                </c:pt>
                <c:pt idx="463">
                  <c:v>45989</c:v>
                </c:pt>
                <c:pt idx="464">
                  <c:v>45990</c:v>
                </c:pt>
                <c:pt idx="465">
                  <c:v>45991</c:v>
                </c:pt>
                <c:pt idx="466">
                  <c:v>45992</c:v>
                </c:pt>
                <c:pt idx="467">
                  <c:v>45993</c:v>
                </c:pt>
                <c:pt idx="468">
                  <c:v>45994</c:v>
                </c:pt>
                <c:pt idx="469">
                  <c:v>45995</c:v>
                </c:pt>
                <c:pt idx="470">
                  <c:v>45996</c:v>
                </c:pt>
                <c:pt idx="471">
                  <c:v>45997</c:v>
                </c:pt>
                <c:pt idx="472">
                  <c:v>45998</c:v>
                </c:pt>
                <c:pt idx="473">
                  <c:v>45999</c:v>
                </c:pt>
                <c:pt idx="474">
                  <c:v>46000</c:v>
                </c:pt>
                <c:pt idx="475">
                  <c:v>46001</c:v>
                </c:pt>
                <c:pt idx="476">
                  <c:v>46002</c:v>
                </c:pt>
                <c:pt idx="477">
                  <c:v>46003</c:v>
                </c:pt>
                <c:pt idx="478">
                  <c:v>46004</c:v>
                </c:pt>
                <c:pt idx="479">
                  <c:v>46005</c:v>
                </c:pt>
                <c:pt idx="480">
                  <c:v>46006</c:v>
                </c:pt>
                <c:pt idx="481">
                  <c:v>46007</c:v>
                </c:pt>
                <c:pt idx="482">
                  <c:v>46008</c:v>
                </c:pt>
                <c:pt idx="483">
                  <c:v>46009</c:v>
                </c:pt>
                <c:pt idx="484">
                  <c:v>46010</c:v>
                </c:pt>
                <c:pt idx="485">
                  <c:v>46011</c:v>
                </c:pt>
                <c:pt idx="486">
                  <c:v>46012</c:v>
                </c:pt>
                <c:pt idx="487">
                  <c:v>46013</c:v>
                </c:pt>
                <c:pt idx="488">
                  <c:v>46014</c:v>
                </c:pt>
                <c:pt idx="489">
                  <c:v>46015</c:v>
                </c:pt>
                <c:pt idx="490">
                  <c:v>46016</c:v>
                </c:pt>
                <c:pt idx="491">
                  <c:v>46017</c:v>
                </c:pt>
                <c:pt idx="492">
                  <c:v>46018</c:v>
                </c:pt>
                <c:pt idx="493">
                  <c:v>46019</c:v>
                </c:pt>
                <c:pt idx="494">
                  <c:v>46020</c:v>
                </c:pt>
                <c:pt idx="495">
                  <c:v>46021</c:v>
                </c:pt>
                <c:pt idx="496">
                  <c:v>46022</c:v>
                </c:pt>
                <c:pt idx="497">
                  <c:v>46023</c:v>
                </c:pt>
                <c:pt idx="498">
                  <c:v>46024</c:v>
                </c:pt>
                <c:pt idx="499">
                  <c:v>46025</c:v>
                </c:pt>
                <c:pt idx="500">
                  <c:v>46026</c:v>
                </c:pt>
                <c:pt idx="501">
                  <c:v>46027</c:v>
                </c:pt>
                <c:pt idx="502">
                  <c:v>46028</c:v>
                </c:pt>
                <c:pt idx="503">
                  <c:v>46029</c:v>
                </c:pt>
                <c:pt idx="504">
                  <c:v>46030</c:v>
                </c:pt>
                <c:pt idx="505">
                  <c:v>46031</c:v>
                </c:pt>
                <c:pt idx="506">
                  <c:v>46032</c:v>
                </c:pt>
                <c:pt idx="507">
                  <c:v>46033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46039</c:v>
                </c:pt>
                <c:pt idx="514">
                  <c:v>46040</c:v>
                </c:pt>
                <c:pt idx="515">
                  <c:v>46041</c:v>
                </c:pt>
                <c:pt idx="516">
                  <c:v>46042</c:v>
                </c:pt>
                <c:pt idx="517">
                  <c:v>46043</c:v>
                </c:pt>
                <c:pt idx="518">
                  <c:v>46044</c:v>
                </c:pt>
                <c:pt idx="519">
                  <c:v>46045</c:v>
                </c:pt>
                <c:pt idx="520">
                  <c:v>46046</c:v>
                </c:pt>
                <c:pt idx="521">
                  <c:v>46047</c:v>
                </c:pt>
                <c:pt idx="522">
                  <c:v>46048</c:v>
                </c:pt>
                <c:pt idx="523">
                  <c:v>46049</c:v>
                </c:pt>
                <c:pt idx="524">
                  <c:v>46050</c:v>
                </c:pt>
                <c:pt idx="525">
                  <c:v>46051</c:v>
                </c:pt>
                <c:pt idx="526">
                  <c:v>46052</c:v>
                </c:pt>
                <c:pt idx="527">
                  <c:v>46053</c:v>
                </c:pt>
                <c:pt idx="528">
                  <c:v>46054</c:v>
                </c:pt>
                <c:pt idx="529">
                  <c:v>46055</c:v>
                </c:pt>
                <c:pt idx="530">
                  <c:v>46056</c:v>
                </c:pt>
                <c:pt idx="531">
                  <c:v>46057</c:v>
                </c:pt>
                <c:pt idx="532">
                  <c:v>46058</c:v>
                </c:pt>
                <c:pt idx="533">
                  <c:v>46059</c:v>
                </c:pt>
                <c:pt idx="534">
                  <c:v>46060</c:v>
                </c:pt>
                <c:pt idx="535">
                  <c:v>46061</c:v>
                </c:pt>
                <c:pt idx="536">
                  <c:v>46062</c:v>
                </c:pt>
                <c:pt idx="537">
                  <c:v>46063</c:v>
                </c:pt>
                <c:pt idx="538">
                  <c:v>46064</c:v>
                </c:pt>
                <c:pt idx="539">
                  <c:v>46065</c:v>
                </c:pt>
                <c:pt idx="540">
                  <c:v>46066</c:v>
                </c:pt>
                <c:pt idx="541">
                  <c:v>46067</c:v>
                </c:pt>
                <c:pt idx="542">
                  <c:v>46068</c:v>
                </c:pt>
                <c:pt idx="543">
                  <c:v>46069</c:v>
                </c:pt>
                <c:pt idx="544">
                  <c:v>46070</c:v>
                </c:pt>
                <c:pt idx="545">
                  <c:v>46071</c:v>
                </c:pt>
                <c:pt idx="546">
                  <c:v>46072</c:v>
                </c:pt>
                <c:pt idx="547">
                  <c:v>46073</c:v>
                </c:pt>
                <c:pt idx="548">
                  <c:v>46074</c:v>
                </c:pt>
                <c:pt idx="549">
                  <c:v>46075</c:v>
                </c:pt>
                <c:pt idx="550">
                  <c:v>46076</c:v>
                </c:pt>
                <c:pt idx="551">
                  <c:v>46077</c:v>
                </c:pt>
                <c:pt idx="552">
                  <c:v>46078</c:v>
                </c:pt>
                <c:pt idx="553">
                  <c:v>46079</c:v>
                </c:pt>
              </c:numCache>
            </c:numRef>
          </c:cat>
          <c:val>
            <c:numRef>
              <c:f>'Daily Velocity'!$E$4:$E$557</c:f>
              <c:numCache>
                <c:formatCode>#,##0</c:formatCode>
                <c:ptCount val="554"/>
                <c:pt idx="29">
                  <c:v>42919.833333333336</c:v>
                </c:pt>
                <c:pt idx="30">
                  <c:v>41773.933333333334</c:v>
                </c:pt>
                <c:pt idx="31">
                  <c:v>41688.133333333331</c:v>
                </c:pt>
                <c:pt idx="32">
                  <c:v>42679.533333333333</c:v>
                </c:pt>
                <c:pt idx="33">
                  <c:v>43276.566666666666</c:v>
                </c:pt>
                <c:pt idx="34">
                  <c:v>43083.033333333333</c:v>
                </c:pt>
                <c:pt idx="35">
                  <c:v>42894.133333333331</c:v>
                </c:pt>
                <c:pt idx="36">
                  <c:v>42202.2</c:v>
                </c:pt>
                <c:pt idx="37">
                  <c:v>41101.933333333334</c:v>
                </c:pt>
                <c:pt idx="38">
                  <c:v>40630.866666666669</c:v>
                </c:pt>
                <c:pt idx="39">
                  <c:v>41829.9</c:v>
                </c:pt>
                <c:pt idx="40">
                  <c:v>42725.76666666667</c:v>
                </c:pt>
                <c:pt idx="41">
                  <c:v>43531.833333333336</c:v>
                </c:pt>
                <c:pt idx="42">
                  <c:v>43360.533333333333</c:v>
                </c:pt>
                <c:pt idx="43">
                  <c:v>42653.8</c:v>
                </c:pt>
                <c:pt idx="44">
                  <c:v>41501.566666666666</c:v>
                </c:pt>
                <c:pt idx="45">
                  <c:v>41249.9</c:v>
                </c:pt>
                <c:pt idx="46">
                  <c:v>42278.833333333336</c:v>
                </c:pt>
                <c:pt idx="47">
                  <c:v>42770.433333333334</c:v>
                </c:pt>
                <c:pt idx="48">
                  <c:v>42666.633333333331</c:v>
                </c:pt>
                <c:pt idx="49">
                  <c:v>42580.966666666667</c:v>
                </c:pt>
                <c:pt idx="50">
                  <c:v>42088.1</c:v>
                </c:pt>
                <c:pt idx="51">
                  <c:v>41174.199999999997</c:v>
                </c:pt>
                <c:pt idx="52">
                  <c:v>41052.566666666666</c:v>
                </c:pt>
                <c:pt idx="53">
                  <c:v>41984.7</c:v>
                </c:pt>
                <c:pt idx="54">
                  <c:v>42685.333333333336</c:v>
                </c:pt>
                <c:pt idx="55">
                  <c:v>42702.5</c:v>
                </c:pt>
                <c:pt idx="56">
                  <c:v>42639.166666666664</c:v>
                </c:pt>
                <c:pt idx="57">
                  <c:v>42181.73333333333</c:v>
                </c:pt>
                <c:pt idx="58">
                  <c:v>41274.066666666666</c:v>
                </c:pt>
                <c:pt idx="59">
                  <c:v>41222.566666666666</c:v>
                </c:pt>
                <c:pt idx="60">
                  <c:v>42387.433333333334</c:v>
                </c:pt>
                <c:pt idx="61">
                  <c:v>43061.433333333334</c:v>
                </c:pt>
                <c:pt idx="62">
                  <c:v>43096.133333333331</c:v>
                </c:pt>
                <c:pt idx="63">
                  <c:v>43101.366666666669</c:v>
                </c:pt>
                <c:pt idx="64">
                  <c:v>42640.066666666666</c:v>
                </c:pt>
                <c:pt idx="65">
                  <c:v>41706.166666666664</c:v>
                </c:pt>
                <c:pt idx="66">
                  <c:v>41800.666666666664</c:v>
                </c:pt>
                <c:pt idx="67">
                  <c:v>42863.466666666667</c:v>
                </c:pt>
                <c:pt idx="68">
                  <c:v>43693.333333333336</c:v>
                </c:pt>
                <c:pt idx="69">
                  <c:v>43684.666666666664</c:v>
                </c:pt>
                <c:pt idx="70">
                  <c:v>43578.9</c:v>
                </c:pt>
                <c:pt idx="71">
                  <c:v>42848.666666666664</c:v>
                </c:pt>
                <c:pt idx="72">
                  <c:v>42034.966666666667</c:v>
                </c:pt>
                <c:pt idx="73">
                  <c:v>42052.033333333333</c:v>
                </c:pt>
                <c:pt idx="74">
                  <c:v>42981.366666666669</c:v>
                </c:pt>
                <c:pt idx="75">
                  <c:v>43662.633333333331</c:v>
                </c:pt>
                <c:pt idx="76">
                  <c:v>43637.3</c:v>
                </c:pt>
                <c:pt idx="77">
                  <c:v>43520.033333333333</c:v>
                </c:pt>
                <c:pt idx="78">
                  <c:v>43118.73333333333</c:v>
                </c:pt>
                <c:pt idx="79">
                  <c:v>42062.76666666667</c:v>
                </c:pt>
                <c:pt idx="80">
                  <c:v>42054.833333333336</c:v>
                </c:pt>
                <c:pt idx="81">
                  <c:v>42918.033333333333</c:v>
                </c:pt>
                <c:pt idx="82">
                  <c:v>43509.599999999999</c:v>
                </c:pt>
                <c:pt idx="83">
                  <c:v>43630.966666666667</c:v>
                </c:pt>
                <c:pt idx="84">
                  <c:v>43378.133333333331</c:v>
                </c:pt>
                <c:pt idx="85">
                  <c:v>42816.866666666669</c:v>
                </c:pt>
                <c:pt idx="86">
                  <c:v>41729.4</c:v>
                </c:pt>
                <c:pt idx="87">
                  <c:v>41744.1</c:v>
                </c:pt>
                <c:pt idx="88">
                  <c:v>42674.76666666667</c:v>
                </c:pt>
                <c:pt idx="89">
                  <c:v>43212.633333333331</c:v>
                </c:pt>
                <c:pt idx="90">
                  <c:v>43253.5</c:v>
                </c:pt>
                <c:pt idx="91">
                  <c:v>43035.866666666669</c:v>
                </c:pt>
                <c:pt idx="92">
                  <c:v>42699.533333333333</c:v>
                </c:pt>
                <c:pt idx="93">
                  <c:v>41659.333333333336</c:v>
                </c:pt>
                <c:pt idx="94">
                  <c:v>41744.73333333333</c:v>
                </c:pt>
                <c:pt idx="95">
                  <c:v>42611.566666666666</c:v>
                </c:pt>
                <c:pt idx="96">
                  <c:v>43202.8</c:v>
                </c:pt>
                <c:pt idx="97">
                  <c:v>42929.033333333333</c:v>
                </c:pt>
                <c:pt idx="98">
                  <c:v>42013.533333333333</c:v>
                </c:pt>
                <c:pt idx="99">
                  <c:v>41125.133333333331</c:v>
                </c:pt>
                <c:pt idx="100">
                  <c:v>40147.4</c:v>
                </c:pt>
                <c:pt idx="101">
                  <c:v>40493.199999999997</c:v>
                </c:pt>
                <c:pt idx="102">
                  <c:v>41392</c:v>
                </c:pt>
                <c:pt idx="103">
                  <c:v>41969.433333333334</c:v>
                </c:pt>
                <c:pt idx="104">
                  <c:v>42284.76666666667</c:v>
                </c:pt>
                <c:pt idx="105">
                  <c:v>42377.73333333333</c:v>
                </c:pt>
                <c:pt idx="106">
                  <c:v>42260.433333333334</c:v>
                </c:pt>
                <c:pt idx="107">
                  <c:v>41328.933333333334</c:v>
                </c:pt>
                <c:pt idx="108">
                  <c:v>41449.76666666667</c:v>
                </c:pt>
                <c:pt idx="109">
                  <c:v>42667.066666666666</c:v>
                </c:pt>
                <c:pt idx="110">
                  <c:v>43346.76666666667</c:v>
                </c:pt>
                <c:pt idx="111">
                  <c:v>43691.76666666667</c:v>
                </c:pt>
                <c:pt idx="112">
                  <c:v>43852.433333333334</c:v>
                </c:pt>
                <c:pt idx="113">
                  <c:v>43405.066666666666</c:v>
                </c:pt>
                <c:pt idx="114">
                  <c:v>42611.7</c:v>
                </c:pt>
                <c:pt idx="115">
                  <c:v>42756.333333333336</c:v>
                </c:pt>
                <c:pt idx="116">
                  <c:v>43861.466666666667</c:v>
                </c:pt>
                <c:pt idx="117">
                  <c:v>44542.1</c:v>
                </c:pt>
                <c:pt idx="118">
                  <c:v>44852.4</c:v>
                </c:pt>
                <c:pt idx="119">
                  <c:v>44891.366666666669</c:v>
                </c:pt>
                <c:pt idx="120">
                  <c:v>44674.866666666669</c:v>
                </c:pt>
                <c:pt idx="121">
                  <c:v>43781.166666666664</c:v>
                </c:pt>
                <c:pt idx="122">
                  <c:v>43725.8</c:v>
                </c:pt>
                <c:pt idx="123">
                  <c:v>44594.933333333334</c:v>
                </c:pt>
                <c:pt idx="124">
                  <c:v>43823</c:v>
                </c:pt>
                <c:pt idx="125">
                  <c:v>42936.76666666667</c:v>
                </c:pt>
                <c:pt idx="126">
                  <c:v>42920.866666666669</c:v>
                </c:pt>
                <c:pt idx="127">
                  <c:v>42885.23333333333</c:v>
                </c:pt>
                <c:pt idx="128">
                  <c:v>42776.333333333336</c:v>
                </c:pt>
                <c:pt idx="129">
                  <c:v>43372.466666666667</c:v>
                </c:pt>
                <c:pt idx="130">
                  <c:v>44480</c:v>
                </c:pt>
                <c:pt idx="131">
                  <c:v>43959.666666666664</c:v>
                </c:pt>
                <c:pt idx="132">
                  <c:v>43136.9</c:v>
                </c:pt>
                <c:pt idx="133">
                  <c:v>43137.73333333333</c:v>
                </c:pt>
                <c:pt idx="134">
                  <c:v>42767.4</c:v>
                </c:pt>
                <c:pt idx="135">
                  <c:v>41776.966666666667</c:v>
                </c:pt>
                <c:pt idx="136">
                  <c:v>41901.533333333333</c:v>
                </c:pt>
                <c:pt idx="137">
                  <c:v>43157.9</c:v>
                </c:pt>
                <c:pt idx="138">
                  <c:v>43718</c:v>
                </c:pt>
                <c:pt idx="139">
                  <c:v>43885.9</c:v>
                </c:pt>
                <c:pt idx="140">
                  <c:v>43998</c:v>
                </c:pt>
                <c:pt idx="141">
                  <c:v>43592.133333333331</c:v>
                </c:pt>
                <c:pt idx="142">
                  <c:v>42463.866666666669</c:v>
                </c:pt>
                <c:pt idx="143">
                  <c:v>42887.6</c:v>
                </c:pt>
                <c:pt idx="144">
                  <c:v>44060.066666666666</c:v>
                </c:pt>
                <c:pt idx="145">
                  <c:v>44664</c:v>
                </c:pt>
                <c:pt idx="146">
                  <c:v>44770.866666666669</c:v>
                </c:pt>
                <c:pt idx="147">
                  <c:v>44753.666666666664</c:v>
                </c:pt>
                <c:pt idx="148">
                  <c:v>44366.966666666667</c:v>
                </c:pt>
                <c:pt idx="149">
                  <c:v>43497.133333333331</c:v>
                </c:pt>
                <c:pt idx="150">
                  <c:v>43562.400000000001</c:v>
                </c:pt>
                <c:pt idx="151">
                  <c:v>44573.23333333333</c:v>
                </c:pt>
                <c:pt idx="152">
                  <c:v>44900.26666666667</c:v>
                </c:pt>
                <c:pt idx="153">
                  <c:v>45144.3</c:v>
                </c:pt>
                <c:pt idx="154">
                  <c:v>46146.866666666669</c:v>
                </c:pt>
                <c:pt idx="155">
                  <c:v>46292.9</c:v>
                </c:pt>
                <c:pt idx="156">
                  <c:v>45283.333333333336</c:v>
                </c:pt>
                <c:pt idx="157">
                  <c:v>45655.73333333333</c:v>
                </c:pt>
                <c:pt idx="158">
                  <c:v>46701.3</c:v>
                </c:pt>
                <c:pt idx="159">
                  <c:v>47312.333333333336</c:v>
                </c:pt>
                <c:pt idx="160">
                  <c:v>47838.466666666667</c:v>
                </c:pt>
                <c:pt idx="161">
                  <c:v>49419.866666666669</c:v>
                </c:pt>
                <c:pt idx="162">
                  <c:v>49698.5</c:v>
                </c:pt>
                <c:pt idx="163">
                  <c:v>48829.8</c:v>
                </c:pt>
                <c:pt idx="164">
                  <c:v>49243.9</c:v>
                </c:pt>
                <c:pt idx="165">
                  <c:v>50420.966666666667</c:v>
                </c:pt>
                <c:pt idx="166">
                  <c:v>50671.433333333334</c:v>
                </c:pt>
                <c:pt idx="167">
                  <c:v>50861.866666666669</c:v>
                </c:pt>
                <c:pt idx="168">
                  <c:v>51508.7</c:v>
                </c:pt>
                <c:pt idx="169">
                  <c:v>50457.5</c:v>
                </c:pt>
                <c:pt idx="170">
                  <c:v>49564.666666666664</c:v>
                </c:pt>
                <c:pt idx="171">
                  <c:v>49943.633333333331</c:v>
                </c:pt>
                <c:pt idx="172">
                  <c:v>51257.599999999999</c:v>
                </c:pt>
                <c:pt idx="173">
                  <c:v>51692.4</c:v>
                </c:pt>
                <c:pt idx="174">
                  <c:v>51808.633333333331</c:v>
                </c:pt>
                <c:pt idx="175">
                  <c:v>52514.1</c:v>
                </c:pt>
                <c:pt idx="176">
                  <c:v>51672.76666666667</c:v>
                </c:pt>
                <c:pt idx="177">
                  <c:v>50837.966666666667</c:v>
                </c:pt>
                <c:pt idx="178">
                  <c:v>51298.133333333331</c:v>
                </c:pt>
                <c:pt idx="179">
                  <c:v>52511.9</c:v>
                </c:pt>
                <c:pt idx="180">
                  <c:v>53256.6</c:v>
                </c:pt>
                <c:pt idx="181">
                  <c:v>53714.8</c:v>
                </c:pt>
                <c:pt idx="182">
                  <c:v>54046.966666666667</c:v>
                </c:pt>
                <c:pt idx="183">
                  <c:v>53190.133333333331</c:v>
                </c:pt>
                <c:pt idx="184">
                  <c:v>52689.26666666667</c:v>
                </c:pt>
                <c:pt idx="185">
                  <c:v>53554.76666666667</c:v>
                </c:pt>
                <c:pt idx="186">
                  <c:v>54591.666666666664</c:v>
                </c:pt>
                <c:pt idx="187">
                  <c:v>54686.866666666669</c:v>
                </c:pt>
                <c:pt idx="188">
                  <c:v>54924.23333333333</c:v>
                </c:pt>
                <c:pt idx="189">
                  <c:v>54756.666666666664</c:v>
                </c:pt>
                <c:pt idx="190">
                  <c:v>53471.466666666667</c:v>
                </c:pt>
                <c:pt idx="191">
                  <c:v>51945.4</c:v>
                </c:pt>
                <c:pt idx="192">
                  <c:v>52560.466666666667</c:v>
                </c:pt>
                <c:pt idx="193">
                  <c:v>53669.2</c:v>
                </c:pt>
                <c:pt idx="194">
                  <c:v>53795.73333333333</c:v>
                </c:pt>
                <c:pt idx="195">
                  <c:v>53733.3</c:v>
                </c:pt>
                <c:pt idx="196">
                  <c:v>53791.033333333333</c:v>
                </c:pt>
                <c:pt idx="197">
                  <c:v>52826.76666666667</c:v>
                </c:pt>
                <c:pt idx="198">
                  <c:v>51247.633333333331</c:v>
                </c:pt>
                <c:pt idx="199">
                  <c:v>52136.533333333333</c:v>
                </c:pt>
                <c:pt idx="200">
                  <c:v>53126.933333333334</c:v>
                </c:pt>
                <c:pt idx="201">
                  <c:v>53293.9</c:v>
                </c:pt>
                <c:pt idx="202">
                  <c:v>53244.933333333334</c:v>
                </c:pt>
                <c:pt idx="203">
                  <c:v>53000.333333333336</c:v>
                </c:pt>
                <c:pt idx="204">
                  <c:v>51790.5</c:v>
                </c:pt>
                <c:pt idx="205">
                  <c:v>50207.366666666669</c:v>
                </c:pt>
                <c:pt idx="206">
                  <c:v>50983.166666666664</c:v>
                </c:pt>
                <c:pt idx="207">
                  <c:v>51938.8</c:v>
                </c:pt>
                <c:pt idx="208">
                  <c:v>51976.566666666666</c:v>
                </c:pt>
                <c:pt idx="209">
                  <c:v>51875.6</c:v>
                </c:pt>
                <c:pt idx="210">
                  <c:v>51444.466666666667</c:v>
                </c:pt>
                <c:pt idx="211">
                  <c:v>50375.1</c:v>
                </c:pt>
                <c:pt idx="212">
                  <c:v>49353.2</c:v>
                </c:pt>
                <c:pt idx="213">
                  <c:v>49877.5</c:v>
                </c:pt>
                <c:pt idx="214">
                  <c:v>50960.5</c:v>
                </c:pt>
                <c:pt idx="215">
                  <c:v>51346.833333333336</c:v>
                </c:pt>
                <c:pt idx="216">
                  <c:v>51360.23333333333</c:v>
                </c:pt>
                <c:pt idx="217">
                  <c:v>51306.866666666669</c:v>
                </c:pt>
                <c:pt idx="218">
                  <c:v>50419.333333333336</c:v>
                </c:pt>
                <c:pt idx="219">
                  <c:v>49549.966666666667</c:v>
                </c:pt>
                <c:pt idx="220">
                  <c:v>50181.166666666664</c:v>
                </c:pt>
                <c:pt idx="221">
                  <c:v>51353.333333333336</c:v>
                </c:pt>
                <c:pt idx="222">
                  <c:v>51606.5</c:v>
                </c:pt>
                <c:pt idx="223">
                  <c:v>51485.26666666667</c:v>
                </c:pt>
                <c:pt idx="224">
                  <c:v>51493.633333333331</c:v>
                </c:pt>
                <c:pt idx="225">
                  <c:v>50567.6</c:v>
                </c:pt>
                <c:pt idx="226">
                  <c:v>49481.566666666666</c:v>
                </c:pt>
                <c:pt idx="227">
                  <c:v>50163.366666666669</c:v>
                </c:pt>
                <c:pt idx="228">
                  <c:v>51269.066666666666</c:v>
                </c:pt>
                <c:pt idx="229">
                  <c:v>51524.1</c:v>
                </c:pt>
                <c:pt idx="230">
                  <c:v>51450.26666666667</c:v>
                </c:pt>
                <c:pt idx="231">
                  <c:v>51364.4</c:v>
                </c:pt>
                <c:pt idx="232">
                  <c:v>50391.73333333333</c:v>
                </c:pt>
                <c:pt idx="233">
                  <c:v>49337.8</c:v>
                </c:pt>
                <c:pt idx="234">
                  <c:v>50300.73333333333</c:v>
                </c:pt>
                <c:pt idx="235">
                  <c:v>51431.633333333331</c:v>
                </c:pt>
                <c:pt idx="236">
                  <c:v>51772.366666666669</c:v>
                </c:pt>
                <c:pt idx="237">
                  <c:v>51763.9</c:v>
                </c:pt>
                <c:pt idx="238">
                  <c:v>52062.133333333331</c:v>
                </c:pt>
                <c:pt idx="239">
                  <c:v>51142.5</c:v>
                </c:pt>
                <c:pt idx="240">
                  <c:v>50272.366666666669</c:v>
                </c:pt>
                <c:pt idx="241">
                  <c:v>50882.73333333333</c:v>
                </c:pt>
                <c:pt idx="242">
                  <c:v>51789.966666666667</c:v>
                </c:pt>
                <c:pt idx="243">
                  <c:v>52312.366666666669</c:v>
                </c:pt>
                <c:pt idx="244">
                  <c:v>52253.8</c:v>
                </c:pt>
                <c:pt idx="245">
                  <c:v>52117.8</c:v>
                </c:pt>
                <c:pt idx="246">
                  <c:v>51826.3</c:v>
                </c:pt>
                <c:pt idx="247">
                  <c:v>50952.066666666666</c:v>
                </c:pt>
                <c:pt idx="248">
                  <c:v>51620.800000000003</c:v>
                </c:pt>
                <c:pt idx="249">
                  <c:v>52526.5</c:v>
                </c:pt>
                <c:pt idx="250">
                  <c:v>53076.5</c:v>
                </c:pt>
                <c:pt idx="251">
                  <c:v>53467.9</c:v>
                </c:pt>
                <c:pt idx="252">
                  <c:v>53801.5</c:v>
                </c:pt>
                <c:pt idx="253">
                  <c:v>53014.7</c:v>
                </c:pt>
                <c:pt idx="254">
                  <c:v>52060.133333333331</c:v>
                </c:pt>
                <c:pt idx="255">
                  <c:v>52928.26666666667</c:v>
                </c:pt>
                <c:pt idx="256">
                  <c:v>54159.966666666667</c:v>
                </c:pt>
                <c:pt idx="257">
                  <c:v>54641.8</c:v>
                </c:pt>
                <c:pt idx="258">
                  <c:v>54961.1</c:v>
                </c:pt>
                <c:pt idx="259">
                  <c:v>55328.933333333334</c:v>
                </c:pt>
                <c:pt idx="260">
                  <c:v>54730.2</c:v>
                </c:pt>
                <c:pt idx="261">
                  <c:v>53884.23333333333</c:v>
                </c:pt>
                <c:pt idx="262">
                  <c:v>54693.866666666669</c:v>
                </c:pt>
                <c:pt idx="263">
                  <c:v>55860.033333333333</c:v>
                </c:pt>
                <c:pt idx="264">
                  <c:v>56187.066666666666</c:v>
                </c:pt>
                <c:pt idx="265">
                  <c:v>56595.73333333333</c:v>
                </c:pt>
                <c:pt idx="266">
                  <c:v>56655.166666666664</c:v>
                </c:pt>
                <c:pt idx="267">
                  <c:v>55811.033333333333</c:v>
                </c:pt>
                <c:pt idx="268">
                  <c:v>54505.7</c:v>
                </c:pt>
                <c:pt idx="269">
                  <c:v>55329.433333333334</c:v>
                </c:pt>
                <c:pt idx="270">
                  <c:v>56438.533333333333</c:v>
                </c:pt>
                <c:pt idx="271">
                  <c:v>57012.866666666669</c:v>
                </c:pt>
                <c:pt idx="272">
                  <c:v>57299.23333333333</c:v>
                </c:pt>
                <c:pt idx="273">
                  <c:v>57616.800000000003</c:v>
                </c:pt>
                <c:pt idx="274">
                  <c:v>56867.666666666664</c:v>
                </c:pt>
                <c:pt idx="275">
                  <c:v>55851.23333333333</c:v>
                </c:pt>
                <c:pt idx="276">
                  <c:v>56210.466666666667</c:v>
                </c:pt>
                <c:pt idx="277">
                  <c:v>56135.533333333333</c:v>
                </c:pt>
                <c:pt idx="278">
                  <c:v>56309.433333333334</c:v>
                </c:pt>
                <c:pt idx="279">
                  <c:v>56685.26666666667</c:v>
                </c:pt>
                <c:pt idx="280">
                  <c:v>56820.466666666667</c:v>
                </c:pt>
                <c:pt idx="281">
                  <c:v>55574.433333333334</c:v>
                </c:pt>
                <c:pt idx="282">
                  <c:v>54297</c:v>
                </c:pt>
                <c:pt idx="283">
                  <c:v>55017.666666666664</c:v>
                </c:pt>
                <c:pt idx="284">
                  <c:v>56203.199999999997</c:v>
                </c:pt>
                <c:pt idx="285">
                  <c:v>56550.066666666666</c:v>
                </c:pt>
                <c:pt idx="286">
                  <c:v>56656.366666666669</c:v>
                </c:pt>
                <c:pt idx="287">
                  <c:v>56723</c:v>
                </c:pt>
                <c:pt idx="288">
                  <c:v>55503.6</c:v>
                </c:pt>
                <c:pt idx="289">
                  <c:v>54132.5</c:v>
                </c:pt>
                <c:pt idx="290">
                  <c:v>54691.866666666669</c:v>
                </c:pt>
                <c:pt idx="291">
                  <c:v>55786.2</c:v>
                </c:pt>
                <c:pt idx="292">
                  <c:v>56122.23333333333</c:v>
                </c:pt>
                <c:pt idx="293">
                  <c:v>56382</c:v>
                </c:pt>
                <c:pt idx="294">
                  <c:v>56235.9</c:v>
                </c:pt>
                <c:pt idx="295">
                  <c:v>54739.199999999997</c:v>
                </c:pt>
                <c:pt idx="296">
                  <c:v>53649.23333333333</c:v>
                </c:pt>
                <c:pt idx="297">
                  <c:v>54342.76666666667</c:v>
                </c:pt>
                <c:pt idx="298">
                  <c:v>55307.76666666667</c:v>
                </c:pt>
                <c:pt idx="299">
                  <c:v>55730.7</c:v>
                </c:pt>
                <c:pt idx="300">
                  <c:v>55757.26666666667</c:v>
                </c:pt>
                <c:pt idx="301">
                  <c:v>55502.033333333333</c:v>
                </c:pt>
                <c:pt idx="302">
                  <c:v>54296.26666666667</c:v>
                </c:pt>
                <c:pt idx="303">
                  <c:v>52957.5</c:v>
                </c:pt>
                <c:pt idx="304">
                  <c:v>53641.1</c:v>
                </c:pt>
                <c:pt idx="305">
                  <c:v>54763.133333333331</c:v>
                </c:pt>
                <c:pt idx="306">
                  <c:v>54984.800000000003</c:v>
                </c:pt>
                <c:pt idx="307">
                  <c:v>56210.1</c:v>
                </c:pt>
                <c:pt idx="308">
                  <c:v>56410.400000000001</c:v>
                </c:pt>
                <c:pt idx="309">
                  <c:v>55043.433333333334</c:v>
                </c:pt>
                <c:pt idx="310">
                  <c:v>53688.966666666667</c:v>
                </c:pt>
                <c:pt idx="311">
                  <c:v>54560.966666666667</c:v>
                </c:pt>
                <c:pt idx="312">
                  <c:v>55542.966666666667</c:v>
                </c:pt>
                <c:pt idx="313">
                  <c:v>55700.800000000003</c:v>
                </c:pt>
                <c:pt idx="314">
                  <c:v>55565.933333333334</c:v>
                </c:pt>
                <c:pt idx="315">
                  <c:v>55231.76666666667</c:v>
                </c:pt>
                <c:pt idx="316">
                  <c:v>53948.2</c:v>
                </c:pt>
                <c:pt idx="317">
                  <c:v>52399.7</c:v>
                </c:pt>
                <c:pt idx="318">
                  <c:v>53079.9</c:v>
                </c:pt>
                <c:pt idx="319">
                  <c:v>53868.866666666669</c:v>
                </c:pt>
                <c:pt idx="320">
                  <c:v>54391.26666666667</c:v>
                </c:pt>
                <c:pt idx="321">
                  <c:v>54211.966666666667</c:v>
                </c:pt>
                <c:pt idx="322">
                  <c:v>54067.566666666666</c:v>
                </c:pt>
                <c:pt idx="323">
                  <c:v>52663.9</c:v>
                </c:pt>
                <c:pt idx="324">
                  <c:v>51538.666666666664</c:v>
                </c:pt>
                <c:pt idx="325">
                  <c:v>52410.666666666664</c:v>
                </c:pt>
                <c:pt idx="326">
                  <c:v>53422.6</c:v>
                </c:pt>
                <c:pt idx="327">
                  <c:v>53777.9</c:v>
                </c:pt>
                <c:pt idx="328">
                  <c:v>53861.4</c:v>
                </c:pt>
                <c:pt idx="329">
                  <c:v>53611.199999999997</c:v>
                </c:pt>
                <c:pt idx="330">
                  <c:v>52428.666666666664</c:v>
                </c:pt>
                <c:pt idx="331">
                  <c:v>51357</c:v>
                </c:pt>
                <c:pt idx="332">
                  <c:v>52224.1</c:v>
                </c:pt>
                <c:pt idx="333">
                  <c:v>53225.566666666666</c:v>
                </c:pt>
                <c:pt idx="334">
                  <c:v>53346.1</c:v>
                </c:pt>
                <c:pt idx="335">
                  <c:v>53475.5</c:v>
                </c:pt>
                <c:pt idx="336">
                  <c:v>53469.833333333336</c:v>
                </c:pt>
                <c:pt idx="337">
                  <c:v>52362.433333333334</c:v>
                </c:pt>
                <c:pt idx="338">
                  <c:v>51158</c:v>
                </c:pt>
                <c:pt idx="339">
                  <c:v>52213.833333333336</c:v>
                </c:pt>
                <c:pt idx="340">
                  <c:v>53341.2</c:v>
                </c:pt>
                <c:pt idx="341">
                  <c:v>53547.3</c:v>
                </c:pt>
                <c:pt idx="342">
                  <c:v>53570.466666666667</c:v>
                </c:pt>
                <c:pt idx="343">
                  <c:v>53690.76666666667</c:v>
                </c:pt>
                <c:pt idx="344">
                  <c:v>52674.76666666667</c:v>
                </c:pt>
                <c:pt idx="345">
                  <c:v>51640.566666666666</c:v>
                </c:pt>
                <c:pt idx="346">
                  <c:v>52570.333333333336</c:v>
                </c:pt>
                <c:pt idx="347">
                  <c:v>53870.333333333336</c:v>
                </c:pt>
                <c:pt idx="348">
                  <c:v>54162.76666666667</c:v>
                </c:pt>
                <c:pt idx="349">
                  <c:v>54481.599999999999</c:v>
                </c:pt>
                <c:pt idx="350">
                  <c:v>54323.3</c:v>
                </c:pt>
                <c:pt idx="351">
                  <c:v>53354.23333333333</c:v>
                </c:pt>
                <c:pt idx="352">
                  <c:v>52348.2</c:v>
                </c:pt>
                <c:pt idx="353">
                  <c:v>53429.666666666664</c:v>
                </c:pt>
                <c:pt idx="354">
                  <c:v>54664.1</c:v>
                </c:pt>
                <c:pt idx="355">
                  <c:v>55016.9</c:v>
                </c:pt>
                <c:pt idx="356">
                  <c:v>54978.26666666667</c:v>
                </c:pt>
                <c:pt idx="357">
                  <c:v>55099.166666666664</c:v>
                </c:pt>
                <c:pt idx="358">
                  <c:v>54180.366666666669</c:v>
                </c:pt>
                <c:pt idx="359">
                  <c:v>53152.5</c:v>
                </c:pt>
                <c:pt idx="360">
                  <c:v>54139.833333333336</c:v>
                </c:pt>
                <c:pt idx="361">
                  <c:v>55356.366666666669</c:v>
                </c:pt>
                <c:pt idx="362">
                  <c:v>55680.2</c:v>
                </c:pt>
                <c:pt idx="363">
                  <c:v>55801</c:v>
                </c:pt>
                <c:pt idx="364">
                  <c:v>55875.566666666666</c:v>
                </c:pt>
                <c:pt idx="365">
                  <c:v>54653.7</c:v>
                </c:pt>
                <c:pt idx="366">
                  <c:v>53588.1</c:v>
                </c:pt>
                <c:pt idx="367">
                  <c:v>54506.7</c:v>
                </c:pt>
                <c:pt idx="368">
                  <c:v>55824.033333333333</c:v>
                </c:pt>
                <c:pt idx="369">
                  <c:v>56020.6</c:v>
                </c:pt>
                <c:pt idx="370">
                  <c:v>55998.1</c:v>
                </c:pt>
                <c:pt idx="371">
                  <c:v>56060.433333333334</c:v>
                </c:pt>
                <c:pt idx="372">
                  <c:v>55131.7</c:v>
                </c:pt>
                <c:pt idx="373">
                  <c:v>53822.866666666669</c:v>
                </c:pt>
                <c:pt idx="374">
                  <c:v>54517.033333333333</c:v>
                </c:pt>
                <c:pt idx="375">
                  <c:v>54758.833333333336</c:v>
                </c:pt>
                <c:pt idx="376">
                  <c:v>54712.6</c:v>
                </c:pt>
                <c:pt idx="377">
                  <c:v>54796.5</c:v>
                </c:pt>
                <c:pt idx="378">
                  <c:v>54947.1</c:v>
                </c:pt>
                <c:pt idx="379">
                  <c:v>53804.26666666667</c:v>
                </c:pt>
                <c:pt idx="380">
                  <c:v>52534.9</c:v>
                </c:pt>
                <c:pt idx="381">
                  <c:v>53463.73333333333</c:v>
                </c:pt>
                <c:pt idx="382">
                  <c:v>54662.566666666666</c:v>
                </c:pt>
                <c:pt idx="383">
                  <c:v>55078.76666666667</c:v>
                </c:pt>
                <c:pt idx="384">
                  <c:v>55389.4</c:v>
                </c:pt>
                <c:pt idx="385">
                  <c:v>55728.6</c:v>
                </c:pt>
                <c:pt idx="386">
                  <c:v>54613.533333333333</c:v>
                </c:pt>
                <c:pt idx="387">
                  <c:v>53282.966666666667</c:v>
                </c:pt>
                <c:pt idx="388">
                  <c:v>54130.2</c:v>
                </c:pt>
                <c:pt idx="389">
                  <c:v>55333.833333333336</c:v>
                </c:pt>
                <c:pt idx="390">
                  <c:v>55697.933333333334</c:v>
                </c:pt>
                <c:pt idx="391">
                  <c:v>55889.7</c:v>
                </c:pt>
                <c:pt idx="392">
                  <c:v>55947.933333333334</c:v>
                </c:pt>
                <c:pt idx="393">
                  <c:v>54816.033333333333</c:v>
                </c:pt>
                <c:pt idx="394">
                  <c:v>53727.133333333331</c:v>
                </c:pt>
                <c:pt idx="395">
                  <c:v>54748.26666666667</c:v>
                </c:pt>
                <c:pt idx="396">
                  <c:v>55809.1</c:v>
                </c:pt>
                <c:pt idx="397">
                  <c:v>56051.433333333334</c:v>
                </c:pt>
                <c:pt idx="398">
                  <c:v>56087.26666666667</c:v>
                </c:pt>
                <c:pt idx="399">
                  <c:v>56160.566666666666</c:v>
                </c:pt>
                <c:pt idx="400">
                  <c:v>55076.800000000003</c:v>
                </c:pt>
                <c:pt idx="401">
                  <c:v>53861.466666666667</c:v>
                </c:pt>
                <c:pt idx="402">
                  <c:v>54512.933333333334</c:v>
                </c:pt>
                <c:pt idx="403">
                  <c:v>55782.833333333336</c:v>
                </c:pt>
                <c:pt idx="404">
                  <c:v>56131.333333333336</c:v>
                </c:pt>
                <c:pt idx="405">
                  <c:v>57226</c:v>
                </c:pt>
                <c:pt idx="406">
                  <c:v>57449.533333333333</c:v>
                </c:pt>
                <c:pt idx="407">
                  <c:v>56136.166666666664</c:v>
                </c:pt>
                <c:pt idx="408">
                  <c:v>54837.26666666667</c:v>
                </c:pt>
                <c:pt idx="409">
                  <c:v>55785.1</c:v>
                </c:pt>
                <c:pt idx="410">
                  <c:v>56847.133333333331</c:v>
                </c:pt>
                <c:pt idx="411">
                  <c:v>57186.866666666669</c:v>
                </c:pt>
                <c:pt idx="412">
                  <c:v>57372.9</c:v>
                </c:pt>
                <c:pt idx="413">
                  <c:v>57218.26666666667</c:v>
                </c:pt>
                <c:pt idx="414">
                  <c:v>55756.033333333333</c:v>
                </c:pt>
                <c:pt idx="415">
                  <c:v>54169.666666666664</c:v>
                </c:pt>
                <c:pt idx="416">
                  <c:v>55202.333333333336</c:v>
                </c:pt>
                <c:pt idx="417">
                  <c:v>56466.966666666667</c:v>
                </c:pt>
                <c:pt idx="418">
                  <c:v>56734.033333333333</c:v>
                </c:pt>
                <c:pt idx="419">
                  <c:v>56709.133333333331</c:v>
                </c:pt>
                <c:pt idx="420">
                  <c:v>56916.9</c:v>
                </c:pt>
                <c:pt idx="421">
                  <c:v>55482.933333333334</c:v>
                </c:pt>
                <c:pt idx="422">
                  <c:v>54098.566666666666</c:v>
                </c:pt>
                <c:pt idx="423">
                  <c:v>55206.3</c:v>
                </c:pt>
                <c:pt idx="424">
                  <c:v>56345.133333333331</c:v>
                </c:pt>
                <c:pt idx="425">
                  <c:v>56588.066666666666</c:v>
                </c:pt>
                <c:pt idx="426">
                  <c:v>57085.1</c:v>
                </c:pt>
                <c:pt idx="427">
                  <c:v>57170.466666666667</c:v>
                </c:pt>
                <c:pt idx="428">
                  <c:v>56228.6</c:v>
                </c:pt>
                <c:pt idx="429">
                  <c:v>54937.433333333334</c:v>
                </c:pt>
                <c:pt idx="430">
                  <c:v>55860.6</c:v>
                </c:pt>
                <c:pt idx="431">
                  <c:v>57121.76666666667</c:v>
                </c:pt>
                <c:pt idx="432">
                  <c:v>57622.1</c:v>
                </c:pt>
                <c:pt idx="433">
                  <c:v>57997.933333333334</c:v>
                </c:pt>
                <c:pt idx="434">
                  <c:v>57948.3</c:v>
                </c:pt>
                <c:pt idx="435">
                  <c:v>56912.3</c:v>
                </c:pt>
                <c:pt idx="436">
                  <c:v>55743.633333333331</c:v>
                </c:pt>
                <c:pt idx="437">
                  <c:v>56961.333333333336</c:v>
                </c:pt>
                <c:pt idx="438">
                  <c:v>58147.833333333336</c:v>
                </c:pt>
                <c:pt idx="439">
                  <c:v>58448.566666666666</c:v>
                </c:pt>
                <c:pt idx="440">
                  <c:v>58429.866666666669</c:v>
                </c:pt>
                <c:pt idx="441">
                  <c:v>58369.333333333336</c:v>
                </c:pt>
                <c:pt idx="442">
                  <c:v>57905.966666666667</c:v>
                </c:pt>
                <c:pt idx="443">
                  <c:v>56674.6</c:v>
                </c:pt>
                <c:pt idx="444">
                  <c:v>57865.566666666666</c:v>
                </c:pt>
                <c:pt idx="445">
                  <c:v>58981.833333333336</c:v>
                </c:pt>
                <c:pt idx="446">
                  <c:v>58980.166666666664</c:v>
                </c:pt>
                <c:pt idx="447">
                  <c:v>58567.76666666667</c:v>
                </c:pt>
                <c:pt idx="448">
                  <c:v>58503.3</c:v>
                </c:pt>
                <c:pt idx="449">
                  <c:v>58221.5</c:v>
                </c:pt>
                <c:pt idx="450">
                  <c:v>56760.633333333331</c:v>
                </c:pt>
                <c:pt idx="451">
                  <c:v>58142.966666666667</c:v>
                </c:pt>
                <c:pt idx="452">
                  <c:v>59717.333333333336</c:v>
                </c:pt>
                <c:pt idx="453">
                  <c:v>60038.366666666669</c:v>
                </c:pt>
                <c:pt idx="454">
                  <c:v>60259.333333333336</c:v>
                </c:pt>
                <c:pt idx="455">
                  <c:v>60167.366666666669</c:v>
                </c:pt>
                <c:pt idx="456">
                  <c:v>59154.2</c:v>
                </c:pt>
                <c:pt idx="457">
                  <c:v>57877</c:v>
                </c:pt>
                <c:pt idx="458">
                  <c:v>58393.23333333333</c:v>
                </c:pt>
                <c:pt idx="459">
                  <c:v>59527.633333333331</c:v>
                </c:pt>
                <c:pt idx="460">
                  <c:v>59676.2</c:v>
                </c:pt>
                <c:pt idx="461">
                  <c:v>59593.73333333333</c:v>
                </c:pt>
                <c:pt idx="462">
                  <c:v>58655.6</c:v>
                </c:pt>
                <c:pt idx="463">
                  <c:v>56717.866666666669</c:v>
                </c:pt>
                <c:pt idx="464">
                  <c:v>55533</c:v>
                </c:pt>
                <c:pt idx="465">
                  <c:v>56217.633333333331</c:v>
                </c:pt>
                <c:pt idx="466">
                  <c:v>57206.76666666667</c:v>
                </c:pt>
                <c:pt idx="467">
                  <c:v>57446.466666666667</c:v>
                </c:pt>
                <c:pt idx="468">
                  <c:v>57711.9</c:v>
                </c:pt>
                <c:pt idx="469">
                  <c:v>57978.26666666667</c:v>
                </c:pt>
                <c:pt idx="470">
                  <c:v>57124.633333333331</c:v>
                </c:pt>
                <c:pt idx="471">
                  <c:v>55736.76666666667</c:v>
                </c:pt>
                <c:pt idx="472">
                  <c:v>55892.3</c:v>
                </c:pt>
                <c:pt idx="473">
                  <c:v>57469.26666666667</c:v>
                </c:pt>
                <c:pt idx="474">
                  <c:v>57853.866666666669</c:v>
                </c:pt>
                <c:pt idx="475">
                  <c:v>58111.933333333334</c:v>
                </c:pt>
                <c:pt idx="476">
                  <c:v>58513.9</c:v>
                </c:pt>
                <c:pt idx="477">
                  <c:v>57878.466666666667</c:v>
                </c:pt>
                <c:pt idx="478">
                  <c:v>56528.166666666664</c:v>
                </c:pt>
                <c:pt idx="479">
                  <c:v>56902.26666666667</c:v>
                </c:pt>
                <c:pt idx="480">
                  <c:v>58166.26666666667</c:v>
                </c:pt>
                <c:pt idx="481">
                  <c:v>58242.6</c:v>
                </c:pt>
                <c:pt idx="482">
                  <c:v>58295.966666666667</c:v>
                </c:pt>
                <c:pt idx="483">
                  <c:v>58413.1</c:v>
                </c:pt>
                <c:pt idx="484">
                  <c:v>57050.76666666667</c:v>
                </c:pt>
                <c:pt idx="485">
                  <c:v>55963.5</c:v>
                </c:pt>
                <c:pt idx="486">
                  <c:v>56446.166666666664</c:v>
                </c:pt>
                <c:pt idx="487">
                  <c:v>57721.5</c:v>
                </c:pt>
                <c:pt idx="488">
                  <c:v>58103.566666666666</c:v>
                </c:pt>
                <c:pt idx="489">
                  <c:v>57135.833333333336</c:v>
                </c:pt>
                <c:pt idx="490">
                  <c:v>56168.133333333331</c:v>
                </c:pt>
                <c:pt idx="491">
                  <c:v>54884.066666666666</c:v>
                </c:pt>
                <c:pt idx="492">
                  <c:v>54543.9</c:v>
                </c:pt>
                <c:pt idx="493">
                  <c:v>56304.9</c:v>
                </c:pt>
                <c:pt idx="494">
                  <c:v>57535.633333333331</c:v>
                </c:pt>
                <c:pt idx="495">
                  <c:v>58010.73333333333</c:v>
                </c:pt>
                <c:pt idx="496">
                  <c:v>57190.666666666664</c:v>
                </c:pt>
                <c:pt idx="497">
                  <c:v>56045.133333333331</c:v>
                </c:pt>
                <c:pt idx="498">
                  <c:v>55000.133333333331</c:v>
                </c:pt>
                <c:pt idx="499">
                  <c:v>53398.866666666669</c:v>
                </c:pt>
                <c:pt idx="500">
                  <c:v>54379.366666666669</c:v>
                </c:pt>
                <c:pt idx="501">
                  <c:v>56024.7</c:v>
                </c:pt>
                <c:pt idx="502">
                  <c:v>56539.4</c:v>
                </c:pt>
                <c:pt idx="503">
                  <c:v>56546.166666666664</c:v>
                </c:pt>
                <c:pt idx="504">
                  <c:v>56469.633333333331</c:v>
                </c:pt>
                <c:pt idx="505">
                  <c:v>55736.7</c:v>
                </c:pt>
                <c:pt idx="506">
                  <c:v>54178.9</c:v>
                </c:pt>
                <c:pt idx="507">
                  <c:v>55187</c:v>
                </c:pt>
                <c:pt idx="508">
                  <c:v>56532.133333333331</c:v>
                </c:pt>
                <c:pt idx="509">
                  <c:v>56765.76666666667</c:v>
                </c:pt>
                <c:pt idx="510">
                  <c:v>56797.5</c:v>
                </c:pt>
                <c:pt idx="511">
                  <c:v>56770.1</c:v>
                </c:pt>
                <c:pt idx="512">
                  <c:v>55514.166666666664</c:v>
                </c:pt>
                <c:pt idx="513">
                  <c:v>54088.73333333333</c:v>
                </c:pt>
                <c:pt idx="514">
                  <c:v>55238.2</c:v>
                </c:pt>
                <c:pt idx="515">
                  <c:v>56474.833333333336</c:v>
                </c:pt>
                <c:pt idx="516">
                  <c:v>56908.933333333334</c:v>
                </c:pt>
                <c:pt idx="517">
                  <c:v>56928.066666666666</c:v>
                </c:pt>
                <c:pt idx="518">
                  <c:v>57069.033333333333</c:v>
                </c:pt>
                <c:pt idx="519">
                  <c:v>57053.866666666669</c:v>
                </c:pt>
                <c:pt idx="520">
                  <c:v>56918.666666666664</c:v>
                </c:pt>
                <c:pt idx="521">
                  <c:v>58076.633333333331</c:v>
                </c:pt>
                <c:pt idx="522">
                  <c:v>59250.2</c:v>
                </c:pt>
                <c:pt idx="523">
                  <c:v>59259.466666666667</c:v>
                </c:pt>
                <c:pt idx="524">
                  <c:v>59383.433333333334</c:v>
                </c:pt>
                <c:pt idx="525">
                  <c:v>59362.9</c:v>
                </c:pt>
                <c:pt idx="526">
                  <c:v>59307.866666666669</c:v>
                </c:pt>
                <c:pt idx="527">
                  <c:v>58970.26666666667</c:v>
                </c:pt>
                <c:pt idx="528">
                  <c:v>59848.166666666664</c:v>
                </c:pt>
                <c:pt idx="529">
                  <c:v>61283.833333333336</c:v>
                </c:pt>
                <c:pt idx="530">
                  <c:v>61565.566666666666</c:v>
                </c:pt>
                <c:pt idx="531">
                  <c:v>61375</c:v>
                </c:pt>
                <c:pt idx="532">
                  <c:v>61259.9</c:v>
                </c:pt>
                <c:pt idx="533">
                  <c:v>59701</c:v>
                </c:pt>
                <c:pt idx="534">
                  <c:v>58239.566666666666</c:v>
                </c:pt>
                <c:pt idx="535">
                  <c:v>58673.599999999999</c:v>
                </c:pt>
                <c:pt idx="536">
                  <c:v>59933.26666666667</c:v>
                </c:pt>
                <c:pt idx="537">
                  <c:v>60143.26666666667</c:v>
                </c:pt>
                <c:pt idx="538">
                  <c:v>60401.26666666667</c:v>
                </c:pt>
                <c:pt idx="539">
                  <c:v>60129.4</c:v>
                </c:pt>
                <c:pt idx="540">
                  <c:v>58959.4</c:v>
                </c:pt>
                <c:pt idx="541">
                  <c:v>57519.23333333333</c:v>
                </c:pt>
                <c:pt idx="542">
                  <c:v>58394.1</c:v>
                </c:pt>
                <c:pt idx="543">
                  <c:v>59504.666666666664</c:v>
                </c:pt>
                <c:pt idx="544">
                  <c:v>59823.033333333333</c:v>
                </c:pt>
                <c:pt idx="545">
                  <c:v>59870</c:v>
                </c:pt>
                <c:pt idx="546">
                  <c:v>59777.166666666664</c:v>
                </c:pt>
                <c:pt idx="547">
                  <c:v>58675.133333333331</c:v>
                </c:pt>
                <c:pt idx="548">
                  <c:v>57308.366666666669</c:v>
                </c:pt>
                <c:pt idx="549">
                  <c:v>58323.199999999997</c:v>
                </c:pt>
                <c:pt idx="550">
                  <c:v>59392</c:v>
                </c:pt>
                <c:pt idx="551">
                  <c:v>59816.833333333336</c:v>
                </c:pt>
                <c:pt idx="552">
                  <c:v>59995.133333333331</c:v>
                </c:pt>
                <c:pt idx="553">
                  <c:v>58193.933333333334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E8-4449-BC5F-49CB903A8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8152549"/>
        <c:axId val="19976789"/>
      </c:lineChart>
      <c:dateAx>
        <c:axId val="18152549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9976789"/>
        <c:crosses val="autoZero"/>
        <c:auto val="1"/>
        <c:lblOffset val="100"/>
        <c:baseTimeUnit val="days"/>
      </c:dateAx>
      <c:valAx>
        <c:axId val="199767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Rows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815254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Average Volume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Velocity'!$I$4</c:f>
              <c:strCache>
                <c:ptCount val="1"/>
                <c:pt idx="0">
                  <c:v>Avg Volume</c:v>
                </c:pt>
              </c:strCache>
            </c:strRef>
          </c:tx>
          <c:spPr>
            <a:solidFill>
              <a:srgbClr val="2F549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'Daily Velocity'!$H$5:$H$11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'Daily Velocity'!$I$5:$I$11</c:f>
              <c:numCache>
                <c:formatCode>#,##0</c:formatCode>
                <c:ptCount val="7"/>
                <c:pt idx="0">
                  <c:v>60026.924050632908</c:v>
                </c:pt>
                <c:pt idx="1">
                  <c:v>63086.164556962023</c:v>
                </c:pt>
                <c:pt idx="2">
                  <c:v>61933.544303797469</c:v>
                </c:pt>
                <c:pt idx="3">
                  <c:v>61209.087500000001</c:v>
                </c:pt>
                <c:pt idx="4">
                  <c:v>35751.594936708861</c:v>
                </c:pt>
                <c:pt idx="5">
                  <c:v>27762.962025316454</c:v>
                </c:pt>
                <c:pt idx="6">
                  <c:v>53619.696202531646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1-AB48-9C9F-4D6B01D3F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948681"/>
        <c:axId val="24725194"/>
      </c:barChart>
      <c:catAx>
        <c:axId val="949486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4725194"/>
        <c:crosses val="autoZero"/>
        <c:auto val="1"/>
        <c:lblAlgn val="ctr"/>
        <c:lblOffset val="100"/>
        <c:noMultiLvlLbl val="0"/>
      </c:catAx>
      <c:valAx>
        <c:axId val="247251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Avg Rows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494868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Projected Monthly Volume vs. Purge Requirement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'Forward Projections'!$B$15</c:f>
              <c:strCache>
                <c:ptCount val="1"/>
                <c:pt idx="0">
                  <c:v>Projected Monthly Volume</c:v>
                </c:pt>
              </c:strCache>
            </c:strRef>
          </c:tx>
          <c:spPr>
            <a:ln w="24840">
              <a:solidFill>
                <a:srgbClr val="2F549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'Forward Projections'!$A$16:$A$39</c:f>
              <c:strCache>
                <c:ptCount val="24"/>
                <c:pt idx="0">
                  <c:v>2026-03</c:v>
                </c:pt>
                <c:pt idx="1">
                  <c:v>2026-04</c:v>
                </c:pt>
                <c:pt idx="2">
                  <c:v>2026-05</c:v>
                </c:pt>
                <c:pt idx="3">
                  <c:v>2026-06</c:v>
                </c:pt>
                <c:pt idx="4">
                  <c:v>2026-07</c:v>
                </c:pt>
                <c:pt idx="5">
                  <c:v>2026-08</c:v>
                </c:pt>
                <c:pt idx="6">
                  <c:v>2026-09</c:v>
                </c:pt>
                <c:pt idx="7">
                  <c:v>2026-10</c:v>
                </c:pt>
                <c:pt idx="8">
                  <c:v>2026-11</c:v>
                </c:pt>
                <c:pt idx="9">
                  <c:v>2026-12</c:v>
                </c:pt>
                <c:pt idx="10">
                  <c:v>2027-01</c:v>
                </c:pt>
                <c:pt idx="11">
                  <c:v>2027-02</c:v>
                </c:pt>
                <c:pt idx="12">
                  <c:v>2027-03</c:v>
                </c:pt>
                <c:pt idx="13">
                  <c:v>2027-04</c:v>
                </c:pt>
                <c:pt idx="14">
                  <c:v>2027-05</c:v>
                </c:pt>
                <c:pt idx="15">
                  <c:v>2027-06</c:v>
                </c:pt>
                <c:pt idx="16">
                  <c:v>2027-07</c:v>
                </c:pt>
                <c:pt idx="17">
                  <c:v>2027-08</c:v>
                </c:pt>
                <c:pt idx="18">
                  <c:v>2027-09</c:v>
                </c:pt>
                <c:pt idx="19">
                  <c:v>2027-10</c:v>
                </c:pt>
                <c:pt idx="20">
                  <c:v>2027-11</c:v>
                </c:pt>
                <c:pt idx="21">
                  <c:v>2027-12</c:v>
                </c:pt>
                <c:pt idx="22">
                  <c:v>2028-01</c:v>
                </c:pt>
                <c:pt idx="23">
                  <c:v>2028-02</c:v>
                </c:pt>
              </c:strCache>
            </c:strRef>
          </c:cat>
          <c:val>
            <c:numRef>
              <c:f>'Forward Projections'!$B$16:$B$39</c:f>
              <c:numCache>
                <c:formatCode>#,##0</c:formatCode>
                <c:ptCount val="24"/>
                <c:pt idx="0">
                  <c:v>2278634.2765392098</c:v>
                </c:pt>
                <c:pt idx="1">
                  <c:v>2559400.6589117995</c:v>
                </c:pt>
                <c:pt idx="2">
                  <c:v>2874762.2206346788</c:v>
                </c:pt>
                <c:pt idx="3">
                  <c:v>3228981.6744449106</c:v>
                </c:pt>
                <c:pt idx="4">
                  <c:v>3626846.9715728965</c:v>
                </c:pt>
                <c:pt idx="5">
                  <c:v>4073736.0200313851</c:v>
                </c:pt>
                <c:pt idx="6">
                  <c:v>4575689.3772951392</c:v>
                </c:pt>
                <c:pt idx="7">
                  <c:v>5139491.8999514068</c:v>
                </c:pt>
                <c:pt idx="8">
                  <c:v>5772764.4539718824</c:v>
                </c:pt>
                <c:pt idx="9">
                  <c:v>6484066.9252453474</c:v>
                </c:pt>
                <c:pt idx="10">
                  <c:v>7283013.9227546994</c:v>
                </c:pt>
                <c:pt idx="11">
                  <c:v>8180404.7383474158</c:v>
                </c:pt>
                <c:pt idx="12">
                  <c:v>9188369.3197534978</c:v>
                </c:pt>
                <c:pt idx="13">
                  <c:v>10320532.229954544</c:v>
                </c:pt>
                <c:pt idx="14">
                  <c:v>11592196.809127387</c:v>
                </c:pt>
                <c:pt idx="15">
                  <c:v>13020552.028462108</c:v>
                </c:pt>
                <c:pt idx="16">
                  <c:v>14624904.831878074</c:v>
                </c:pt>
                <c:pt idx="17">
                  <c:v>16426941.106179312</c:v>
                </c:pt>
                <c:pt idx="18">
                  <c:v>18451018.807158366</c:v>
                </c:pt>
                <c:pt idx="19">
                  <c:v>20724497.203806773</c:v>
                </c:pt>
                <c:pt idx="20">
                  <c:v>23278106.690995384</c:v>
                </c:pt>
                <c:pt idx="21">
                  <c:v>26146364.169347893</c:v>
                </c:pt>
                <c:pt idx="22">
                  <c:v>29368039.606958553</c:v>
                </c:pt>
                <c:pt idx="23">
                  <c:v>32986680.089425109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27-D24E-9347-A2FBA45E4FC0}"/>
            </c:ext>
          </c:extLst>
        </c:ser>
        <c:ser>
          <c:idx val="1"/>
          <c:order val="1"/>
          <c:tx>
            <c:strRef>
              <c:f>'Forward Projections'!$D$15</c:f>
              <c:strCache>
                <c:ptCount val="1"/>
                <c:pt idx="0">
                  <c:v>Est. Rows to Purge/Month</c:v>
                </c:pt>
              </c:strCache>
            </c:strRef>
          </c:tx>
          <c:spPr>
            <a:ln w="2484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  <a:prstDash val="dash"/>
                    </a:ln>
                  </c:spPr>
                </c15:leaderLines>
              </c:ext>
            </c:extLst>
          </c:dLbls>
          <c:cat>
            <c:strRef>
              <c:f>'Forward Projections'!$A$16:$A$39</c:f>
              <c:strCache>
                <c:ptCount val="24"/>
                <c:pt idx="0">
                  <c:v>2026-03</c:v>
                </c:pt>
                <c:pt idx="1">
                  <c:v>2026-04</c:v>
                </c:pt>
                <c:pt idx="2">
                  <c:v>2026-05</c:v>
                </c:pt>
                <c:pt idx="3">
                  <c:v>2026-06</c:v>
                </c:pt>
                <c:pt idx="4">
                  <c:v>2026-07</c:v>
                </c:pt>
                <c:pt idx="5">
                  <c:v>2026-08</c:v>
                </c:pt>
                <c:pt idx="6">
                  <c:v>2026-09</c:v>
                </c:pt>
                <c:pt idx="7">
                  <c:v>2026-10</c:v>
                </c:pt>
                <c:pt idx="8">
                  <c:v>2026-11</c:v>
                </c:pt>
                <c:pt idx="9">
                  <c:v>2026-12</c:v>
                </c:pt>
                <c:pt idx="10">
                  <c:v>2027-01</c:v>
                </c:pt>
                <c:pt idx="11">
                  <c:v>2027-02</c:v>
                </c:pt>
                <c:pt idx="12">
                  <c:v>2027-03</c:v>
                </c:pt>
                <c:pt idx="13">
                  <c:v>2027-04</c:v>
                </c:pt>
                <c:pt idx="14">
                  <c:v>2027-05</c:v>
                </c:pt>
                <c:pt idx="15">
                  <c:v>2027-06</c:v>
                </c:pt>
                <c:pt idx="16">
                  <c:v>2027-07</c:v>
                </c:pt>
                <c:pt idx="17">
                  <c:v>2027-08</c:v>
                </c:pt>
                <c:pt idx="18">
                  <c:v>2027-09</c:v>
                </c:pt>
                <c:pt idx="19">
                  <c:v>2027-10</c:v>
                </c:pt>
                <c:pt idx="20">
                  <c:v>2027-11</c:v>
                </c:pt>
                <c:pt idx="21">
                  <c:v>2027-12</c:v>
                </c:pt>
                <c:pt idx="22">
                  <c:v>2028-01</c:v>
                </c:pt>
                <c:pt idx="23">
                  <c:v>2028-02</c:v>
                </c:pt>
              </c:strCache>
            </c:strRef>
          </c:cat>
          <c:val>
            <c:numRef>
              <c:f>'Forward Projections'!$D$16:$D$39</c:f>
              <c:numCache>
                <c:formatCode>#,##0</c:formatCode>
                <c:ptCount val="24"/>
                <c:pt idx="0">
                  <c:v>565081.1352409441</c:v>
                </c:pt>
                <c:pt idx="1">
                  <c:v>634708.71335741237</c:v>
                </c:pt>
                <c:pt idx="2">
                  <c:v>712915.58979410818</c:v>
                </c:pt>
                <c:pt idx="3">
                  <c:v>800758.87958588637</c:v>
                </c:pt>
                <c:pt idx="4">
                  <c:v>899425.9522657214</c:v>
                </c:pt>
                <c:pt idx="5">
                  <c:v>1010250.4814276405</c:v>
                </c:pt>
                <c:pt idx="6">
                  <c:v>1134730.4718679693</c:v>
                </c:pt>
                <c:pt idx="7">
                  <c:v>1274548.5079760682</c:v>
                </c:pt>
                <c:pt idx="8">
                  <c:v>1431594.4970701695</c:v>
                </c:pt>
                <c:pt idx="9">
                  <c:v>1607991.2150978516</c:v>
                </c:pt>
                <c:pt idx="10">
                  <c:v>1806123</c:v>
                </c:pt>
                <c:pt idx="11">
                  <c:v>2028667.980583769</c:v>
                </c:pt>
                <c:pt idx="12">
                  <c:v>2278634.2765392098</c:v>
                </c:pt>
                <c:pt idx="13">
                  <c:v>2559400.6589117995</c:v>
                </c:pt>
                <c:pt idx="14">
                  <c:v>2874762.2206346788</c:v>
                </c:pt>
                <c:pt idx="15">
                  <c:v>3228981.6744449106</c:v>
                </c:pt>
                <c:pt idx="16">
                  <c:v>3626846.9715728965</c:v>
                </c:pt>
                <c:pt idx="17">
                  <c:v>4073736.0200313851</c:v>
                </c:pt>
                <c:pt idx="18">
                  <c:v>4575689.3772951392</c:v>
                </c:pt>
                <c:pt idx="19">
                  <c:v>5139491.8999514068</c:v>
                </c:pt>
                <c:pt idx="20">
                  <c:v>5772764.4539718824</c:v>
                </c:pt>
                <c:pt idx="21">
                  <c:v>6484066.9252453474</c:v>
                </c:pt>
                <c:pt idx="22">
                  <c:v>7283013.9227546994</c:v>
                </c:pt>
                <c:pt idx="23">
                  <c:v>8180404.7383474158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727-D24E-9347-A2FBA45E4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7142329"/>
        <c:axId val="36549078"/>
      </c:lineChart>
      <c:catAx>
        <c:axId val="871423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6549078"/>
        <c:crosses val="autoZero"/>
        <c:auto val="1"/>
        <c:lblAlgn val="ctr"/>
        <c:lblOffset val="100"/>
        <c:noMultiLvlLbl val="0"/>
      </c:catAx>
      <c:valAx>
        <c:axId val="365490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Rows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714232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Estimated Nightly Purge Duration — OeOrderHistory Cascade (Hours)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'Forward Projections'!$G$15</c:f>
              <c:strCache>
                <c:ptCount val="1"/>
                <c:pt idx="0">
                  <c:v>Est. Purge Duration (hrs)</c:v>
                </c:pt>
              </c:strCache>
            </c:strRef>
          </c:tx>
          <c:spPr>
            <a:solidFill>
              <a:srgbClr val="2F549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'Forward Projections'!$A$16:$A$39</c:f>
              <c:strCache>
                <c:ptCount val="24"/>
                <c:pt idx="0">
                  <c:v>2026-03</c:v>
                </c:pt>
                <c:pt idx="1">
                  <c:v>2026-04</c:v>
                </c:pt>
                <c:pt idx="2">
                  <c:v>2026-05</c:v>
                </c:pt>
                <c:pt idx="3">
                  <c:v>2026-06</c:v>
                </c:pt>
                <c:pt idx="4">
                  <c:v>2026-07</c:v>
                </c:pt>
                <c:pt idx="5">
                  <c:v>2026-08</c:v>
                </c:pt>
                <c:pt idx="6">
                  <c:v>2026-09</c:v>
                </c:pt>
                <c:pt idx="7">
                  <c:v>2026-10</c:v>
                </c:pt>
                <c:pt idx="8">
                  <c:v>2026-11</c:v>
                </c:pt>
                <c:pt idx="9">
                  <c:v>2026-12</c:v>
                </c:pt>
                <c:pt idx="10">
                  <c:v>2027-01</c:v>
                </c:pt>
                <c:pt idx="11">
                  <c:v>2027-02</c:v>
                </c:pt>
                <c:pt idx="12">
                  <c:v>2027-03</c:v>
                </c:pt>
                <c:pt idx="13">
                  <c:v>2027-04</c:v>
                </c:pt>
                <c:pt idx="14">
                  <c:v>2027-05</c:v>
                </c:pt>
                <c:pt idx="15">
                  <c:v>2027-06</c:v>
                </c:pt>
                <c:pt idx="16">
                  <c:v>2027-07</c:v>
                </c:pt>
                <c:pt idx="17">
                  <c:v>2027-08</c:v>
                </c:pt>
                <c:pt idx="18">
                  <c:v>2027-09</c:v>
                </c:pt>
                <c:pt idx="19">
                  <c:v>2027-10</c:v>
                </c:pt>
                <c:pt idx="20">
                  <c:v>2027-11</c:v>
                </c:pt>
                <c:pt idx="21">
                  <c:v>2027-12</c:v>
                </c:pt>
                <c:pt idx="22">
                  <c:v>2028-01</c:v>
                </c:pt>
                <c:pt idx="23">
                  <c:v>2028-02</c:v>
                </c:pt>
              </c:strCache>
            </c:strRef>
          </c:cat>
          <c:val>
            <c:numRef>
              <c:f>'Forward Projections'!$G$16:$G$39</c:f>
              <c:numCache>
                <c:formatCode>#,##0.0</c:formatCode>
                <c:ptCount val="24"/>
                <c:pt idx="0">
                  <c:v>4.7500000000000001E-2</c:v>
                </c:pt>
                <c:pt idx="1">
                  <c:v>5.3333333333333337E-2</c:v>
                </c:pt>
                <c:pt idx="2">
                  <c:v>0.06</c:v>
                </c:pt>
                <c:pt idx="3">
                  <c:v>6.7500000000000004E-2</c:v>
                </c:pt>
                <c:pt idx="4">
                  <c:v>7.4999999999999997E-2</c:v>
                </c:pt>
                <c:pt idx="5">
                  <c:v>8.5000000000000006E-2</c:v>
                </c:pt>
                <c:pt idx="6">
                  <c:v>9.5000000000000001E-2</c:v>
                </c:pt>
                <c:pt idx="7">
                  <c:v>0.10666666666666667</c:v>
                </c:pt>
                <c:pt idx="8">
                  <c:v>0.12</c:v>
                </c:pt>
                <c:pt idx="9">
                  <c:v>0.13416666666666666</c:v>
                </c:pt>
                <c:pt idx="10">
                  <c:v>0.15083333333333335</c:v>
                </c:pt>
                <c:pt idx="11">
                  <c:v>0.16916666666666666</c:v>
                </c:pt>
                <c:pt idx="12">
                  <c:v>0.19</c:v>
                </c:pt>
                <c:pt idx="13">
                  <c:v>0.21333333333333335</c:v>
                </c:pt>
                <c:pt idx="14">
                  <c:v>0.24</c:v>
                </c:pt>
                <c:pt idx="15">
                  <c:v>0.26916666666666667</c:v>
                </c:pt>
                <c:pt idx="16">
                  <c:v>0.30249999999999999</c:v>
                </c:pt>
                <c:pt idx="17">
                  <c:v>0.34</c:v>
                </c:pt>
                <c:pt idx="18">
                  <c:v>0.38166666666666665</c:v>
                </c:pt>
                <c:pt idx="19">
                  <c:v>0.42833333333333334</c:v>
                </c:pt>
                <c:pt idx="20">
                  <c:v>0.48166666666666669</c:v>
                </c:pt>
                <c:pt idx="21">
                  <c:v>0.54083333333333339</c:v>
                </c:pt>
                <c:pt idx="22">
                  <c:v>0.60750000000000004</c:v>
                </c:pt>
                <c:pt idx="23">
                  <c:v>0.6825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A7-8744-AD8C-1A25FD6AE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019505"/>
        <c:axId val="2778527"/>
      </c:barChart>
      <c:catAx>
        <c:axId val="720195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778527"/>
        <c:crosses val="autoZero"/>
        <c:auto val="1"/>
        <c:lblAlgn val="ctr"/>
        <c:lblOffset val="100"/>
        <c:noMultiLvlLbl val="0"/>
      </c:catAx>
      <c:valAx>
        <c:axId val="27785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201950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Projected Table Size (GB) — OeOrderHistory Only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'Forward Projections'!$H$15</c:f>
              <c:strCache>
                <c:ptCount val="1"/>
                <c:pt idx="0">
                  <c:v>Est. Table Size (GB)</c:v>
                </c:pt>
              </c:strCache>
            </c:strRef>
          </c:tx>
          <c:spPr>
            <a:ln w="24840">
              <a:solidFill>
                <a:srgbClr val="008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'Forward Projections'!$A$16:$A$39</c:f>
              <c:strCache>
                <c:ptCount val="24"/>
                <c:pt idx="0">
                  <c:v>2026-03</c:v>
                </c:pt>
                <c:pt idx="1">
                  <c:v>2026-04</c:v>
                </c:pt>
                <c:pt idx="2">
                  <c:v>2026-05</c:v>
                </c:pt>
                <c:pt idx="3">
                  <c:v>2026-06</c:v>
                </c:pt>
                <c:pt idx="4">
                  <c:v>2026-07</c:v>
                </c:pt>
                <c:pt idx="5">
                  <c:v>2026-08</c:v>
                </c:pt>
                <c:pt idx="6">
                  <c:v>2026-09</c:v>
                </c:pt>
                <c:pt idx="7">
                  <c:v>2026-10</c:v>
                </c:pt>
                <c:pt idx="8">
                  <c:v>2026-11</c:v>
                </c:pt>
                <c:pt idx="9">
                  <c:v>2026-12</c:v>
                </c:pt>
                <c:pt idx="10">
                  <c:v>2027-01</c:v>
                </c:pt>
                <c:pt idx="11">
                  <c:v>2027-02</c:v>
                </c:pt>
                <c:pt idx="12">
                  <c:v>2027-03</c:v>
                </c:pt>
                <c:pt idx="13">
                  <c:v>2027-04</c:v>
                </c:pt>
                <c:pt idx="14">
                  <c:v>2027-05</c:v>
                </c:pt>
                <c:pt idx="15">
                  <c:v>2027-06</c:v>
                </c:pt>
                <c:pt idx="16">
                  <c:v>2027-07</c:v>
                </c:pt>
                <c:pt idx="17">
                  <c:v>2027-08</c:v>
                </c:pt>
                <c:pt idx="18">
                  <c:v>2027-09</c:v>
                </c:pt>
                <c:pt idx="19">
                  <c:v>2027-10</c:v>
                </c:pt>
                <c:pt idx="20">
                  <c:v>2027-11</c:v>
                </c:pt>
                <c:pt idx="21">
                  <c:v>2027-12</c:v>
                </c:pt>
                <c:pt idx="22">
                  <c:v>2028-01</c:v>
                </c:pt>
                <c:pt idx="23">
                  <c:v>2028-02</c:v>
                </c:pt>
              </c:strCache>
            </c:strRef>
          </c:cat>
          <c:val>
            <c:numRef>
              <c:f>'Forward Projections'!$H$16:$H$39</c:f>
              <c:numCache>
                <c:formatCode>#,##0.0</c:formatCode>
                <c:ptCount val="24"/>
                <c:pt idx="0">
                  <c:v>28.886463144107417</c:v>
                </c:pt>
                <c:pt idx="1">
                  <c:v>31.267707127626572</c:v>
                </c:pt>
                <c:pt idx="2">
                  <c:v>33.942360749402638</c:v>
                </c:pt>
                <c:pt idx="3">
                  <c:v>36.946577052306445</c:v>
                </c:pt>
                <c:pt idx="4">
                  <c:v>40.320963747148767</c:v>
                </c:pt>
                <c:pt idx="5">
                  <c:v>44.111132103309728</c:v>
                </c:pt>
                <c:pt idx="6">
                  <c:v>48.368313472001432</c:v>
                </c:pt>
                <c:pt idx="7">
                  <c:v>53.150051775651093</c:v>
                </c:pt>
                <c:pt idx="8">
                  <c:v>58.520981323718985</c:v>
                </c:pt>
                <c:pt idx="9">
                  <c:v>64.55370046861475</c:v>
                </c:pt>
                <c:pt idx="10">
                  <c:v>71.329752910837541</c:v>
                </c:pt>
                <c:pt idx="11">
                  <c:v>78.940729917549589</c:v>
                </c:pt>
                <c:pt idx="12">
                  <c:v>87.489508353168901</c:v>
                </c:pt>
                <c:pt idx="13">
                  <c:v>97.091641256324394</c:v>
                </c:pt>
                <c:pt idx="14">
                  <c:v>107.87691975947251</c:v>
                </c:pt>
                <c:pt idx="15">
                  <c:v>119.99112746349658</c:v>
                </c:pt>
                <c:pt idx="16">
                  <c:v>133.59801098100607</c:v>
                </c:pt>
                <c:pt idx="17">
                  <c:v>148.88149328398578</c:v>
                </c:pt>
                <c:pt idx="18">
                  <c:v>166.04815977340735</c:v>
                </c:pt>
                <c:pt idx="19">
                  <c:v>185.3300506747745</c:v>
                </c:pt>
                <c:pt idx="20">
                  <c:v>206.98779750415048</c:v>
                </c:pt>
                <c:pt idx="21">
                  <c:v>231.31414599998644</c:v>
                </c:pt>
                <c:pt idx="22">
                  <c:v>258.63791313989026</c:v>
                </c:pt>
                <c:pt idx="23">
                  <c:v>289.3284317289619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C2-844F-9C4F-8D2A19642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4315867"/>
        <c:axId val="56236742"/>
      </c:lineChart>
      <c:catAx>
        <c:axId val="543158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6236742"/>
        <c:crosses val="autoZero"/>
        <c:auto val="1"/>
        <c:lblAlgn val="ctr"/>
        <c:lblOffset val="100"/>
        <c:noMultiLvlLbl val="0"/>
      </c:catAx>
      <c:valAx>
        <c:axId val="562367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GB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431586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160920</xdr:rowOff>
    </xdr:from>
    <xdr:to>
      <xdr:col>7</xdr:col>
      <xdr:colOff>627840</xdr:colOff>
      <xdr:row>62</xdr:row>
      <xdr:rowOff>35640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49</xdr:row>
      <xdr:rowOff>160560</xdr:rowOff>
    </xdr:from>
    <xdr:to>
      <xdr:col>7</xdr:col>
      <xdr:colOff>627840</xdr:colOff>
      <xdr:row>78</xdr:row>
      <xdr:rowOff>35280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557</xdr:row>
      <xdr:rowOff>160560</xdr:rowOff>
    </xdr:from>
    <xdr:to>
      <xdr:col>9</xdr:col>
      <xdr:colOff>826200</xdr:colOff>
      <xdr:row>591</xdr:row>
      <xdr:rowOff>163080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160560</xdr:rowOff>
    </xdr:from>
    <xdr:to>
      <xdr:col>13</xdr:col>
      <xdr:colOff>84240</xdr:colOff>
      <xdr:row>44</xdr:row>
      <xdr:rowOff>56520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48</xdr:row>
      <xdr:rowOff>160560</xdr:rowOff>
    </xdr:from>
    <xdr:to>
      <xdr:col>5</xdr:col>
      <xdr:colOff>828360</xdr:colOff>
      <xdr:row>79</xdr:row>
      <xdr:rowOff>14400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64</xdr:row>
      <xdr:rowOff>160560</xdr:rowOff>
    </xdr:from>
    <xdr:to>
      <xdr:col>5</xdr:col>
      <xdr:colOff>828360</xdr:colOff>
      <xdr:row>95</xdr:row>
      <xdr:rowOff>14400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80</xdr:row>
      <xdr:rowOff>160920</xdr:rowOff>
    </xdr:from>
    <xdr:to>
      <xdr:col>5</xdr:col>
      <xdr:colOff>828360</xdr:colOff>
      <xdr:row>111</xdr:row>
      <xdr:rowOff>14760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zoomScaleNormal="100" workbookViewId="0">
      <selection sqref="A1:G1"/>
    </sheetView>
  </sheetViews>
  <sheetFormatPr baseColWidth="10" defaultColWidth="8.6640625" defaultRowHeight="15" customHeight="1" x14ac:dyDescent="0.2"/>
  <cols>
    <col min="1" max="1" width="14" customWidth="1"/>
    <col min="2" max="2" width="18" customWidth="1"/>
    <col min="3" max="3" width="14" customWidth="1"/>
    <col min="4" max="4" width="18" customWidth="1"/>
    <col min="5" max="5" width="14" customWidth="1"/>
    <col min="6" max="6" width="20" customWidth="1"/>
    <col min="7" max="7" width="24" customWidth="1"/>
  </cols>
  <sheetData>
    <row r="1" spans="1:7" ht="17.25" customHeight="1" x14ac:dyDescent="0.2">
      <c r="A1" s="2" t="s">
        <v>5</v>
      </c>
      <c r="B1" s="2"/>
      <c r="C1" s="2"/>
      <c r="D1" s="2"/>
      <c r="E1" s="2"/>
      <c r="F1" s="2"/>
      <c r="G1" s="2"/>
    </row>
    <row r="3" spans="1:7" ht="15" customHeight="1" x14ac:dyDescent="0.2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</row>
    <row r="4" spans="1:7" ht="15" customHeight="1" x14ac:dyDescent="0.2">
      <c r="A4" s="4" t="s">
        <v>13</v>
      </c>
      <c r="B4" s="5">
        <v>423157</v>
      </c>
      <c r="C4" s="5">
        <v>10</v>
      </c>
      <c r="D4" s="5">
        <f t="shared" ref="D4:D22" si="0">IF(C4&gt;0,B4/C4,"")</f>
        <v>42315.7</v>
      </c>
      <c r="E4" s="6"/>
      <c r="F4" s="5">
        <f>B4</f>
        <v>423157</v>
      </c>
      <c r="G4" s="7">
        <v>999</v>
      </c>
    </row>
    <row r="5" spans="1:7" ht="15" customHeight="1" x14ac:dyDescent="0.2">
      <c r="A5" s="4" t="s">
        <v>14</v>
      </c>
      <c r="B5" s="5">
        <v>1254897</v>
      </c>
      <c r="C5" s="5">
        <v>30</v>
      </c>
      <c r="D5" s="5">
        <f t="shared" si="0"/>
        <v>41829.9</v>
      </c>
      <c r="E5" s="6">
        <f t="shared" ref="E5:E22" si="1">IF(B4&gt;0,(B5-B4)/B4,"")</f>
        <v>1.965558882400622</v>
      </c>
      <c r="F5" s="5">
        <f t="shared" ref="F5:F22" si="2">F4+B5</f>
        <v>1678054</v>
      </c>
      <c r="G5" s="7">
        <v>999</v>
      </c>
    </row>
    <row r="6" spans="1:7" ht="15" customHeight="1" x14ac:dyDescent="0.2">
      <c r="A6" s="4" t="s">
        <v>15</v>
      </c>
      <c r="B6" s="5">
        <v>1361743</v>
      </c>
      <c r="C6" s="5">
        <v>31</v>
      </c>
      <c r="D6" s="5">
        <f t="shared" si="0"/>
        <v>43927.193548387098</v>
      </c>
      <c r="E6" s="6">
        <f t="shared" si="1"/>
        <v>8.5143242831881821E-2</v>
      </c>
      <c r="F6" s="5">
        <f t="shared" si="2"/>
        <v>3039797</v>
      </c>
      <c r="G6" s="7">
        <v>999</v>
      </c>
    </row>
    <row r="7" spans="1:7" ht="15" customHeight="1" x14ac:dyDescent="0.2">
      <c r="A7" s="4" t="s">
        <v>16</v>
      </c>
      <c r="B7" s="5">
        <v>1204422</v>
      </c>
      <c r="C7" s="5">
        <v>30</v>
      </c>
      <c r="D7" s="5">
        <f t="shared" si="0"/>
        <v>40147.4</v>
      </c>
      <c r="E7" s="6">
        <f t="shared" si="1"/>
        <v>-0.1155291416956063</v>
      </c>
      <c r="F7" s="5">
        <f t="shared" si="2"/>
        <v>4244219</v>
      </c>
      <c r="G7" s="7">
        <v>999</v>
      </c>
    </row>
    <row r="8" spans="1:7" ht="15" customHeight="1" x14ac:dyDescent="0.2">
      <c r="A8" s="4" t="s">
        <v>17</v>
      </c>
      <c r="B8" s="5">
        <v>1356584</v>
      </c>
      <c r="C8" s="5">
        <v>31</v>
      </c>
      <c r="D8" s="5">
        <f t="shared" si="0"/>
        <v>43760.774193548386</v>
      </c>
      <c r="E8" s="6">
        <f t="shared" si="1"/>
        <v>0.12633611807157291</v>
      </c>
      <c r="F8" s="5">
        <f t="shared" si="2"/>
        <v>5600803</v>
      </c>
      <c r="G8" s="7">
        <v>999</v>
      </c>
    </row>
    <row r="9" spans="1:7" ht="15" customHeight="1" x14ac:dyDescent="0.2">
      <c r="A9" s="4" t="s">
        <v>18</v>
      </c>
      <c r="B9" s="5">
        <v>1518181</v>
      </c>
      <c r="C9" s="5">
        <v>31</v>
      </c>
      <c r="D9" s="5">
        <f t="shared" si="0"/>
        <v>48973.580645161288</v>
      </c>
      <c r="E9" s="6">
        <f t="shared" si="1"/>
        <v>0.11912052626302537</v>
      </c>
      <c r="F9" s="5">
        <f t="shared" si="2"/>
        <v>7118984</v>
      </c>
      <c r="G9" s="7">
        <v>999</v>
      </c>
    </row>
    <row r="10" spans="1:7" ht="15" customHeight="1" x14ac:dyDescent="0.2">
      <c r="A10" s="4" t="s">
        <v>19</v>
      </c>
      <c r="B10" s="5">
        <v>1498933</v>
      </c>
      <c r="C10" s="5">
        <v>28</v>
      </c>
      <c r="D10" s="5">
        <f t="shared" si="0"/>
        <v>53533.321428571428</v>
      </c>
      <c r="E10" s="6">
        <f t="shared" si="1"/>
        <v>-1.2678330185926448E-2</v>
      </c>
      <c r="F10" s="5">
        <f t="shared" si="2"/>
        <v>8617917</v>
      </c>
      <c r="G10" s="7">
        <v>999</v>
      </c>
    </row>
    <row r="11" spans="1:7" ht="15" customHeight="1" x14ac:dyDescent="0.2">
      <c r="A11" s="4" t="s">
        <v>20</v>
      </c>
      <c r="B11" s="5">
        <v>1564444</v>
      </c>
      <c r="C11" s="5">
        <v>31</v>
      </c>
      <c r="D11" s="5">
        <f t="shared" si="0"/>
        <v>50465.93548387097</v>
      </c>
      <c r="E11" s="6">
        <f t="shared" si="1"/>
        <v>4.3705088886561307E-2</v>
      </c>
      <c r="F11" s="5">
        <f t="shared" si="2"/>
        <v>10182361</v>
      </c>
      <c r="G11" s="7">
        <v>999</v>
      </c>
    </row>
    <row r="12" spans="1:7" ht="15" customHeight="1" x14ac:dyDescent="0.2">
      <c r="A12" s="4" t="s">
        <v>21</v>
      </c>
      <c r="B12" s="5">
        <v>1604037</v>
      </c>
      <c r="C12" s="5">
        <v>30</v>
      </c>
      <c r="D12" s="5">
        <f t="shared" si="0"/>
        <v>53467.9</v>
      </c>
      <c r="E12" s="6">
        <f t="shared" si="1"/>
        <v>2.5308032757963853E-2</v>
      </c>
      <c r="F12" s="5">
        <f t="shared" si="2"/>
        <v>11786398</v>
      </c>
      <c r="G12" s="7">
        <v>999</v>
      </c>
    </row>
    <row r="13" spans="1:7" ht="15" customHeight="1" x14ac:dyDescent="0.2">
      <c r="A13" s="4" t="s">
        <v>22</v>
      </c>
      <c r="B13" s="5">
        <v>1700550</v>
      </c>
      <c r="C13" s="5">
        <v>31</v>
      </c>
      <c r="D13" s="5">
        <f t="shared" si="0"/>
        <v>54856.451612903227</v>
      </c>
      <c r="E13" s="6">
        <f t="shared" si="1"/>
        <v>6.0168811567314219E-2</v>
      </c>
      <c r="F13" s="5">
        <f t="shared" si="2"/>
        <v>13486948</v>
      </c>
      <c r="G13" s="7">
        <v>999</v>
      </c>
    </row>
    <row r="14" spans="1:7" ht="15" customHeight="1" x14ac:dyDescent="0.2">
      <c r="A14" s="4" t="s">
        <v>23</v>
      </c>
      <c r="B14" s="5">
        <v>1666289</v>
      </c>
      <c r="C14" s="5">
        <v>30</v>
      </c>
      <c r="D14" s="5">
        <f t="shared" si="0"/>
        <v>55542.966666666667</v>
      </c>
      <c r="E14" s="6">
        <f t="shared" si="1"/>
        <v>-2.0147011261062598E-2</v>
      </c>
      <c r="F14" s="5">
        <f t="shared" si="2"/>
        <v>15153237</v>
      </c>
      <c r="G14" s="7">
        <v>999</v>
      </c>
    </row>
    <row r="15" spans="1:7" ht="15" customHeight="1" x14ac:dyDescent="0.2">
      <c r="A15" s="4" t="s">
        <v>24</v>
      </c>
      <c r="B15" s="5">
        <v>1673386</v>
      </c>
      <c r="C15" s="5">
        <v>31</v>
      </c>
      <c r="D15" s="5">
        <f t="shared" si="0"/>
        <v>53980.193548387098</v>
      </c>
      <c r="E15" s="6">
        <f t="shared" si="1"/>
        <v>4.2591651268177365E-3</v>
      </c>
      <c r="F15" s="5">
        <f t="shared" si="2"/>
        <v>16826623</v>
      </c>
      <c r="G15" s="7">
        <v>999</v>
      </c>
    </row>
    <row r="16" spans="1:7" ht="15" customHeight="1" x14ac:dyDescent="0.2">
      <c r="A16" s="4" t="s">
        <v>25</v>
      </c>
      <c r="B16" s="5">
        <v>1670134</v>
      </c>
      <c r="C16" s="5">
        <v>31</v>
      </c>
      <c r="D16" s="5">
        <f t="shared" si="0"/>
        <v>53875.290322580644</v>
      </c>
      <c r="E16" s="6">
        <f t="shared" si="1"/>
        <v>-1.9433651291453377E-3</v>
      </c>
      <c r="F16" s="5">
        <f t="shared" si="2"/>
        <v>18496757</v>
      </c>
      <c r="G16" s="7">
        <v>999</v>
      </c>
    </row>
    <row r="17" spans="1:7" ht="15" customHeight="1" x14ac:dyDescent="0.2">
      <c r="A17" s="4" t="s">
        <v>26</v>
      </c>
      <c r="B17" s="5">
        <v>1683940</v>
      </c>
      <c r="C17" s="5">
        <v>30</v>
      </c>
      <c r="D17" s="5">
        <f t="shared" si="0"/>
        <v>56131.333333333336</v>
      </c>
      <c r="E17" s="6">
        <f t="shared" si="1"/>
        <v>8.2664025760807221E-3</v>
      </c>
      <c r="F17" s="5">
        <f t="shared" si="2"/>
        <v>20180697</v>
      </c>
      <c r="G17" s="7">
        <v>999</v>
      </c>
    </row>
    <row r="18" spans="1:7" ht="15" customHeight="1" x14ac:dyDescent="0.2">
      <c r="A18" s="4" t="s">
        <v>27</v>
      </c>
      <c r="B18" s="5">
        <v>1776040</v>
      </c>
      <c r="C18" s="5">
        <v>31</v>
      </c>
      <c r="D18" s="5">
        <f t="shared" si="0"/>
        <v>57291.612903225803</v>
      </c>
      <c r="E18" s="6">
        <f t="shared" si="1"/>
        <v>5.4693160088839267E-2</v>
      </c>
      <c r="F18" s="5">
        <f t="shared" si="2"/>
        <v>21956737</v>
      </c>
      <c r="G18" s="7">
        <v>999</v>
      </c>
    </row>
    <row r="19" spans="1:7" ht="15" customHeight="1" x14ac:dyDescent="0.2">
      <c r="A19" s="4" t="s">
        <v>28</v>
      </c>
      <c r="B19" s="5">
        <v>1686529</v>
      </c>
      <c r="C19" s="5">
        <v>30</v>
      </c>
      <c r="D19" s="5">
        <f t="shared" si="0"/>
        <v>56217.633333333331</v>
      </c>
      <c r="E19" s="6">
        <f t="shared" si="1"/>
        <v>-5.0399202720659446E-2</v>
      </c>
      <c r="F19" s="5">
        <f t="shared" si="2"/>
        <v>23643266</v>
      </c>
      <c r="G19" s="7">
        <v>999</v>
      </c>
    </row>
    <row r="20" spans="1:7" ht="15" customHeight="1" x14ac:dyDescent="0.2">
      <c r="A20" s="4" t="s">
        <v>29</v>
      </c>
      <c r="B20" s="5">
        <v>1773440</v>
      </c>
      <c r="C20" s="5">
        <v>31</v>
      </c>
      <c r="D20" s="5">
        <f t="shared" si="0"/>
        <v>57207.741935483871</v>
      </c>
      <c r="E20" s="6">
        <f t="shared" si="1"/>
        <v>5.1532466978035957E-2</v>
      </c>
      <c r="F20" s="5">
        <f t="shared" si="2"/>
        <v>25416706</v>
      </c>
      <c r="G20" s="7">
        <v>999</v>
      </c>
    </row>
    <row r="21" spans="1:7" ht="15" customHeight="1" x14ac:dyDescent="0.2">
      <c r="A21" s="4" t="s">
        <v>30</v>
      </c>
      <c r="B21" s="5">
        <v>1806123</v>
      </c>
      <c r="C21" s="5">
        <v>31</v>
      </c>
      <c r="D21" s="5">
        <f t="shared" si="0"/>
        <v>58262.032258064515</v>
      </c>
      <c r="E21" s="6">
        <f t="shared" si="1"/>
        <v>1.8429154637315048E-2</v>
      </c>
      <c r="F21" s="5">
        <f t="shared" si="2"/>
        <v>27222829</v>
      </c>
      <c r="G21" s="7">
        <v>999</v>
      </c>
    </row>
    <row r="22" spans="1:7" ht="15" customHeight="1" x14ac:dyDescent="0.2">
      <c r="A22" s="4" t="s">
        <v>31</v>
      </c>
      <c r="B22" s="5">
        <v>1546188</v>
      </c>
      <c r="C22" s="5">
        <v>26</v>
      </c>
      <c r="D22" s="5">
        <f t="shared" si="0"/>
        <v>59468.769230769234</v>
      </c>
      <c r="E22" s="6">
        <f t="shared" si="1"/>
        <v>-0.14391876965190079</v>
      </c>
      <c r="F22" s="5">
        <f t="shared" si="2"/>
        <v>28769017</v>
      </c>
      <c r="G22" s="7">
        <v>999</v>
      </c>
    </row>
    <row r="24" spans="1:7" ht="15" customHeight="1" x14ac:dyDescent="0.2">
      <c r="A24" s="8" t="s">
        <v>32</v>
      </c>
    </row>
    <row r="25" spans="1:7" ht="15" customHeight="1" x14ac:dyDescent="0.2">
      <c r="A25" s="9" t="s">
        <v>33</v>
      </c>
      <c r="B25" s="5">
        <f>SUM(B4:B22)</f>
        <v>28769017</v>
      </c>
    </row>
    <row r="26" spans="1:7" ht="15" customHeight="1" x14ac:dyDescent="0.2">
      <c r="A26" s="9" t="s">
        <v>34</v>
      </c>
      <c r="B26" s="5">
        <f>AVERAGE(D4:D22)</f>
        <v>51645.038444436155</v>
      </c>
    </row>
    <row r="27" spans="1:7" ht="15" customHeight="1" x14ac:dyDescent="0.2">
      <c r="A27" s="9" t="s">
        <v>35</v>
      </c>
      <c r="B27" s="6">
        <f>AVERAGE(E5:E22)</f>
        <v>0.12321695730787388</v>
      </c>
    </row>
    <row r="28" spans="1:7" ht="15" customHeight="1" x14ac:dyDescent="0.2">
      <c r="A28" s="9" t="s">
        <v>36</v>
      </c>
      <c r="B28" s="5">
        <f>MAX(B4:B22)</f>
        <v>1806123</v>
      </c>
    </row>
    <row r="29" spans="1:7" ht="15" customHeight="1" x14ac:dyDescent="0.2">
      <c r="A29" s="9" t="s">
        <v>37</v>
      </c>
      <c r="B29" s="10">
        <f>F22*G4/1024/1024/1024</f>
        <v>26.766441746614873</v>
      </c>
    </row>
    <row r="30" spans="1:7" ht="15" customHeight="1" x14ac:dyDescent="0.2">
      <c r="A30" s="9" t="s">
        <v>38</v>
      </c>
      <c r="B30" s="7">
        <v>20</v>
      </c>
    </row>
    <row r="31" spans="1:7" ht="15" customHeight="1" x14ac:dyDescent="0.2">
      <c r="A31" s="9" t="s">
        <v>39</v>
      </c>
      <c r="B31" s="5">
        <f>B8*F30/B25</f>
        <v>0</v>
      </c>
    </row>
    <row r="33" spans="1:1" ht="15" customHeight="1" x14ac:dyDescent="0.2">
      <c r="A33" s="11" t="s">
        <v>40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57"/>
  <sheetViews>
    <sheetView topLeftCell="A20" zoomScaleNormal="100" workbookViewId="0">
      <selection sqref="A1:F1"/>
    </sheetView>
  </sheetViews>
  <sheetFormatPr baseColWidth="10" defaultColWidth="8.6640625" defaultRowHeight="15" customHeight="1" x14ac:dyDescent="0.2"/>
  <cols>
    <col min="1" max="2" width="14" customWidth="1"/>
    <col min="3" max="3" width="16" customWidth="1"/>
    <col min="4" max="5" width="18" customWidth="1"/>
    <col min="6" max="6" width="16" customWidth="1"/>
    <col min="8" max="8" width="34" customWidth="1"/>
    <col min="9" max="9" width="18" customWidth="1"/>
    <col min="10" max="10" width="14" customWidth="1"/>
  </cols>
  <sheetData>
    <row r="1" spans="1:10" ht="17.25" customHeight="1" x14ac:dyDescent="0.2">
      <c r="A1" s="2" t="s">
        <v>41</v>
      </c>
      <c r="B1" s="2"/>
      <c r="C1" s="2"/>
      <c r="D1" s="2"/>
      <c r="E1" s="2"/>
      <c r="F1" s="2"/>
    </row>
    <row r="3" spans="1:10" ht="15" customHeight="1" x14ac:dyDescent="0.2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H3" s="1" t="s">
        <v>48</v>
      </c>
      <c r="I3" s="1"/>
      <c r="J3" s="1"/>
    </row>
    <row r="4" spans="1:10" ht="15" customHeight="1" x14ac:dyDescent="0.2">
      <c r="A4" s="12">
        <v>45526</v>
      </c>
      <c r="B4" s="3" t="s">
        <v>49</v>
      </c>
      <c r="C4" s="13">
        <v>50532</v>
      </c>
      <c r="D4" s="13"/>
      <c r="E4" s="13"/>
      <c r="F4" s="3" t="s">
        <v>50</v>
      </c>
      <c r="G4" s="3"/>
      <c r="H4" s="3" t="s">
        <v>51</v>
      </c>
      <c r="I4" s="3" t="s">
        <v>52</v>
      </c>
      <c r="J4" s="3" t="s">
        <v>53</v>
      </c>
    </row>
    <row r="5" spans="1:10" ht="15" customHeight="1" x14ac:dyDescent="0.2">
      <c r="A5" s="14">
        <v>45527</v>
      </c>
      <c r="B5" s="4" t="s">
        <v>54</v>
      </c>
      <c r="C5" s="5">
        <v>38973</v>
      </c>
      <c r="D5" s="5"/>
      <c r="E5" s="5"/>
      <c r="F5" s="4" t="s">
        <v>50</v>
      </c>
      <c r="H5" s="4" t="s">
        <v>55</v>
      </c>
      <c r="I5" s="5">
        <f t="shared" ref="I5:I11" si="0">AVERAGEIF(B$4:B$557,H5,C$4:C$557)</f>
        <v>60026.924050632908</v>
      </c>
      <c r="J5" s="6">
        <f t="shared" ref="J5:J11" si="1">I5/MAX(I$6:I$12)</f>
        <v>0.95150695040959654</v>
      </c>
    </row>
    <row r="6" spans="1:10" ht="15" customHeight="1" x14ac:dyDescent="0.2">
      <c r="A6" s="14">
        <v>45528</v>
      </c>
      <c r="B6" s="4" t="s">
        <v>56</v>
      </c>
      <c r="C6" s="5">
        <v>21658</v>
      </c>
      <c r="D6" s="5"/>
      <c r="E6" s="5"/>
      <c r="F6" s="4" t="s">
        <v>57</v>
      </c>
      <c r="H6" s="4" t="s">
        <v>58</v>
      </c>
      <c r="I6" s="5">
        <f t="shared" si="0"/>
        <v>63086.164556962023</v>
      </c>
      <c r="J6" s="6">
        <f t="shared" si="1"/>
        <v>1</v>
      </c>
    </row>
    <row r="7" spans="1:10" ht="15" customHeight="1" x14ac:dyDescent="0.2">
      <c r="A7" s="14">
        <v>45529</v>
      </c>
      <c r="B7" s="4" t="s">
        <v>59</v>
      </c>
      <c r="C7" s="5">
        <v>35414</v>
      </c>
      <c r="D7" s="5"/>
      <c r="E7" s="5"/>
      <c r="F7" s="4" t="s">
        <v>57</v>
      </c>
      <c r="H7" s="4" t="s">
        <v>60</v>
      </c>
      <c r="I7" s="5">
        <f t="shared" si="0"/>
        <v>61933.544303797469</v>
      </c>
      <c r="J7" s="6">
        <f t="shared" si="1"/>
        <v>0.98172942892852799</v>
      </c>
    </row>
    <row r="8" spans="1:10" ht="15" customHeight="1" x14ac:dyDescent="0.2">
      <c r="A8" s="14">
        <v>45530</v>
      </c>
      <c r="B8" s="4" t="s">
        <v>55</v>
      </c>
      <c r="C8" s="5">
        <v>54499</v>
      </c>
      <c r="D8" s="5"/>
      <c r="E8" s="5"/>
      <c r="F8" s="4" t="s">
        <v>50</v>
      </c>
      <c r="H8" s="4" t="s">
        <v>49</v>
      </c>
      <c r="I8" s="5">
        <f t="shared" si="0"/>
        <v>61209.087500000001</v>
      </c>
      <c r="J8" s="6">
        <f t="shared" si="1"/>
        <v>0.9702458206146426</v>
      </c>
    </row>
    <row r="9" spans="1:10" ht="15" customHeight="1" x14ac:dyDescent="0.2">
      <c r="A9" s="14">
        <v>45531</v>
      </c>
      <c r="B9" s="4" t="s">
        <v>58</v>
      </c>
      <c r="C9" s="5">
        <v>56357</v>
      </c>
      <c r="D9" s="5"/>
      <c r="E9" s="5"/>
      <c r="F9" s="4" t="s">
        <v>50</v>
      </c>
      <c r="H9" s="4" t="s">
        <v>54</v>
      </c>
      <c r="I9" s="5">
        <f t="shared" si="0"/>
        <v>35751.594936708861</v>
      </c>
      <c r="J9" s="6">
        <f t="shared" si="1"/>
        <v>0.56671054878328964</v>
      </c>
    </row>
    <row r="10" spans="1:10" ht="15" customHeight="1" x14ac:dyDescent="0.2">
      <c r="A10" s="14">
        <v>45532</v>
      </c>
      <c r="B10" s="4" t="s">
        <v>60</v>
      </c>
      <c r="C10" s="5">
        <v>53705</v>
      </c>
      <c r="D10" s="5">
        <f t="shared" ref="D10:D73" si="2">AVERAGE(C4:C10)</f>
        <v>44448.285714285717</v>
      </c>
      <c r="E10" s="5"/>
      <c r="F10" s="4" t="s">
        <v>50</v>
      </c>
      <c r="H10" s="4" t="s">
        <v>56</v>
      </c>
      <c r="I10" s="5">
        <f t="shared" si="0"/>
        <v>27762.962025316454</v>
      </c>
      <c r="J10" s="6">
        <f t="shared" si="1"/>
        <v>0.44008004322799821</v>
      </c>
    </row>
    <row r="11" spans="1:10" ht="15" customHeight="1" x14ac:dyDescent="0.2">
      <c r="A11" s="14">
        <v>45533</v>
      </c>
      <c r="B11" s="4" t="s">
        <v>49</v>
      </c>
      <c r="C11" s="5">
        <v>53776</v>
      </c>
      <c r="D11" s="5">
        <f t="shared" si="2"/>
        <v>44911.714285714283</v>
      </c>
      <c r="E11" s="5"/>
      <c r="F11" s="4" t="s">
        <v>50</v>
      </c>
      <c r="H11" s="4" t="s">
        <v>59</v>
      </c>
      <c r="I11" s="5">
        <f t="shared" si="0"/>
        <v>53619.696202531646</v>
      </c>
      <c r="J11" s="6">
        <f t="shared" si="1"/>
        <v>0.84994382808162516</v>
      </c>
    </row>
    <row r="12" spans="1:10" ht="15" customHeight="1" x14ac:dyDescent="0.2">
      <c r="A12" s="14">
        <v>45534</v>
      </c>
      <c r="B12" s="4" t="s">
        <v>54</v>
      </c>
      <c r="C12" s="5">
        <v>41389</v>
      </c>
      <c r="D12" s="5">
        <f t="shared" si="2"/>
        <v>45256.857142857145</v>
      </c>
      <c r="E12" s="5"/>
      <c r="F12" s="4" t="s">
        <v>50</v>
      </c>
    </row>
    <row r="13" spans="1:10" ht="15" customHeight="1" x14ac:dyDescent="0.2">
      <c r="A13" s="14">
        <v>45535</v>
      </c>
      <c r="B13" s="4" t="s">
        <v>56</v>
      </c>
      <c r="C13" s="5">
        <v>16854</v>
      </c>
      <c r="D13" s="5">
        <f t="shared" si="2"/>
        <v>44570.571428571428</v>
      </c>
      <c r="E13" s="5"/>
      <c r="F13" s="4" t="s">
        <v>57</v>
      </c>
      <c r="H13" s="9" t="s">
        <v>61</v>
      </c>
      <c r="I13" s="5">
        <f>AVERAGEIF(F$4:F$557,"Weekday",C$4:C$557)</f>
        <v>56413.603535353534</v>
      </c>
    </row>
    <row r="14" spans="1:10" ht="15" customHeight="1" x14ac:dyDescent="0.2">
      <c r="A14" s="14">
        <v>45536</v>
      </c>
      <c r="B14" s="4" t="s">
        <v>59</v>
      </c>
      <c r="C14" s="5">
        <v>27500</v>
      </c>
      <c r="D14" s="5">
        <f t="shared" si="2"/>
        <v>43440</v>
      </c>
      <c r="E14" s="5"/>
      <c r="F14" s="4" t="s">
        <v>57</v>
      </c>
      <c r="H14" s="9" t="s">
        <v>62</v>
      </c>
      <c r="I14" s="5">
        <f>AVERAGEIF(F$4:F$557,"Weekend",C$4:C$557)</f>
        <v>40691.329113924054</v>
      </c>
    </row>
    <row r="15" spans="1:10" ht="15" customHeight="1" x14ac:dyDescent="0.2">
      <c r="A15" s="14">
        <v>45537</v>
      </c>
      <c r="B15" s="4" t="s">
        <v>55</v>
      </c>
      <c r="C15" s="5">
        <v>25145</v>
      </c>
      <c r="D15" s="5">
        <f t="shared" si="2"/>
        <v>39246.571428571428</v>
      </c>
      <c r="E15" s="5"/>
      <c r="F15" s="4" t="s">
        <v>50</v>
      </c>
      <c r="H15" s="9" t="s">
        <v>63</v>
      </c>
      <c r="I15" s="6">
        <f>I14/I13</f>
        <v>0.72130349000704108</v>
      </c>
    </row>
    <row r="16" spans="1:10" ht="15" customHeight="1" x14ac:dyDescent="0.2">
      <c r="A16" s="14">
        <v>45538</v>
      </c>
      <c r="B16" s="4" t="s">
        <v>58</v>
      </c>
      <c r="C16" s="5">
        <v>54495</v>
      </c>
      <c r="D16" s="5">
        <f t="shared" si="2"/>
        <v>38980.571428571428</v>
      </c>
      <c r="E16" s="5"/>
      <c r="F16" s="4" t="s">
        <v>50</v>
      </c>
    </row>
    <row r="17" spans="1:10" ht="15" customHeight="1" x14ac:dyDescent="0.2">
      <c r="A17" s="14">
        <v>45539</v>
      </c>
      <c r="B17" s="4" t="s">
        <v>60</v>
      </c>
      <c r="C17" s="5">
        <v>59690</v>
      </c>
      <c r="D17" s="5">
        <f t="shared" si="2"/>
        <v>39835.571428571428</v>
      </c>
      <c r="E17" s="5"/>
      <c r="F17" s="4" t="s">
        <v>50</v>
      </c>
    </row>
    <row r="18" spans="1:10" ht="15" customHeight="1" x14ac:dyDescent="0.2">
      <c r="A18" s="14">
        <v>45540</v>
      </c>
      <c r="B18" s="4" t="s">
        <v>49</v>
      </c>
      <c r="C18" s="5">
        <v>54087</v>
      </c>
      <c r="D18" s="5">
        <f t="shared" si="2"/>
        <v>39880</v>
      </c>
      <c r="E18" s="5"/>
      <c r="F18" s="4" t="s">
        <v>50</v>
      </c>
      <c r="H18" s="1" t="s">
        <v>64</v>
      </c>
      <c r="I18" s="1"/>
      <c r="J18" s="1"/>
    </row>
    <row r="19" spans="1:10" ht="15" customHeight="1" x14ac:dyDescent="0.2">
      <c r="A19" s="14">
        <v>45541</v>
      </c>
      <c r="B19" s="4" t="s">
        <v>54</v>
      </c>
      <c r="C19" s="5">
        <v>41556</v>
      </c>
      <c r="D19" s="5">
        <f t="shared" si="2"/>
        <v>39903.857142857145</v>
      </c>
      <c r="E19" s="5"/>
      <c r="F19" s="4" t="s">
        <v>50</v>
      </c>
      <c r="H19" s="9" t="s">
        <v>65</v>
      </c>
      <c r="I19" s="5">
        <f>AVERAGE(C4:C557)</f>
        <v>51929.633574007217</v>
      </c>
    </row>
    <row r="20" spans="1:10" ht="15" customHeight="1" x14ac:dyDescent="0.2">
      <c r="A20" s="14">
        <v>45542</v>
      </c>
      <c r="B20" s="4" t="s">
        <v>56</v>
      </c>
      <c r="C20" s="5">
        <v>21270</v>
      </c>
      <c r="D20" s="5">
        <f t="shared" si="2"/>
        <v>40534.714285714283</v>
      </c>
      <c r="E20" s="5"/>
      <c r="F20" s="4" t="s">
        <v>57</v>
      </c>
      <c r="H20" s="9" t="s">
        <v>66</v>
      </c>
      <c r="I20" s="7">
        <v>20</v>
      </c>
    </row>
    <row r="21" spans="1:10" ht="15" customHeight="1" x14ac:dyDescent="0.2">
      <c r="A21" s="14">
        <v>45543</v>
      </c>
      <c r="B21" s="4" t="s">
        <v>59</v>
      </c>
      <c r="C21" s="5">
        <v>37329</v>
      </c>
      <c r="D21" s="5">
        <f t="shared" si="2"/>
        <v>41938.857142857145</v>
      </c>
      <c r="E21" s="5"/>
      <c r="F21" s="4" t="s">
        <v>57</v>
      </c>
      <c r="H21" s="9" t="s">
        <v>67</v>
      </c>
      <c r="I21" s="5">
        <f>I19*I20</f>
        <v>1038592.6714801444</v>
      </c>
    </row>
    <row r="22" spans="1:10" ht="15" customHeight="1" x14ac:dyDescent="0.2">
      <c r="A22" s="14">
        <v>45544</v>
      </c>
      <c r="B22" s="4" t="s">
        <v>55</v>
      </c>
      <c r="C22" s="5">
        <v>52095</v>
      </c>
      <c r="D22" s="5">
        <f t="shared" si="2"/>
        <v>45788.857142857145</v>
      </c>
      <c r="E22" s="5"/>
      <c r="F22" s="4" t="s">
        <v>50</v>
      </c>
      <c r="H22" s="9" t="s">
        <v>68</v>
      </c>
      <c r="I22" s="5">
        <f>I21*2</f>
        <v>2077185.3429602887</v>
      </c>
    </row>
    <row r="23" spans="1:10" ht="15" customHeight="1" x14ac:dyDescent="0.2">
      <c r="A23" s="14">
        <v>45545</v>
      </c>
      <c r="B23" s="4" t="s">
        <v>58</v>
      </c>
      <c r="C23" s="5">
        <v>52524</v>
      </c>
      <c r="D23" s="5">
        <f t="shared" si="2"/>
        <v>45507.285714285717</v>
      </c>
      <c r="E23" s="5"/>
      <c r="F23" s="4" t="s">
        <v>50</v>
      </c>
      <c r="H23" s="11" t="s">
        <v>69</v>
      </c>
    </row>
    <row r="24" spans="1:10" ht="15" customHeight="1" x14ac:dyDescent="0.2">
      <c r="A24" s="14">
        <v>45546</v>
      </c>
      <c r="B24" s="4" t="s">
        <v>60</v>
      </c>
      <c r="C24" s="5">
        <v>50860</v>
      </c>
      <c r="D24" s="5">
        <f t="shared" si="2"/>
        <v>44245.857142857145</v>
      </c>
      <c r="E24" s="5"/>
      <c r="F24" s="4" t="s">
        <v>50</v>
      </c>
    </row>
    <row r="25" spans="1:10" ht="15" customHeight="1" x14ac:dyDescent="0.2">
      <c r="A25" s="14">
        <v>45547</v>
      </c>
      <c r="B25" s="4" t="s">
        <v>49</v>
      </c>
      <c r="C25" s="5">
        <v>49930</v>
      </c>
      <c r="D25" s="5">
        <f t="shared" si="2"/>
        <v>43652</v>
      </c>
      <c r="E25" s="5"/>
      <c r="F25" s="4" t="s">
        <v>50</v>
      </c>
    </row>
    <row r="26" spans="1:10" ht="15" customHeight="1" x14ac:dyDescent="0.2">
      <c r="A26" s="14">
        <v>45548</v>
      </c>
      <c r="B26" s="4" t="s">
        <v>54</v>
      </c>
      <c r="C26" s="5">
        <v>38035</v>
      </c>
      <c r="D26" s="5">
        <f t="shared" si="2"/>
        <v>43149</v>
      </c>
      <c r="E26" s="5"/>
      <c r="F26" s="4" t="s">
        <v>50</v>
      </c>
    </row>
    <row r="27" spans="1:10" ht="15" customHeight="1" x14ac:dyDescent="0.2">
      <c r="A27" s="14">
        <v>45549</v>
      </c>
      <c r="B27" s="4" t="s">
        <v>56</v>
      </c>
      <c r="C27" s="5">
        <v>22022</v>
      </c>
      <c r="D27" s="5">
        <f t="shared" si="2"/>
        <v>43256.428571428572</v>
      </c>
      <c r="E27" s="5"/>
      <c r="F27" s="4" t="s">
        <v>57</v>
      </c>
    </row>
    <row r="28" spans="1:10" ht="15" customHeight="1" x14ac:dyDescent="0.2">
      <c r="A28" s="14">
        <v>45550</v>
      </c>
      <c r="B28" s="4" t="s">
        <v>59</v>
      </c>
      <c r="C28" s="5">
        <v>35572</v>
      </c>
      <c r="D28" s="5">
        <f t="shared" si="2"/>
        <v>43005.428571428572</v>
      </c>
      <c r="E28" s="5"/>
      <c r="F28" s="4" t="s">
        <v>57</v>
      </c>
    </row>
    <row r="29" spans="1:10" ht="15" customHeight="1" x14ac:dyDescent="0.2">
      <c r="A29" s="14">
        <v>45551</v>
      </c>
      <c r="B29" s="4" t="s">
        <v>55</v>
      </c>
      <c r="C29" s="5">
        <v>50946</v>
      </c>
      <c r="D29" s="5">
        <f t="shared" si="2"/>
        <v>42841.285714285717</v>
      </c>
      <c r="E29" s="5"/>
      <c r="F29" s="4" t="s">
        <v>50</v>
      </c>
    </row>
    <row r="30" spans="1:10" ht="15" customHeight="1" x14ac:dyDescent="0.2">
      <c r="A30" s="14">
        <v>45552</v>
      </c>
      <c r="B30" s="4" t="s">
        <v>58</v>
      </c>
      <c r="C30" s="5">
        <v>53925</v>
      </c>
      <c r="D30" s="5">
        <f t="shared" si="2"/>
        <v>43041.428571428572</v>
      </c>
      <c r="E30" s="5"/>
      <c r="F30" s="4" t="s">
        <v>50</v>
      </c>
    </row>
    <row r="31" spans="1:10" ht="15" customHeight="1" x14ac:dyDescent="0.2">
      <c r="A31" s="14">
        <v>45553</v>
      </c>
      <c r="B31" s="4" t="s">
        <v>60</v>
      </c>
      <c r="C31" s="5">
        <v>50995</v>
      </c>
      <c r="D31" s="5">
        <f t="shared" si="2"/>
        <v>43060.714285714283</v>
      </c>
      <c r="E31" s="5"/>
      <c r="F31" s="4" t="s">
        <v>50</v>
      </c>
    </row>
    <row r="32" spans="1:10" ht="15" customHeight="1" x14ac:dyDescent="0.2">
      <c r="A32" s="14">
        <v>45554</v>
      </c>
      <c r="B32" s="4" t="s">
        <v>49</v>
      </c>
      <c r="C32" s="5">
        <v>48928</v>
      </c>
      <c r="D32" s="5">
        <f t="shared" si="2"/>
        <v>42917.571428571428</v>
      </c>
      <c r="E32" s="5"/>
      <c r="F32" s="4" t="s">
        <v>50</v>
      </c>
    </row>
    <row r="33" spans="1:6" ht="15" customHeight="1" x14ac:dyDescent="0.2">
      <c r="A33" s="14">
        <v>45555</v>
      </c>
      <c r="B33" s="4" t="s">
        <v>54</v>
      </c>
      <c r="C33" s="5">
        <v>37534</v>
      </c>
      <c r="D33" s="5">
        <f t="shared" si="2"/>
        <v>42846</v>
      </c>
      <c r="E33" s="5">
        <f t="shared" ref="E33:E96" si="3">AVERAGE(C4:C33)</f>
        <v>42919.833333333336</v>
      </c>
      <c r="F33" s="4" t="s">
        <v>50</v>
      </c>
    </row>
    <row r="34" spans="1:6" ht="15" customHeight="1" x14ac:dyDescent="0.2">
      <c r="A34" s="14">
        <v>45556</v>
      </c>
      <c r="B34" s="4" t="s">
        <v>56</v>
      </c>
      <c r="C34" s="5">
        <v>16155</v>
      </c>
      <c r="D34" s="5">
        <f t="shared" si="2"/>
        <v>42007.857142857145</v>
      </c>
      <c r="E34" s="5">
        <f t="shared" si="3"/>
        <v>41773.933333333334</v>
      </c>
      <c r="F34" s="4" t="s">
        <v>57</v>
      </c>
    </row>
    <row r="35" spans="1:6" ht="15" customHeight="1" x14ac:dyDescent="0.2">
      <c r="A35" s="14">
        <v>45557</v>
      </c>
      <c r="B35" s="4" t="s">
        <v>59</v>
      </c>
      <c r="C35" s="5">
        <v>36399</v>
      </c>
      <c r="D35" s="5">
        <f t="shared" si="2"/>
        <v>42126</v>
      </c>
      <c r="E35" s="5">
        <f t="shared" si="3"/>
        <v>41688.133333333331</v>
      </c>
      <c r="F35" s="4" t="s">
        <v>57</v>
      </c>
    </row>
    <row r="36" spans="1:6" ht="15" customHeight="1" x14ac:dyDescent="0.2">
      <c r="A36" s="14">
        <v>45558</v>
      </c>
      <c r="B36" s="4" t="s">
        <v>55</v>
      </c>
      <c r="C36" s="5">
        <v>51400</v>
      </c>
      <c r="D36" s="5">
        <f t="shared" si="2"/>
        <v>42190.857142857145</v>
      </c>
      <c r="E36" s="5">
        <f t="shared" si="3"/>
        <v>42679.533333333333</v>
      </c>
      <c r="F36" s="4" t="s">
        <v>50</v>
      </c>
    </row>
    <row r="37" spans="1:6" ht="15" customHeight="1" x14ac:dyDescent="0.2">
      <c r="A37" s="14">
        <v>45559</v>
      </c>
      <c r="B37" s="4" t="s">
        <v>58</v>
      </c>
      <c r="C37" s="5">
        <v>53325</v>
      </c>
      <c r="D37" s="5">
        <f t="shared" si="2"/>
        <v>42105.142857142855</v>
      </c>
      <c r="E37" s="5">
        <f t="shared" si="3"/>
        <v>43276.566666666666</v>
      </c>
      <c r="F37" s="4" t="s">
        <v>50</v>
      </c>
    </row>
    <row r="38" spans="1:6" ht="15" customHeight="1" x14ac:dyDescent="0.2">
      <c r="A38" s="14">
        <v>45560</v>
      </c>
      <c r="B38" s="4" t="s">
        <v>60</v>
      </c>
      <c r="C38" s="5">
        <v>48693</v>
      </c>
      <c r="D38" s="5">
        <f t="shared" si="2"/>
        <v>41776.285714285717</v>
      </c>
      <c r="E38" s="5">
        <f t="shared" si="3"/>
        <v>43083.033333333333</v>
      </c>
      <c r="F38" s="4" t="s">
        <v>50</v>
      </c>
    </row>
    <row r="39" spans="1:6" ht="15" customHeight="1" x14ac:dyDescent="0.2">
      <c r="A39" s="14">
        <v>45561</v>
      </c>
      <c r="B39" s="4" t="s">
        <v>49</v>
      </c>
      <c r="C39" s="5">
        <v>50690</v>
      </c>
      <c r="D39" s="5">
        <f t="shared" si="2"/>
        <v>42028</v>
      </c>
      <c r="E39" s="5">
        <f t="shared" si="3"/>
        <v>42894.133333333331</v>
      </c>
      <c r="F39" s="4" t="s">
        <v>50</v>
      </c>
    </row>
    <row r="40" spans="1:6" ht="15" customHeight="1" x14ac:dyDescent="0.2">
      <c r="A40" s="14">
        <v>45562</v>
      </c>
      <c r="B40" s="4" t="s">
        <v>54</v>
      </c>
      <c r="C40" s="5">
        <v>32947</v>
      </c>
      <c r="D40" s="5">
        <f t="shared" si="2"/>
        <v>41372.714285714283</v>
      </c>
      <c r="E40" s="5">
        <f t="shared" si="3"/>
        <v>42202.2</v>
      </c>
      <c r="F40" s="4" t="s">
        <v>50</v>
      </c>
    </row>
    <row r="41" spans="1:6" ht="15" customHeight="1" x14ac:dyDescent="0.2">
      <c r="A41" s="14">
        <v>45563</v>
      </c>
      <c r="B41" s="4" t="s">
        <v>56</v>
      </c>
      <c r="C41" s="5">
        <v>20768</v>
      </c>
      <c r="D41" s="5">
        <f t="shared" si="2"/>
        <v>42031.714285714283</v>
      </c>
      <c r="E41" s="5">
        <f t="shared" si="3"/>
        <v>41101.933333333334</v>
      </c>
      <c r="F41" s="4" t="s">
        <v>57</v>
      </c>
    </row>
    <row r="42" spans="1:6" ht="15" customHeight="1" x14ac:dyDescent="0.2">
      <c r="A42" s="14">
        <v>45564</v>
      </c>
      <c r="B42" s="4" t="s">
        <v>59</v>
      </c>
      <c r="C42" s="5">
        <v>27257</v>
      </c>
      <c r="D42" s="5">
        <f t="shared" si="2"/>
        <v>40725.714285714283</v>
      </c>
      <c r="E42" s="5">
        <f t="shared" si="3"/>
        <v>40630.866666666669</v>
      </c>
      <c r="F42" s="4" t="s">
        <v>57</v>
      </c>
    </row>
    <row r="43" spans="1:6" ht="15" customHeight="1" x14ac:dyDescent="0.2">
      <c r="A43" s="14">
        <v>45565</v>
      </c>
      <c r="B43" s="4" t="s">
        <v>55</v>
      </c>
      <c r="C43" s="5">
        <v>52825</v>
      </c>
      <c r="D43" s="5">
        <f t="shared" si="2"/>
        <v>40929.285714285717</v>
      </c>
      <c r="E43" s="5">
        <f t="shared" si="3"/>
        <v>41829.9</v>
      </c>
      <c r="F43" s="4" t="s">
        <v>50</v>
      </c>
    </row>
    <row r="44" spans="1:6" ht="15" customHeight="1" x14ac:dyDescent="0.2">
      <c r="A44" s="14">
        <v>45566</v>
      </c>
      <c r="B44" s="4" t="s">
        <v>58</v>
      </c>
      <c r="C44" s="5">
        <v>54376</v>
      </c>
      <c r="D44" s="5">
        <f t="shared" si="2"/>
        <v>41079.428571428572</v>
      </c>
      <c r="E44" s="5">
        <f t="shared" si="3"/>
        <v>42725.76666666667</v>
      </c>
      <c r="F44" s="4" t="s">
        <v>50</v>
      </c>
    </row>
    <row r="45" spans="1:6" ht="15" customHeight="1" x14ac:dyDescent="0.2">
      <c r="A45" s="14">
        <v>45567</v>
      </c>
      <c r="B45" s="4" t="s">
        <v>60</v>
      </c>
      <c r="C45" s="5">
        <v>49327</v>
      </c>
      <c r="D45" s="5">
        <f t="shared" si="2"/>
        <v>41170</v>
      </c>
      <c r="E45" s="5">
        <f t="shared" si="3"/>
        <v>43531.833333333336</v>
      </c>
      <c r="F45" s="4" t="s">
        <v>50</v>
      </c>
    </row>
    <row r="46" spans="1:6" ht="15" customHeight="1" x14ac:dyDescent="0.2">
      <c r="A46" s="14">
        <v>45568</v>
      </c>
      <c r="B46" s="4" t="s">
        <v>49</v>
      </c>
      <c r="C46" s="5">
        <v>49356</v>
      </c>
      <c r="D46" s="5">
        <f t="shared" si="2"/>
        <v>40979.428571428572</v>
      </c>
      <c r="E46" s="5">
        <f t="shared" si="3"/>
        <v>43360.533333333333</v>
      </c>
      <c r="F46" s="4" t="s">
        <v>50</v>
      </c>
    </row>
    <row r="47" spans="1:6" ht="15" customHeight="1" x14ac:dyDescent="0.2">
      <c r="A47" s="14">
        <v>45569</v>
      </c>
      <c r="B47" s="4" t="s">
        <v>54</v>
      </c>
      <c r="C47" s="5">
        <v>38488</v>
      </c>
      <c r="D47" s="5">
        <f t="shared" si="2"/>
        <v>41771</v>
      </c>
      <c r="E47" s="5">
        <f t="shared" si="3"/>
        <v>42653.8</v>
      </c>
      <c r="F47" s="4" t="s">
        <v>50</v>
      </c>
    </row>
    <row r="48" spans="1:6" ht="15" customHeight="1" x14ac:dyDescent="0.2">
      <c r="A48" s="14">
        <v>45570</v>
      </c>
      <c r="B48" s="4" t="s">
        <v>56</v>
      </c>
      <c r="C48" s="5">
        <v>19520</v>
      </c>
      <c r="D48" s="5">
        <f t="shared" si="2"/>
        <v>41592.714285714283</v>
      </c>
      <c r="E48" s="5">
        <f t="shared" si="3"/>
        <v>41501.566666666666</v>
      </c>
      <c r="F48" s="4" t="s">
        <v>57</v>
      </c>
    </row>
    <row r="49" spans="1:6" ht="15" customHeight="1" x14ac:dyDescent="0.2">
      <c r="A49" s="14">
        <v>45571</v>
      </c>
      <c r="B49" s="4" t="s">
        <v>59</v>
      </c>
      <c r="C49" s="5">
        <v>34006</v>
      </c>
      <c r="D49" s="5">
        <f t="shared" si="2"/>
        <v>42556.857142857145</v>
      </c>
      <c r="E49" s="5">
        <f t="shared" si="3"/>
        <v>41249.9</v>
      </c>
      <c r="F49" s="4" t="s">
        <v>57</v>
      </c>
    </row>
    <row r="50" spans="1:6" ht="15" customHeight="1" x14ac:dyDescent="0.2">
      <c r="A50" s="14">
        <v>45572</v>
      </c>
      <c r="B50" s="4" t="s">
        <v>55</v>
      </c>
      <c r="C50" s="5">
        <v>52138</v>
      </c>
      <c r="D50" s="5">
        <f t="shared" si="2"/>
        <v>42458.714285714283</v>
      </c>
      <c r="E50" s="5">
        <f t="shared" si="3"/>
        <v>42278.833333333336</v>
      </c>
      <c r="F50" s="4" t="s">
        <v>50</v>
      </c>
    </row>
    <row r="51" spans="1:6" ht="15" customHeight="1" x14ac:dyDescent="0.2">
      <c r="A51" s="14">
        <v>45573</v>
      </c>
      <c r="B51" s="4" t="s">
        <v>58</v>
      </c>
      <c r="C51" s="5">
        <v>52077</v>
      </c>
      <c r="D51" s="5">
        <f t="shared" si="2"/>
        <v>42130.285714285717</v>
      </c>
      <c r="E51" s="5">
        <f t="shared" si="3"/>
        <v>42770.433333333334</v>
      </c>
      <c r="F51" s="4" t="s">
        <v>50</v>
      </c>
    </row>
    <row r="52" spans="1:6" ht="15" customHeight="1" x14ac:dyDescent="0.2">
      <c r="A52" s="14">
        <v>45574</v>
      </c>
      <c r="B52" s="4" t="s">
        <v>60</v>
      </c>
      <c r="C52" s="5">
        <v>48981</v>
      </c>
      <c r="D52" s="5">
        <f t="shared" si="2"/>
        <v>42080.857142857145</v>
      </c>
      <c r="E52" s="5">
        <f t="shared" si="3"/>
        <v>42666.633333333331</v>
      </c>
      <c r="F52" s="4" t="s">
        <v>50</v>
      </c>
    </row>
    <row r="53" spans="1:6" ht="15" customHeight="1" x14ac:dyDescent="0.2">
      <c r="A53" s="14">
        <v>45575</v>
      </c>
      <c r="B53" s="4" t="s">
        <v>49</v>
      </c>
      <c r="C53" s="5">
        <v>49954</v>
      </c>
      <c r="D53" s="5">
        <f t="shared" si="2"/>
        <v>42166.285714285717</v>
      </c>
      <c r="E53" s="5">
        <f t="shared" si="3"/>
        <v>42580.966666666667</v>
      </c>
      <c r="F53" s="4" t="s">
        <v>50</v>
      </c>
    </row>
    <row r="54" spans="1:6" ht="15" customHeight="1" x14ac:dyDescent="0.2">
      <c r="A54" s="14">
        <v>45576</v>
      </c>
      <c r="B54" s="4" t="s">
        <v>54</v>
      </c>
      <c r="C54" s="5">
        <v>36074</v>
      </c>
      <c r="D54" s="5">
        <f t="shared" si="2"/>
        <v>41821.428571428572</v>
      </c>
      <c r="E54" s="5">
        <f t="shared" si="3"/>
        <v>42088.1</v>
      </c>
      <c r="F54" s="4" t="s">
        <v>50</v>
      </c>
    </row>
    <row r="55" spans="1:6" ht="15" customHeight="1" x14ac:dyDescent="0.2">
      <c r="A55" s="14">
        <v>45577</v>
      </c>
      <c r="B55" s="4" t="s">
        <v>56</v>
      </c>
      <c r="C55" s="5">
        <v>22513</v>
      </c>
      <c r="D55" s="5">
        <f t="shared" si="2"/>
        <v>42249</v>
      </c>
      <c r="E55" s="5">
        <f t="shared" si="3"/>
        <v>41174.199999999997</v>
      </c>
      <c r="F55" s="4" t="s">
        <v>57</v>
      </c>
    </row>
    <row r="56" spans="1:6" ht="15" customHeight="1" x14ac:dyDescent="0.2">
      <c r="A56" s="14">
        <v>45578</v>
      </c>
      <c r="B56" s="4" t="s">
        <v>59</v>
      </c>
      <c r="C56" s="5">
        <v>34386</v>
      </c>
      <c r="D56" s="5">
        <f t="shared" si="2"/>
        <v>42303.285714285717</v>
      </c>
      <c r="E56" s="5">
        <f t="shared" si="3"/>
        <v>41052.566666666666</v>
      </c>
      <c r="F56" s="4" t="s">
        <v>57</v>
      </c>
    </row>
    <row r="57" spans="1:6" ht="15" customHeight="1" x14ac:dyDescent="0.2">
      <c r="A57" s="14">
        <v>45579</v>
      </c>
      <c r="B57" s="4" t="s">
        <v>55</v>
      </c>
      <c r="C57" s="5">
        <v>49986</v>
      </c>
      <c r="D57" s="5">
        <f t="shared" si="2"/>
        <v>41995.857142857145</v>
      </c>
      <c r="E57" s="5">
        <f t="shared" si="3"/>
        <v>41984.7</v>
      </c>
      <c r="F57" s="4" t="s">
        <v>50</v>
      </c>
    </row>
    <row r="58" spans="1:6" ht="15" customHeight="1" x14ac:dyDescent="0.2">
      <c r="A58" s="14">
        <v>45580</v>
      </c>
      <c r="B58" s="4" t="s">
        <v>58</v>
      </c>
      <c r="C58" s="5">
        <v>56591</v>
      </c>
      <c r="D58" s="5">
        <f t="shared" si="2"/>
        <v>42640.714285714283</v>
      </c>
      <c r="E58" s="5">
        <f t="shared" si="3"/>
        <v>42685.333333333336</v>
      </c>
      <c r="F58" s="4" t="s">
        <v>50</v>
      </c>
    </row>
    <row r="59" spans="1:6" ht="15" customHeight="1" x14ac:dyDescent="0.2">
      <c r="A59" s="14">
        <v>45581</v>
      </c>
      <c r="B59" s="4" t="s">
        <v>60</v>
      </c>
      <c r="C59" s="5">
        <v>51461</v>
      </c>
      <c r="D59" s="5">
        <f t="shared" si="2"/>
        <v>42995</v>
      </c>
      <c r="E59" s="5">
        <f t="shared" si="3"/>
        <v>42702.5</v>
      </c>
      <c r="F59" s="4" t="s">
        <v>50</v>
      </c>
    </row>
    <row r="60" spans="1:6" ht="15" customHeight="1" x14ac:dyDescent="0.2">
      <c r="A60" s="14">
        <v>45582</v>
      </c>
      <c r="B60" s="4" t="s">
        <v>49</v>
      </c>
      <c r="C60" s="5">
        <v>52025</v>
      </c>
      <c r="D60" s="5">
        <f t="shared" si="2"/>
        <v>43290.857142857145</v>
      </c>
      <c r="E60" s="5">
        <f t="shared" si="3"/>
        <v>42639.166666666664</v>
      </c>
      <c r="F60" s="4" t="s">
        <v>50</v>
      </c>
    </row>
    <row r="61" spans="1:6" ht="15" customHeight="1" x14ac:dyDescent="0.2">
      <c r="A61" s="14">
        <v>45583</v>
      </c>
      <c r="B61" s="4" t="s">
        <v>54</v>
      </c>
      <c r="C61" s="5">
        <v>37272</v>
      </c>
      <c r="D61" s="5">
        <f t="shared" si="2"/>
        <v>43462</v>
      </c>
      <c r="E61" s="5">
        <f t="shared" si="3"/>
        <v>42181.73333333333</v>
      </c>
      <c r="F61" s="4" t="s">
        <v>50</v>
      </c>
    </row>
    <row r="62" spans="1:6" ht="15" customHeight="1" x14ac:dyDescent="0.2">
      <c r="A62" s="14">
        <v>45584</v>
      </c>
      <c r="B62" s="4" t="s">
        <v>56</v>
      </c>
      <c r="C62" s="5">
        <v>21698</v>
      </c>
      <c r="D62" s="5">
        <f t="shared" si="2"/>
        <v>43345.571428571428</v>
      </c>
      <c r="E62" s="5">
        <f t="shared" si="3"/>
        <v>41274.066666666666</v>
      </c>
      <c r="F62" s="4" t="s">
        <v>57</v>
      </c>
    </row>
    <row r="63" spans="1:6" ht="15" customHeight="1" x14ac:dyDescent="0.2">
      <c r="A63" s="14">
        <v>45585</v>
      </c>
      <c r="B63" s="4" t="s">
        <v>59</v>
      </c>
      <c r="C63" s="5">
        <v>35989</v>
      </c>
      <c r="D63" s="5">
        <f t="shared" si="2"/>
        <v>43574.571428571428</v>
      </c>
      <c r="E63" s="5">
        <f t="shared" si="3"/>
        <v>41222.566666666666</v>
      </c>
      <c r="F63" s="4" t="s">
        <v>57</v>
      </c>
    </row>
    <row r="64" spans="1:6" ht="15" customHeight="1" x14ac:dyDescent="0.2">
      <c r="A64" s="14">
        <v>45586</v>
      </c>
      <c r="B64" s="4" t="s">
        <v>55</v>
      </c>
      <c r="C64" s="5">
        <v>51101</v>
      </c>
      <c r="D64" s="5">
        <f t="shared" si="2"/>
        <v>43733.857142857145</v>
      </c>
      <c r="E64" s="5">
        <f t="shared" si="3"/>
        <v>42387.433333333334</v>
      </c>
      <c r="F64" s="4" t="s">
        <v>50</v>
      </c>
    </row>
    <row r="65" spans="1:6" ht="15" customHeight="1" x14ac:dyDescent="0.2">
      <c r="A65" s="14">
        <v>45587</v>
      </c>
      <c r="B65" s="4" t="s">
        <v>58</v>
      </c>
      <c r="C65" s="5">
        <v>56619</v>
      </c>
      <c r="D65" s="5">
        <f t="shared" si="2"/>
        <v>43737.857142857145</v>
      </c>
      <c r="E65" s="5">
        <f t="shared" si="3"/>
        <v>43061.433333333334</v>
      </c>
      <c r="F65" s="4" t="s">
        <v>50</v>
      </c>
    </row>
    <row r="66" spans="1:6" ht="15" customHeight="1" x14ac:dyDescent="0.2">
      <c r="A66" s="14">
        <v>45588</v>
      </c>
      <c r="B66" s="4" t="s">
        <v>60</v>
      </c>
      <c r="C66" s="5">
        <v>52441</v>
      </c>
      <c r="D66" s="5">
        <f t="shared" si="2"/>
        <v>43877.857142857145</v>
      </c>
      <c r="E66" s="5">
        <f t="shared" si="3"/>
        <v>43096.133333333331</v>
      </c>
      <c r="F66" s="4" t="s">
        <v>50</v>
      </c>
    </row>
    <row r="67" spans="1:6" ht="15" customHeight="1" x14ac:dyDescent="0.2">
      <c r="A67" s="14">
        <v>45589</v>
      </c>
      <c r="B67" s="4" t="s">
        <v>49</v>
      </c>
      <c r="C67" s="5">
        <v>53482</v>
      </c>
      <c r="D67" s="5">
        <f t="shared" si="2"/>
        <v>44086</v>
      </c>
      <c r="E67" s="5">
        <f t="shared" si="3"/>
        <v>43101.366666666669</v>
      </c>
      <c r="F67" s="4" t="s">
        <v>50</v>
      </c>
    </row>
    <row r="68" spans="1:6" ht="15" customHeight="1" x14ac:dyDescent="0.2">
      <c r="A68" s="14">
        <v>45590</v>
      </c>
      <c r="B68" s="4" t="s">
        <v>54</v>
      </c>
      <c r="C68" s="5">
        <v>34854</v>
      </c>
      <c r="D68" s="5">
        <f t="shared" si="2"/>
        <v>43740.571428571428</v>
      </c>
      <c r="E68" s="5">
        <f t="shared" si="3"/>
        <v>42640.066666666666</v>
      </c>
      <c r="F68" s="4" t="s">
        <v>50</v>
      </c>
    </row>
    <row r="69" spans="1:6" ht="15" customHeight="1" x14ac:dyDescent="0.2">
      <c r="A69" s="14">
        <v>45591</v>
      </c>
      <c r="B69" s="4" t="s">
        <v>56</v>
      </c>
      <c r="C69" s="5">
        <v>22673</v>
      </c>
      <c r="D69" s="5">
        <f t="shared" si="2"/>
        <v>43879.857142857145</v>
      </c>
      <c r="E69" s="5">
        <f t="shared" si="3"/>
        <v>41706.166666666664</v>
      </c>
      <c r="F69" s="4" t="s">
        <v>57</v>
      </c>
    </row>
    <row r="70" spans="1:6" ht="15" customHeight="1" x14ac:dyDescent="0.2">
      <c r="A70" s="14">
        <v>45592</v>
      </c>
      <c r="B70" s="4" t="s">
        <v>59</v>
      </c>
      <c r="C70" s="5">
        <v>35782</v>
      </c>
      <c r="D70" s="5">
        <f t="shared" si="2"/>
        <v>43850.285714285717</v>
      </c>
      <c r="E70" s="5">
        <f t="shared" si="3"/>
        <v>41800.666666666664</v>
      </c>
      <c r="F70" s="4" t="s">
        <v>57</v>
      </c>
    </row>
    <row r="71" spans="1:6" ht="15" customHeight="1" x14ac:dyDescent="0.2">
      <c r="A71" s="14">
        <v>45593</v>
      </c>
      <c r="B71" s="4" t="s">
        <v>55</v>
      </c>
      <c r="C71" s="5">
        <v>52652</v>
      </c>
      <c r="D71" s="5">
        <f t="shared" si="2"/>
        <v>44071.857142857145</v>
      </c>
      <c r="E71" s="5">
        <f t="shared" si="3"/>
        <v>42863.466666666667</v>
      </c>
      <c r="F71" s="4" t="s">
        <v>50</v>
      </c>
    </row>
    <row r="72" spans="1:6" ht="15" customHeight="1" x14ac:dyDescent="0.2">
      <c r="A72" s="14">
        <v>45594</v>
      </c>
      <c r="B72" s="4" t="s">
        <v>58</v>
      </c>
      <c r="C72" s="5">
        <v>52153</v>
      </c>
      <c r="D72" s="5">
        <f t="shared" si="2"/>
        <v>43433.857142857145</v>
      </c>
      <c r="E72" s="5">
        <f t="shared" si="3"/>
        <v>43693.333333333336</v>
      </c>
      <c r="F72" s="4" t="s">
        <v>50</v>
      </c>
    </row>
    <row r="73" spans="1:6" ht="15" customHeight="1" x14ac:dyDescent="0.2">
      <c r="A73" s="14">
        <v>45595</v>
      </c>
      <c r="B73" s="4" t="s">
        <v>60</v>
      </c>
      <c r="C73" s="5">
        <v>52565</v>
      </c>
      <c r="D73" s="5">
        <f t="shared" si="2"/>
        <v>43451.571428571428</v>
      </c>
      <c r="E73" s="5">
        <f t="shared" si="3"/>
        <v>43684.666666666664</v>
      </c>
      <c r="F73" s="4" t="s">
        <v>50</v>
      </c>
    </row>
    <row r="74" spans="1:6" ht="15" customHeight="1" x14ac:dyDescent="0.2">
      <c r="A74" s="14">
        <v>45596</v>
      </c>
      <c r="B74" s="4" t="s">
        <v>49</v>
      </c>
      <c r="C74" s="5">
        <v>51203</v>
      </c>
      <c r="D74" s="5">
        <f t="shared" ref="D74:D137" si="4">AVERAGE(C68:C74)</f>
        <v>43126</v>
      </c>
      <c r="E74" s="5">
        <f t="shared" si="3"/>
        <v>43578.9</v>
      </c>
      <c r="F74" s="4" t="s">
        <v>50</v>
      </c>
    </row>
    <row r="75" spans="1:6" ht="15" customHeight="1" x14ac:dyDescent="0.2">
      <c r="A75" s="14">
        <v>45597</v>
      </c>
      <c r="B75" s="4" t="s">
        <v>54</v>
      </c>
      <c r="C75" s="5">
        <v>27420</v>
      </c>
      <c r="D75" s="5">
        <f t="shared" si="4"/>
        <v>42064</v>
      </c>
      <c r="E75" s="5">
        <f t="shared" si="3"/>
        <v>42848.666666666664</v>
      </c>
      <c r="F75" s="4" t="s">
        <v>50</v>
      </c>
    </row>
    <row r="76" spans="1:6" ht="15" customHeight="1" x14ac:dyDescent="0.2">
      <c r="A76" s="14">
        <v>45598</v>
      </c>
      <c r="B76" s="4" t="s">
        <v>56</v>
      </c>
      <c r="C76" s="5">
        <v>24945</v>
      </c>
      <c r="D76" s="5">
        <f t="shared" si="4"/>
        <v>42388.571428571428</v>
      </c>
      <c r="E76" s="5">
        <f t="shared" si="3"/>
        <v>42034.966666666667</v>
      </c>
      <c r="F76" s="4" t="s">
        <v>57</v>
      </c>
    </row>
    <row r="77" spans="1:6" ht="15" customHeight="1" x14ac:dyDescent="0.2">
      <c r="A77" s="14">
        <v>45599</v>
      </c>
      <c r="B77" s="4" t="s">
        <v>59</v>
      </c>
      <c r="C77" s="5">
        <v>39000</v>
      </c>
      <c r="D77" s="5">
        <f t="shared" si="4"/>
        <v>42848.285714285717</v>
      </c>
      <c r="E77" s="5">
        <f t="shared" si="3"/>
        <v>42052.033333333333</v>
      </c>
      <c r="F77" s="4" t="s">
        <v>57</v>
      </c>
    </row>
    <row r="78" spans="1:6" ht="15" customHeight="1" x14ac:dyDescent="0.2">
      <c r="A78" s="14">
        <v>45600</v>
      </c>
      <c r="B78" s="4" t="s">
        <v>55</v>
      </c>
      <c r="C78" s="5">
        <v>47400</v>
      </c>
      <c r="D78" s="5">
        <f t="shared" si="4"/>
        <v>42098</v>
      </c>
      <c r="E78" s="5">
        <f t="shared" si="3"/>
        <v>42981.366666666669</v>
      </c>
      <c r="F78" s="4" t="s">
        <v>50</v>
      </c>
    </row>
    <row r="79" spans="1:6" ht="15" customHeight="1" x14ac:dyDescent="0.2">
      <c r="A79" s="14">
        <v>45601</v>
      </c>
      <c r="B79" s="4" t="s">
        <v>58</v>
      </c>
      <c r="C79" s="5">
        <v>54444</v>
      </c>
      <c r="D79" s="5">
        <f t="shared" si="4"/>
        <v>42425.285714285717</v>
      </c>
      <c r="E79" s="5">
        <f t="shared" si="3"/>
        <v>43662.633333333331</v>
      </c>
      <c r="F79" s="4" t="s">
        <v>50</v>
      </c>
    </row>
    <row r="80" spans="1:6" ht="15" customHeight="1" x14ac:dyDescent="0.2">
      <c r="A80" s="14">
        <v>45602</v>
      </c>
      <c r="B80" s="4" t="s">
        <v>60</v>
      </c>
      <c r="C80" s="5">
        <v>51378</v>
      </c>
      <c r="D80" s="5">
        <f t="shared" si="4"/>
        <v>42255.714285714283</v>
      </c>
      <c r="E80" s="5">
        <f t="shared" si="3"/>
        <v>43637.3</v>
      </c>
      <c r="F80" s="4" t="s">
        <v>50</v>
      </c>
    </row>
    <row r="81" spans="1:6" ht="15" customHeight="1" x14ac:dyDescent="0.2">
      <c r="A81" s="14">
        <v>45603</v>
      </c>
      <c r="B81" s="4" t="s">
        <v>49</v>
      </c>
      <c r="C81" s="5">
        <v>48559</v>
      </c>
      <c r="D81" s="5">
        <f t="shared" si="4"/>
        <v>41878</v>
      </c>
      <c r="E81" s="5">
        <f t="shared" si="3"/>
        <v>43520.033333333333</v>
      </c>
      <c r="F81" s="4" t="s">
        <v>50</v>
      </c>
    </row>
    <row r="82" spans="1:6" ht="15" customHeight="1" x14ac:dyDescent="0.2">
      <c r="A82" s="14">
        <v>45604</v>
      </c>
      <c r="B82" s="4" t="s">
        <v>54</v>
      </c>
      <c r="C82" s="5">
        <v>36942</v>
      </c>
      <c r="D82" s="5">
        <f t="shared" si="4"/>
        <v>43238.285714285717</v>
      </c>
      <c r="E82" s="5">
        <f t="shared" si="3"/>
        <v>43118.73333333333</v>
      </c>
      <c r="F82" s="4" t="s">
        <v>50</v>
      </c>
    </row>
    <row r="83" spans="1:6" ht="15" customHeight="1" x14ac:dyDescent="0.2">
      <c r="A83" s="14">
        <v>45605</v>
      </c>
      <c r="B83" s="4" t="s">
        <v>56</v>
      </c>
      <c r="C83" s="5">
        <v>18275</v>
      </c>
      <c r="D83" s="5">
        <f t="shared" si="4"/>
        <v>42285.428571428572</v>
      </c>
      <c r="E83" s="5">
        <f t="shared" si="3"/>
        <v>42062.76666666667</v>
      </c>
      <c r="F83" s="4" t="s">
        <v>57</v>
      </c>
    </row>
    <row r="84" spans="1:6" ht="15" customHeight="1" x14ac:dyDescent="0.2">
      <c r="A84" s="14">
        <v>45606</v>
      </c>
      <c r="B84" s="4" t="s">
        <v>59</v>
      </c>
      <c r="C84" s="5">
        <v>35836</v>
      </c>
      <c r="D84" s="5">
        <f t="shared" si="4"/>
        <v>41833.428571428572</v>
      </c>
      <c r="E84" s="5">
        <f t="shared" si="3"/>
        <v>42054.833333333336</v>
      </c>
      <c r="F84" s="4" t="s">
        <v>57</v>
      </c>
    </row>
    <row r="85" spans="1:6" ht="15" customHeight="1" x14ac:dyDescent="0.2">
      <c r="A85" s="14">
        <v>45607</v>
      </c>
      <c r="B85" s="4" t="s">
        <v>55</v>
      </c>
      <c r="C85" s="5">
        <v>48409</v>
      </c>
      <c r="D85" s="5">
        <f t="shared" si="4"/>
        <v>41977.571428571428</v>
      </c>
      <c r="E85" s="5">
        <f t="shared" si="3"/>
        <v>42918.033333333333</v>
      </c>
      <c r="F85" s="4" t="s">
        <v>50</v>
      </c>
    </row>
    <row r="86" spans="1:6" ht="15" customHeight="1" x14ac:dyDescent="0.2">
      <c r="A86" s="14">
        <v>45608</v>
      </c>
      <c r="B86" s="4" t="s">
        <v>58</v>
      </c>
      <c r="C86" s="5">
        <v>52133</v>
      </c>
      <c r="D86" s="5">
        <f t="shared" si="4"/>
        <v>41647.428571428572</v>
      </c>
      <c r="E86" s="5">
        <f t="shared" si="3"/>
        <v>43509.599999999999</v>
      </c>
      <c r="F86" s="4" t="s">
        <v>50</v>
      </c>
    </row>
    <row r="87" spans="1:6" ht="15" customHeight="1" x14ac:dyDescent="0.2">
      <c r="A87" s="14">
        <v>45609</v>
      </c>
      <c r="B87" s="4" t="s">
        <v>60</v>
      </c>
      <c r="C87" s="5">
        <v>53627</v>
      </c>
      <c r="D87" s="5">
        <f t="shared" si="4"/>
        <v>41968.714285714283</v>
      </c>
      <c r="E87" s="5">
        <f t="shared" si="3"/>
        <v>43630.966666666667</v>
      </c>
      <c r="F87" s="4" t="s">
        <v>50</v>
      </c>
    </row>
    <row r="88" spans="1:6" ht="15" customHeight="1" x14ac:dyDescent="0.2">
      <c r="A88" s="14">
        <v>45610</v>
      </c>
      <c r="B88" s="4" t="s">
        <v>49</v>
      </c>
      <c r="C88" s="5">
        <v>49006</v>
      </c>
      <c r="D88" s="5">
        <f t="shared" si="4"/>
        <v>42032.571428571428</v>
      </c>
      <c r="E88" s="5">
        <f t="shared" si="3"/>
        <v>43378.133333333331</v>
      </c>
      <c r="F88" s="4" t="s">
        <v>50</v>
      </c>
    </row>
    <row r="89" spans="1:6" ht="15" customHeight="1" x14ac:dyDescent="0.2">
      <c r="A89" s="14">
        <v>45611</v>
      </c>
      <c r="B89" s="4" t="s">
        <v>54</v>
      </c>
      <c r="C89" s="5">
        <v>34623</v>
      </c>
      <c r="D89" s="5">
        <f t="shared" si="4"/>
        <v>41701.285714285717</v>
      </c>
      <c r="E89" s="5">
        <f t="shared" si="3"/>
        <v>42816.866666666669</v>
      </c>
      <c r="F89" s="4" t="s">
        <v>50</v>
      </c>
    </row>
    <row r="90" spans="1:6" ht="15" customHeight="1" x14ac:dyDescent="0.2">
      <c r="A90" s="14">
        <v>45612</v>
      </c>
      <c r="B90" s="4" t="s">
        <v>56</v>
      </c>
      <c r="C90" s="5">
        <v>19401</v>
      </c>
      <c r="D90" s="5">
        <f t="shared" si="4"/>
        <v>41862.142857142855</v>
      </c>
      <c r="E90" s="5">
        <f t="shared" si="3"/>
        <v>41729.4</v>
      </c>
      <c r="F90" s="4" t="s">
        <v>57</v>
      </c>
    </row>
    <row r="91" spans="1:6" ht="15" customHeight="1" x14ac:dyDescent="0.2">
      <c r="A91" s="14">
        <v>45613</v>
      </c>
      <c r="B91" s="4" t="s">
        <v>59</v>
      </c>
      <c r="C91" s="5">
        <v>37713</v>
      </c>
      <c r="D91" s="5">
        <f t="shared" si="4"/>
        <v>42130.285714285717</v>
      </c>
      <c r="E91" s="5">
        <f t="shared" si="3"/>
        <v>41744.1</v>
      </c>
      <c r="F91" s="4" t="s">
        <v>57</v>
      </c>
    </row>
    <row r="92" spans="1:6" ht="15" customHeight="1" x14ac:dyDescent="0.2">
      <c r="A92" s="14">
        <v>45614</v>
      </c>
      <c r="B92" s="4" t="s">
        <v>55</v>
      </c>
      <c r="C92" s="5">
        <v>49618</v>
      </c>
      <c r="D92" s="5">
        <f t="shared" si="4"/>
        <v>42303</v>
      </c>
      <c r="E92" s="5">
        <f t="shared" si="3"/>
        <v>42674.76666666667</v>
      </c>
      <c r="F92" s="4" t="s">
        <v>50</v>
      </c>
    </row>
    <row r="93" spans="1:6" ht="15" customHeight="1" x14ac:dyDescent="0.2">
      <c r="A93" s="14">
        <v>45615</v>
      </c>
      <c r="B93" s="4" t="s">
        <v>58</v>
      </c>
      <c r="C93" s="5">
        <v>52125</v>
      </c>
      <c r="D93" s="5">
        <f t="shared" si="4"/>
        <v>42301.857142857145</v>
      </c>
      <c r="E93" s="5">
        <f t="shared" si="3"/>
        <v>43212.633333333331</v>
      </c>
      <c r="F93" s="4" t="s">
        <v>50</v>
      </c>
    </row>
    <row r="94" spans="1:6" ht="15" customHeight="1" x14ac:dyDescent="0.2">
      <c r="A94" s="14">
        <v>45616</v>
      </c>
      <c r="B94" s="4" t="s">
        <v>60</v>
      </c>
      <c r="C94" s="5">
        <v>52327</v>
      </c>
      <c r="D94" s="5">
        <f t="shared" si="4"/>
        <v>42116.142857142855</v>
      </c>
      <c r="E94" s="5">
        <f t="shared" si="3"/>
        <v>43253.5</v>
      </c>
      <c r="F94" s="4" t="s">
        <v>50</v>
      </c>
    </row>
    <row r="95" spans="1:6" ht="15" customHeight="1" x14ac:dyDescent="0.2">
      <c r="A95" s="14">
        <v>45617</v>
      </c>
      <c r="B95" s="4" t="s">
        <v>49</v>
      </c>
      <c r="C95" s="5">
        <v>50090</v>
      </c>
      <c r="D95" s="5">
        <f t="shared" si="4"/>
        <v>42271</v>
      </c>
      <c r="E95" s="5">
        <f t="shared" si="3"/>
        <v>43035.866666666669</v>
      </c>
      <c r="F95" s="4" t="s">
        <v>50</v>
      </c>
    </row>
    <row r="96" spans="1:6" ht="15" customHeight="1" x14ac:dyDescent="0.2">
      <c r="A96" s="14">
        <v>45618</v>
      </c>
      <c r="B96" s="4" t="s">
        <v>54</v>
      </c>
      <c r="C96" s="5">
        <v>42351</v>
      </c>
      <c r="D96" s="5">
        <f t="shared" si="4"/>
        <v>43375</v>
      </c>
      <c r="E96" s="5">
        <f t="shared" si="3"/>
        <v>42699.533333333333</v>
      </c>
      <c r="F96" s="4" t="s">
        <v>50</v>
      </c>
    </row>
    <row r="97" spans="1:6" ht="15" customHeight="1" x14ac:dyDescent="0.2">
      <c r="A97" s="14">
        <v>45619</v>
      </c>
      <c r="B97" s="4" t="s">
        <v>56</v>
      </c>
      <c r="C97" s="5">
        <v>22276</v>
      </c>
      <c r="D97" s="5">
        <f t="shared" si="4"/>
        <v>43785.714285714283</v>
      </c>
      <c r="E97" s="5">
        <f t="shared" ref="E97:E160" si="5">AVERAGE(C68:C97)</f>
        <v>41659.333333333336</v>
      </c>
      <c r="F97" s="4" t="s">
        <v>57</v>
      </c>
    </row>
    <row r="98" spans="1:6" ht="15" customHeight="1" x14ac:dyDescent="0.2">
      <c r="A98" s="14">
        <v>45620</v>
      </c>
      <c r="B98" s="4" t="s">
        <v>59</v>
      </c>
      <c r="C98" s="5">
        <v>37416</v>
      </c>
      <c r="D98" s="5">
        <f t="shared" si="4"/>
        <v>43743.285714285717</v>
      </c>
      <c r="E98" s="5">
        <f t="shared" si="5"/>
        <v>41744.73333333333</v>
      </c>
      <c r="F98" s="4" t="s">
        <v>57</v>
      </c>
    </row>
    <row r="99" spans="1:6" ht="15" customHeight="1" x14ac:dyDescent="0.2">
      <c r="A99" s="14">
        <v>45621</v>
      </c>
      <c r="B99" s="4" t="s">
        <v>55</v>
      </c>
      <c r="C99" s="5">
        <v>48678</v>
      </c>
      <c r="D99" s="5">
        <f t="shared" si="4"/>
        <v>43609</v>
      </c>
      <c r="E99" s="5">
        <f t="shared" si="5"/>
        <v>42611.566666666666</v>
      </c>
      <c r="F99" s="4" t="s">
        <v>50</v>
      </c>
    </row>
    <row r="100" spans="1:6" ht="15" customHeight="1" x14ac:dyDescent="0.2">
      <c r="A100" s="14">
        <v>45622</v>
      </c>
      <c r="B100" s="4" t="s">
        <v>58</v>
      </c>
      <c r="C100" s="5">
        <v>53519</v>
      </c>
      <c r="D100" s="5">
        <f t="shared" si="4"/>
        <v>43808.142857142855</v>
      </c>
      <c r="E100" s="5">
        <f t="shared" si="5"/>
        <v>43202.8</v>
      </c>
      <c r="F100" s="4" t="s">
        <v>50</v>
      </c>
    </row>
    <row r="101" spans="1:6" ht="15" customHeight="1" x14ac:dyDescent="0.2">
      <c r="A101" s="14">
        <v>45623</v>
      </c>
      <c r="B101" s="4" t="s">
        <v>60</v>
      </c>
      <c r="C101" s="5">
        <v>44439</v>
      </c>
      <c r="D101" s="5">
        <f t="shared" si="4"/>
        <v>42681.285714285717</v>
      </c>
      <c r="E101" s="5">
        <f t="shared" si="5"/>
        <v>42929.033333333333</v>
      </c>
      <c r="F101" s="4" t="s">
        <v>50</v>
      </c>
    </row>
    <row r="102" spans="1:6" ht="15" customHeight="1" x14ac:dyDescent="0.2">
      <c r="A102" s="14">
        <v>45624</v>
      </c>
      <c r="B102" s="4" t="s">
        <v>49</v>
      </c>
      <c r="C102" s="5">
        <v>24688</v>
      </c>
      <c r="D102" s="5">
        <f t="shared" si="4"/>
        <v>39052.428571428572</v>
      </c>
      <c r="E102" s="5">
        <f t="shared" si="5"/>
        <v>42013.533333333333</v>
      </c>
      <c r="F102" s="4" t="s">
        <v>50</v>
      </c>
    </row>
    <row r="103" spans="1:6" ht="15" customHeight="1" x14ac:dyDescent="0.2">
      <c r="A103" s="14">
        <v>45625</v>
      </c>
      <c r="B103" s="4" t="s">
        <v>54</v>
      </c>
      <c r="C103" s="5">
        <v>25913</v>
      </c>
      <c r="D103" s="5">
        <f t="shared" si="4"/>
        <v>36704.142857142855</v>
      </c>
      <c r="E103" s="5">
        <f t="shared" si="5"/>
        <v>41125.133333333331</v>
      </c>
      <c r="F103" s="4" t="s">
        <v>50</v>
      </c>
    </row>
    <row r="104" spans="1:6" ht="15" customHeight="1" x14ac:dyDescent="0.2">
      <c r="A104" s="14">
        <v>45626</v>
      </c>
      <c r="B104" s="4" t="s">
        <v>56</v>
      </c>
      <c r="C104" s="5">
        <v>21871</v>
      </c>
      <c r="D104" s="5">
        <f t="shared" si="4"/>
        <v>36646.285714285717</v>
      </c>
      <c r="E104" s="5">
        <f t="shared" si="5"/>
        <v>40147.4</v>
      </c>
      <c r="F104" s="4" t="s">
        <v>57</v>
      </c>
    </row>
    <row r="105" spans="1:6" ht="15" customHeight="1" x14ac:dyDescent="0.2">
      <c r="A105" s="14">
        <v>45627</v>
      </c>
      <c r="B105" s="4" t="s">
        <v>59</v>
      </c>
      <c r="C105" s="5">
        <v>37794</v>
      </c>
      <c r="D105" s="5">
        <f t="shared" si="4"/>
        <v>36700.285714285717</v>
      </c>
      <c r="E105" s="5">
        <f t="shared" si="5"/>
        <v>40493.199999999997</v>
      </c>
      <c r="F105" s="4" t="s">
        <v>57</v>
      </c>
    </row>
    <row r="106" spans="1:6" ht="15" customHeight="1" x14ac:dyDescent="0.2">
      <c r="A106" s="14">
        <v>45628</v>
      </c>
      <c r="B106" s="4" t="s">
        <v>55</v>
      </c>
      <c r="C106" s="5">
        <v>51909</v>
      </c>
      <c r="D106" s="5">
        <f t="shared" si="4"/>
        <v>37161.857142857145</v>
      </c>
      <c r="E106" s="5">
        <f t="shared" si="5"/>
        <v>41392</v>
      </c>
      <c r="F106" s="4" t="s">
        <v>50</v>
      </c>
    </row>
    <row r="107" spans="1:6" ht="15" customHeight="1" x14ac:dyDescent="0.2">
      <c r="A107" s="14">
        <v>45629</v>
      </c>
      <c r="B107" s="4" t="s">
        <v>58</v>
      </c>
      <c r="C107" s="5">
        <v>56323</v>
      </c>
      <c r="D107" s="5">
        <f t="shared" si="4"/>
        <v>37562.428571428572</v>
      </c>
      <c r="E107" s="5">
        <f t="shared" si="5"/>
        <v>41969.433333333334</v>
      </c>
      <c r="F107" s="4" t="s">
        <v>50</v>
      </c>
    </row>
    <row r="108" spans="1:6" ht="15" customHeight="1" x14ac:dyDescent="0.2">
      <c r="A108" s="14">
        <v>45630</v>
      </c>
      <c r="B108" s="4" t="s">
        <v>60</v>
      </c>
      <c r="C108" s="5">
        <v>56860</v>
      </c>
      <c r="D108" s="5">
        <f t="shared" si="4"/>
        <v>39336.857142857145</v>
      </c>
      <c r="E108" s="5">
        <f t="shared" si="5"/>
        <v>42284.76666666667</v>
      </c>
      <c r="F108" s="4" t="s">
        <v>50</v>
      </c>
    </row>
    <row r="109" spans="1:6" ht="15" customHeight="1" x14ac:dyDescent="0.2">
      <c r="A109" s="14">
        <v>45631</v>
      </c>
      <c r="B109" s="4" t="s">
        <v>49</v>
      </c>
      <c r="C109" s="5">
        <v>57233</v>
      </c>
      <c r="D109" s="5">
        <f t="shared" si="4"/>
        <v>43986.142857142855</v>
      </c>
      <c r="E109" s="5">
        <f t="shared" si="5"/>
        <v>42377.73333333333</v>
      </c>
      <c r="F109" s="4" t="s">
        <v>50</v>
      </c>
    </row>
    <row r="110" spans="1:6" ht="15" customHeight="1" x14ac:dyDescent="0.2">
      <c r="A110" s="14">
        <v>45632</v>
      </c>
      <c r="B110" s="4" t="s">
        <v>54</v>
      </c>
      <c r="C110" s="5">
        <v>47859</v>
      </c>
      <c r="D110" s="5">
        <f t="shared" si="4"/>
        <v>47121.285714285717</v>
      </c>
      <c r="E110" s="5">
        <f t="shared" si="5"/>
        <v>42260.433333333334</v>
      </c>
      <c r="F110" s="4" t="s">
        <v>50</v>
      </c>
    </row>
    <row r="111" spans="1:6" ht="15" customHeight="1" x14ac:dyDescent="0.2">
      <c r="A111" s="14">
        <v>45633</v>
      </c>
      <c r="B111" s="4" t="s">
        <v>56</v>
      </c>
      <c r="C111" s="5">
        <v>20614</v>
      </c>
      <c r="D111" s="5">
        <f t="shared" si="4"/>
        <v>46941.714285714283</v>
      </c>
      <c r="E111" s="5">
        <f t="shared" si="5"/>
        <v>41328.933333333334</v>
      </c>
      <c r="F111" s="4" t="s">
        <v>57</v>
      </c>
    </row>
    <row r="112" spans="1:6" ht="15" customHeight="1" x14ac:dyDescent="0.2">
      <c r="A112" s="14">
        <v>45634</v>
      </c>
      <c r="B112" s="4" t="s">
        <v>59</v>
      </c>
      <c r="C112" s="5">
        <v>40567</v>
      </c>
      <c r="D112" s="5">
        <f t="shared" si="4"/>
        <v>47337.857142857145</v>
      </c>
      <c r="E112" s="5">
        <f t="shared" si="5"/>
        <v>41449.76666666667</v>
      </c>
      <c r="F112" s="4" t="s">
        <v>57</v>
      </c>
    </row>
    <row r="113" spans="1:6" ht="15" customHeight="1" x14ac:dyDescent="0.2">
      <c r="A113" s="14">
        <v>45635</v>
      </c>
      <c r="B113" s="4" t="s">
        <v>55</v>
      </c>
      <c r="C113" s="5">
        <v>54794</v>
      </c>
      <c r="D113" s="5">
        <f t="shared" si="4"/>
        <v>47750</v>
      </c>
      <c r="E113" s="5">
        <f t="shared" si="5"/>
        <v>42667.066666666666</v>
      </c>
      <c r="F113" s="4" t="s">
        <v>50</v>
      </c>
    </row>
    <row r="114" spans="1:6" ht="15" customHeight="1" x14ac:dyDescent="0.2">
      <c r="A114" s="14">
        <v>45636</v>
      </c>
      <c r="B114" s="4" t="s">
        <v>58</v>
      </c>
      <c r="C114" s="5">
        <v>56227</v>
      </c>
      <c r="D114" s="5">
        <f t="shared" si="4"/>
        <v>47736.285714285717</v>
      </c>
      <c r="E114" s="5">
        <f t="shared" si="5"/>
        <v>43346.76666666667</v>
      </c>
      <c r="F114" s="4" t="s">
        <v>50</v>
      </c>
    </row>
    <row r="115" spans="1:6" ht="15" customHeight="1" x14ac:dyDescent="0.2">
      <c r="A115" s="14">
        <v>45637</v>
      </c>
      <c r="B115" s="4" t="s">
        <v>60</v>
      </c>
      <c r="C115" s="5">
        <v>58759</v>
      </c>
      <c r="D115" s="5">
        <f t="shared" si="4"/>
        <v>48007.571428571428</v>
      </c>
      <c r="E115" s="5">
        <f t="shared" si="5"/>
        <v>43691.76666666667</v>
      </c>
      <c r="F115" s="4" t="s">
        <v>50</v>
      </c>
    </row>
    <row r="116" spans="1:6" ht="15" customHeight="1" x14ac:dyDescent="0.2">
      <c r="A116" s="14">
        <v>45638</v>
      </c>
      <c r="B116" s="4" t="s">
        <v>49</v>
      </c>
      <c r="C116" s="5">
        <v>56953</v>
      </c>
      <c r="D116" s="5">
        <f t="shared" si="4"/>
        <v>47967.571428571428</v>
      </c>
      <c r="E116" s="5">
        <f t="shared" si="5"/>
        <v>43852.433333333334</v>
      </c>
      <c r="F116" s="4" t="s">
        <v>50</v>
      </c>
    </row>
    <row r="117" spans="1:6" ht="15" customHeight="1" x14ac:dyDescent="0.2">
      <c r="A117" s="14">
        <v>45639</v>
      </c>
      <c r="B117" s="4" t="s">
        <v>54</v>
      </c>
      <c r="C117" s="5">
        <v>40206</v>
      </c>
      <c r="D117" s="5">
        <f t="shared" si="4"/>
        <v>46874.285714285717</v>
      </c>
      <c r="E117" s="5">
        <f t="shared" si="5"/>
        <v>43405.066666666666</v>
      </c>
      <c r="F117" s="4" t="s">
        <v>50</v>
      </c>
    </row>
    <row r="118" spans="1:6" ht="15" customHeight="1" x14ac:dyDescent="0.2">
      <c r="A118" s="14">
        <v>45640</v>
      </c>
      <c r="B118" s="4" t="s">
        <v>56</v>
      </c>
      <c r="C118" s="5">
        <v>25205</v>
      </c>
      <c r="D118" s="5">
        <f t="shared" si="4"/>
        <v>47530.142857142855</v>
      </c>
      <c r="E118" s="5">
        <f t="shared" si="5"/>
        <v>42611.7</v>
      </c>
      <c r="F118" s="4" t="s">
        <v>57</v>
      </c>
    </row>
    <row r="119" spans="1:6" ht="15" customHeight="1" x14ac:dyDescent="0.2">
      <c r="A119" s="14">
        <v>45641</v>
      </c>
      <c r="B119" s="4" t="s">
        <v>59</v>
      </c>
      <c r="C119" s="5">
        <v>38962</v>
      </c>
      <c r="D119" s="5">
        <f t="shared" si="4"/>
        <v>47300.857142857145</v>
      </c>
      <c r="E119" s="5">
        <f t="shared" si="5"/>
        <v>42756.333333333336</v>
      </c>
      <c r="F119" s="4" t="s">
        <v>57</v>
      </c>
    </row>
    <row r="120" spans="1:6" ht="15" customHeight="1" x14ac:dyDescent="0.2">
      <c r="A120" s="14">
        <v>45642</v>
      </c>
      <c r="B120" s="4" t="s">
        <v>55</v>
      </c>
      <c r="C120" s="5">
        <v>52555</v>
      </c>
      <c r="D120" s="5">
        <f t="shared" si="4"/>
        <v>46981</v>
      </c>
      <c r="E120" s="5">
        <f t="shared" si="5"/>
        <v>43861.466666666667</v>
      </c>
      <c r="F120" s="4" t="s">
        <v>50</v>
      </c>
    </row>
    <row r="121" spans="1:6" ht="15" customHeight="1" x14ac:dyDescent="0.2">
      <c r="A121" s="14">
        <v>45643</v>
      </c>
      <c r="B121" s="4" t="s">
        <v>58</v>
      </c>
      <c r="C121" s="5">
        <v>58132</v>
      </c>
      <c r="D121" s="5">
        <f t="shared" si="4"/>
        <v>47253.142857142855</v>
      </c>
      <c r="E121" s="5">
        <f t="shared" si="5"/>
        <v>44542.1</v>
      </c>
      <c r="F121" s="4" t="s">
        <v>50</v>
      </c>
    </row>
    <row r="122" spans="1:6" ht="15" customHeight="1" x14ac:dyDescent="0.2">
      <c r="A122" s="14">
        <v>45644</v>
      </c>
      <c r="B122" s="4" t="s">
        <v>60</v>
      </c>
      <c r="C122" s="5">
        <v>58927</v>
      </c>
      <c r="D122" s="5">
        <f t="shared" si="4"/>
        <v>47277.142857142855</v>
      </c>
      <c r="E122" s="5">
        <f t="shared" si="5"/>
        <v>44852.4</v>
      </c>
      <c r="F122" s="4" t="s">
        <v>50</v>
      </c>
    </row>
    <row r="123" spans="1:6" ht="15" customHeight="1" x14ac:dyDescent="0.2">
      <c r="A123" s="14">
        <v>45645</v>
      </c>
      <c r="B123" s="4" t="s">
        <v>49</v>
      </c>
      <c r="C123" s="5">
        <v>53294</v>
      </c>
      <c r="D123" s="5">
        <f t="shared" si="4"/>
        <v>46754.428571428572</v>
      </c>
      <c r="E123" s="5">
        <f t="shared" si="5"/>
        <v>44891.366666666669</v>
      </c>
      <c r="F123" s="4" t="s">
        <v>50</v>
      </c>
    </row>
    <row r="124" spans="1:6" ht="15" customHeight="1" x14ac:dyDescent="0.2">
      <c r="A124" s="14">
        <v>45646</v>
      </c>
      <c r="B124" s="4" t="s">
        <v>54</v>
      </c>
      <c r="C124" s="5">
        <v>45832</v>
      </c>
      <c r="D124" s="5">
        <f t="shared" si="4"/>
        <v>47558.142857142855</v>
      </c>
      <c r="E124" s="5">
        <f t="shared" si="5"/>
        <v>44674.866666666669</v>
      </c>
      <c r="F124" s="4" t="s">
        <v>50</v>
      </c>
    </row>
    <row r="125" spans="1:6" ht="15" customHeight="1" x14ac:dyDescent="0.2">
      <c r="A125" s="14">
        <v>45647</v>
      </c>
      <c r="B125" s="4" t="s">
        <v>56</v>
      </c>
      <c r="C125" s="5">
        <v>23279</v>
      </c>
      <c r="D125" s="5">
        <f t="shared" si="4"/>
        <v>47283</v>
      </c>
      <c r="E125" s="5">
        <f t="shared" si="5"/>
        <v>43781.166666666664</v>
      </c>
      <c r="F125" s="4" t="s">
        <v>57</v>
      </c>
    </row>
    <row r="126" spans="1:6" ht="15" customHeight="1" x14ac:dyDescent="0.2">
      <c r="A126" s="14">
        <v>45648</v>
      </c>
      <c r="B126" s="4" t="s">
        <v>59</v>
      </c>
      <c r="C126" s="5">
        <v>40690</v>
      </c>
      <c r="D126" s="5">
        <f t="shared" si="4"/>
        <v>47529.857142857145</v>
      </c>
      <c r="E126" s="5">
        <f t="shared" si="5"/>
        <v>43725.8</v>
      </c>
      <c r="F126" s="4" t="s">
        <v>57</v>
      </c>
    </row>
    <row r="127" spans="1:6" ht="15" customHeight="1" x14ac:dyDescent="0.2">
      <c r="A127" s="14">
        <v>45649</v>
      </c>
      <c r="B127" s="4" t="s">
        <v>55</v>
      </c>
      <c r="C127" s="5">
        <v>48350</v>
      </c>
      <c r="D127" s="5">
        <f t="shared" si="4"/>
        <v>46929.142857142855</v>
      </c>
      <c r="E127" s="5">
        <f t="shared" si="5"/>
        <v>44594.933333333334</v>
      </c>
      <c r="F127" s="4" t="s">
        <v>50</v>
      </c>
    </row>
    <row r="128" spans="1:6" ht="15" customHeight="1" x14ac:dyDescent="0.2">
      <c r="A128" s="14">
        <v>45650</v>
      </c>
      <c r="B128" s="4" t="s">
        <v>58</v>
      </c>
      <c r="C128" s="5">
        <v>14258</v>
      </c>
      <c r="D128" s="5">
        <f t="shared" si="4"/>
        <v>40661.428571428572</v>
      </c>
      <c r="E128" s="5">
        <f t="shared" si="5"/>
        <v>43823</v>
      </c>
      <c r="F128" s="4" t="s">
        <v>50</v>
      </c>
    </row>
    <row r="129" spans="1:6" ht="15" customHeight="1" x14ac:dyDescent="0.2">
      <c r="A129" s="14">
        <v>45651</v>
      </c>
      <c r="B129" s="4" t="s">
        <v>60</v>
      </c>
      <c r="C129" s="5">
        <v>22091</v>
      </c>
      <c r="D129" s="5">
        <f t="shared" si="4"/>
        <v>35399.142857142855</v>
      </c>
      <c r="E129" s="5">
        <f t="shared" si="5"/>
        <v>42936.76666666667</v>
      </c>
      <c r="F129" s="4" t="s">
        <v>50</v>
      </c>
    </row>
    <row r="130" spans="1:6" ht="15" customHeight="1" x14ac:dyDescent="0.2">
      <c r="A130" s="14">
        <v>45652</v>
      </c>
      <c r="B130" s="4" t="s">
        <v>49</v>
      </c>
      <c r="C130" s="5">
        <v>53042</v>
      </c>
      <c r="D130" s="5">
        <f t="shared" si="4"/>
        <v>35363.142857142855</v>
      </c>
      <c r="E130" s="5">
        <f t="shared" si="5"/>
        <v>42920.866666666669</v>
      </c>
      <c r="F130" s="4" t="s">
        <v>50</v>
      </c>
    </row>
    <row r="131" spans="1:6" ht="15" customHeight="1" x14ac:dyDescent="0.2">
      <c r="A131" s="14">
        <v>45653</v>
      </c>
      <c r="B131" s="4" t="s">
        <v>54</v>
      </c>
      <c r="C131" s="5">
        <v>43370</v>
      </c>
      <c r="D131" s="5">
        <f t="shared" si="4"/>
        <v>35011.428571428572</v>
      </c>
      <c r="E131" s="5">
        <f t="shared" si="5"/>
        <v>42885.23333333333</v>
      </c>
      <c r="F131" s="4" t="s">
        <v>50</v>
      </c>
    </row>
    <row r="132" spans="1:6" ht="15" customHeight="1" x14ac:dyDescent="0.2">
      <c r="A132" s="14">
        <v>45654</v>
      </c>
      <c r="B132" s="4" t="s">
        <v>56</v>
      </c>
      <c r="C132" s="5">
        <v>21421</v>
      </c>
      <c r="D132" s="5">
        <f t="shared" si="4"/>
        <v>34746</v>
      </c>
      <c r="E132" s="5">
        <f t="shared" si="5"/>
        <v>42776.333333333336</v>
      </c>
      <c r="F132" s="4" t="s">
        <v>57</v>
      </c>
    </row>
    <row r="133" spans="1:6" ht="15" customHeight="1" x14ac:dyDescent="0.2">
      <c r="A133" s="14">
        <v>45655</v>
      </c>
      <c r="B133" s="4" t="s">
        <v>59</v>
      </c>
      <c r="C133" s="5">
        <v>43797</v>
      </c>
      <c r="D133" s="5">
        <f t="shared" si="4"/>
        <v>35189.857142857145</v>
      </c>
      <c r="E133" s="5">
        <f t="shared" si="5"/>
        <v>43372.466666666667</v>
      </c>
      <c r="F133" s="4" t="s">
        <v>57</v>
      </c>
    </row>
    <row r="134" spans="1:6" ht="15" customHeight="1" x14ac:dyDescent="0.2">
      <c r="A134" s="14">
        <v>45656</v>
      </c>
      <c r="B134" s="4" t="s">
        <v>55</v>
      </c>
      <c r="C134" s="5">
        <v>55097</v>
      </c>
      <c r="D134" s="5">
        <f t="shared" si="4"/>
        <v>36153.714285714283</v>
      </c>
      <c r="E134" s="5">
        <f t="shared" si="5"/>
        <v>44480</v>
      </c>
      <c r="F134" s="4" t="s">
        <v>50</v>
      </c>
    </row>
    <row r="135" spans="1:6" ht="15" customHeight="1" x14ac:dyDescent="0.2">
      <c r="A135" s="14">
        <v>45657</v>
      </c>
      <c r="B135" s="4" t="s">
        <v>58</v>
      </c>
      <c r="C135" s="5">
        <v>22184</v>
      </c>
      <c r="D135" s="5">
        <f t="shared" si="4"/>
        <v>37286</v>
      </c>
      <c r="E135" s="5">
        <f t="shared" si="5"/>
        <v>43959.666666666664</v>
      </c>
      <c r="F135" s="4" t="s">
        <v>50</v>
      </c>
    </row>
    <row r="136" spans="1:6" ht="15" customHeight="1" x14ac:dyDescent="0.2">
      <c r="A136" s="14">
        <v>45658</v>
      </c>
      <c r="B136" s="4" t="s">
        <v>60</v>
      </c>
      <c r="C136" s="5">
        <v>27226</v>
      </c>
      <c r="D136" s="5">
        <f t="shared" si="4"/>
        <v>38019.571428571428</v>
      </c>
      <c r="E136" s="5">
        <f t="shared" si="5"/>
        <v>43136.9</v>
      </c>
      <c r="F136" s="4" t="s">
        <v>50</v>
      </c>
    </row>
    <row r="137" spans="1:6" ht="15" customHeight="1" x14ac:dyDescent="0.2">
      <c r="A137" s="14">
        <v>45659</v>
      </c>
      <c r="B137" s="4" t="s">
        <v>49</v>
      </c>
      <c r="C137" s="5">
        <v>56348</v>
      </c>
      <c r="D137" s="5">
        <f t="shared" si="4"/>
        <v>38491.857142857145</v>
      </c>
      <c r="E137" s="5">
        <f t="shared" si="5"/>
        <v>43137.73333333333</v>
      </c>
      <c r="F137" s="4" t="s">
        <v>50</v>
      </c>
    </row>
    <row r="138" spans="1:6" ht="15" customHeight="1" x14ac:dyDescent="0.2">
      <c r="A138" s="14">
        <v>45660</v>
      </c>
      <c r="B138" s="4" t="s">
        <v>54</v>
      </c>
      <c r="C138" s="5">
        <v>45750</v>
      </c>
      <c r="D138" s="5">
        <f t="shared" ref="D138:D201" si="6">AVERAGE(C132:C138)</f>
        <v>38831.857142857145</v>
      </c>
      <c r="E138" s="5">
        <f t="shared" si="5"/>
        <v>42767.4</v>
      </c>
      <c r="F138" s="4" t="s">
        <v>50</v>
      </c>
    </row>
    <row r="139" spans="1:6" ht="15" customHeight="1" x14ac:dyDescent="0.2">
      <c r="A139" s="14">
        <v>45661</v>
      </c>
      <c r="B139" s="4" t="s">
        <v>56</v>
      </c>
      <c r="C139" s="5">
        <v>27520</v>
      </c>
      <c r="D139" s="5">
        <f t="shared" si="6"/>
        <v>39703.142857142855</v>
      </c>
      <c r="E139" s="5">
        <f t="shared" si="5"/>
        <v>41776.966666666667</v>
      </c>
      <c r="F139" s="4" t="s">
        <v>57</v>
      </c>
    </row>
    <row r="140" spans="1:6" ht="15" customHeight="1" x14ac:dyDescent="0.2">
      <c r="A140" s="14">
        <v>45662</v>
      </c>
      <c r="B140" s="4" t="s">
        <v>59</v>
      </c>
      <c r="C140" s="5">
        <v>51596</v>
      </c>
      <c r="D140" s="5">
        <f t="shared" si="6"/>
        <v>40817.285714285717</v>
      </c>
      <c r="E140" s="5">
        <f t="shared" si="5"/>
        <v>41901.533333333333</v>
      </c>
      <c r="F140" s="4" t="s">
        <v>57</v>
      </c>
    </row>
    <row r="141" spans="1:6" ht="15" customHeight="1" x14ac:dyDescent="0.2">
      <c r="A141" s="14">
        <v>45663</v>
      </c>
      <c r="B141" s="4" t="s">
        <v>55</v>
      </c>
      <c r="C141" s="5">
        <v>58305</v>
      </c>
      <c r="D141" s="5">
        <f t="shared" si="6"/>
        <v>41275.571428571428</v>
      </c>
      <c r="E141" s="5">
        <f t="shared" si="5"/>
        <v>43157.9</v>
      </c>
      <c r="F141" s="4" t="s">
        <v>50</v>
      </c>
    </row>
    <row r="142" spans="1:6" ht="15" customHeight="1" x14ac:dyDescent="0.2">
      <c r="A142" s="14">
        <v>45664</v>
      </c>
      <c r="B142" s="4" t="s">
        <v>58</v>
      </c>
      <c r="C142" s="5">
        <v>57370</v>
      </c>
      <c r="D142" s="5">
        <f t="shared" si="6"/>
        <v>46302.142857142855</v>
      </c>
      <c r="E142" s="5">
        <f t="shared" si="5"/>
        <v>43718</v>
      </c>
      <c r="F142" s="4" t="s">
        <v>50</v>
      </c>
    </row>
    <row r="143" spans="1:6" ht="15" customHeight="1" x14ac:dyDescent="0.2">
      <c r="A143" s="14">
        <v>45665</v>
      </c>
      <c r="B143" s="4" t="s">
        <v>60</v>
      </c>
      <c r="C143" s="5">
        <v>59831</v>
      </c>
      <c r="D143" s="5">
        <f t="shared" si="6"/>
        <v>50960</v>
      </c>
      <c r="E143" s="5">
        <f t="shared" si="5"/>
        <v>43885.9</v>
      </c>
      <c r="F143" s="4" t="s">
        <v>50</v>
      </c>
    </row>
    <row r="144" spans="1:6" ht="15" customHeight="1" x14ac:dyDescent="0.2">
      <c r="A144" s="14">
        <v>45666</v>
      </c>
      <c r="B144" s="4" t="s">
        <v>49</v>
      </c>
      <c r="C144" s="5">
        <v>59590</v>
      </c>
      <c r="D144" s="5">
        <f t="shared" si="6"/>
        <v>51423.142857142855</v>
      </c>
      <c r="E144" s="5">
        <f t="shared" si="5"/>
        <v>43998</v>
      </c>
      <c r="F144" s="4" t="s">
        <v>50</v>
      </c>
    </row>
    <row r="145" spans="1:6" ht="15" customHeight="1" x14ac:dyDescent="0.2">
      <c r="A145" s="14">
        <v>45667</v>
      </c>
      <c r="B145" s="4" t="s">
        <v>54</v>
      </c>
      <c r="C145" s="5">
        <v>46583</v>
      </c>
      <c r="D145" s="5">
        <f t="shared" si="6"/>
        <v>51542.142857142855</v>
      </c>
      <c r="E145" s="5">
        <f t="shared" si="5"/>
        <v>43592.133333333331</v>
      </c>
      <c r="F145" s="4" t="s">
        <v>50</v>
      </c>
    </row>
    <row r="146" spans="1:6" ht="15" customHeight="1" x14ac:dyDescent="0.2">
      <c r="A146" s="14">
        <v>45668</v>
      </c>
      <c r="B146" s="4" t="s">
        <v>56</v>
      </c>
      <c r="C146" s="5">
        <v>23105</v>
      </c>
      <c r="D146" s="5">
        <f t="shared" si="6"/>
        <v>50911.428571428572</v>
      </c>
      <c r="E146" s="5">
        <f t="shared" si="5"/>
        <v>42463.866666666669</v>
      </c>
      <c r="F146" s="4" t="s">
        <v>57</v>
      </c>
    </row>
    <row r="147" spans="1:6" ht="15" customHeight="1" x14ac:dyDescent="0.2">
      <c r="A147" s="14">
        <v>45669</v>
      </c>
      <c r="B147" s="4" t="s">
        <v>59</v>
      </c>
      <c r="C147" s="5">
        <v>52918</v>
      </c>
      <c r="D147" s="5">
        <f t="shared" si="6"/>
        <v>51100.285714285717</v>
      </c>
      <c r="E147" s="5">
        <f t="shared" si="5"/>
        <v>42887.6</v>
      </c>
      <c r="F147" s="4" t="s">
        <v>57</v>
      </c>
    </row>
    <row r="148" spans="1:6" ht="15" customHeight="1" x14ac:dyDescent="0.2">
      <c r="A148" s="14">
        <v>45670</v>
      </c>
      <c r="B148" s="4" t="s">
        <v>55</v>
      </c>
      <c r="C148" s="5">
        <v>60379</v>
      </c>
      <c r="D148" s="5">
        <f t="shared" si="6"/>
        <v>51396.571428571428</v>
      </c>
      <c r="E148" s="5">
        <f t="shared" si="5"/>
        <v>44060.066666666666</v>
      </c>
      <c r="F148" s="4" t="s">
        <v>50</v>
      </c>
    </row>
    <row r="149" spans="1:6" ht="15" customHeight="1" x14ac:dyDescent="0.2">
      <c r="A149" s="14">
        <v>45671</v>
      </c>
      <c r="B149" s="4" t="s">
        <v>58</v>
      </c>
      <c r="C149" s="5">
        <v>57080</v>
      </c>
      <c r="D149" s="5">
        <f t="shared" si="6"/>
        <v>51355.142857142855</v>
      </c>
      <c r="E149" s="5">
        <f t="shared" si="5"/>
        <v>44664</v>
      </c>
      <c r="F149" s="4" t="s">
        <v>50</v>
      </c>
    </row>
    <row r="150" spans="1:6" ht="15" customHeight="1" x14ac:dyDescent="0.2">
      <c r="A150" s="14">
        <v>45672</v>
      </c>
      <c r="B150" s="4" t="s">
        <v>60</v>
      </c>
      <c r="C150" s="5">
        <v>55761</v>
      </c>
      <c r="D150" s="5">
        <f t="shared" si="6"/>
        <v>50773.714285714283</v>
      </c>
      <c r="E150" s="5">
        <f t="shared" si="5"/>
        <v>44770.866666666669</v>
      </c>
      <c r="F150" s="4" t="s">
        <v>50</v>
      </c>
    </row>
    <row r="151" spans="1:6" ht="15" customHeight="1" x14ac:dyDescent="0.2">
      <c r="A151" s="14">
        <v>45673</v>
      </c>
      <c r="B151" s="4" t="s">
        <v>49</v>
      </c>
      <c r="C151" s="5">
        <v>57616</v>
      </c>
      <c r="D151" s="5">
        <f t="shared" si="6"/>
        <v>50491.714285714283</v>
      </c>
      <c r="E151" s="5">
        <f t="shared" si="5"/>
        <v>44753.666666666664</v>
      </c>
      <c r="F151" s="4" t="s">
        <v>50</v>
      </c>
    </row>
    <row r="152" spans="1:6" ht="15" customHeight="1" x14ac:dyDescent="0.2">
      <c r="A152" s="14">
        <v>45674</v>
      </c>
      <c r="B152" s="4" t="s">
        <v>54</v>
      </c>
      <c r="C152" s="5">
        <v>47326</v>
      </c>
      <c r="D152" s="5">
        <f t="shared" si="6"/>
        <v>50597.857142857145</v>
      </c>
      <c r="E152" s="5">
        <f t="shared" si="5"/>
        <v>44366.966666666667</v>
      </c>
      <c r="F152" s="4" t="s">
        <v>50</v>
      </c>
    </row>
    <row r="153" spans="1:6" ht="15" customHeight="1" x14ac:dyDescent="0.2">
      <c r="A153" s="14">
        <v>45675</v>
      </c>
      <c r="B153" s="4" t="s">
        <v>56</v>
      </c>
      <c r="C153" s="5">
        <v>27199</v>
      </c>
      <c r="D153" s="5">
        <f t="shared" si="6"/>
        <v>51182.714285714283</v>
      </c>
      <c r="E153" s="5">
        <f t="shared" si="5"/>
        <v>43497.133333333331</v>
      </c>
      <c r="F153" s="4" t="s">
        <v>57</v>
      </c>
    </row>
    <row r="154" spans="1:6" ht="15" customHeight="1" x14ac:dyDescent="0.2">
      <c r="A154" s="14">
        <v>45676</v>
      </c>
      <c r="B154" s="4" t="s">
        <v>59</v>
      </c>
      <c r="C154" s="5">
        <v>47790</v>
      </c>
      <c r="D154" s="5">
        <f t="shared" si="6"/>
        <v>50450.142857142855</v>
      </c>
      <c r="E154" s="5">
        <f t="shared" si="5"/>
        <v>43562.400000000001</v>
      </c>
      <c r="F154" s="4" t="s">
        <v>57</v>
      </c>
    </row>
    <row r="155" spans="1:6" ht="15" customHeight="1" x14ac:dyDescent="0.2">
      <c r="A155" s="14">
        <v>45677</v>
      </c>
      <c r="B155" s="4" t="s">
        <v>55</v>
      </c>
      <c r="C155" s="5">
        <v>53604</v>
      </c>
      <c r="D155" s="5">
        <f t="shared" si="6"/>
        <v>49482.285714285717</v>
      </c>
      <c r="E155" s="5">
        <f t="shared" si="5"/>
        <v>44573.23333333333</v>
      </c>
      <c r="F155" s="4" t="s">
        <v>50</v>
      </c>
    </row>
    <row r="156" spans="1:6" ht="15" customHeight="1" x14ac:dyDescent="0.2">
      <c r="A156" s="14">
        <v>45678</v>
      </c>
      <c r="B156" s="4" t="s">
        <v>58</v>
      </c>
      <c r="C156" s="5">
        <v>50501</v>
      </c>
      <c r="D156" s="5">
        <f t="shared" si="6"/>
        <v>48542.428571428572</v>
      </c>
      <c r="E156" s="5">
        <f t="shared" si="5"/>
        <v>44900.26666666667</v>
      </c>
      <c r="F156" s="4" t="s">
        <v>50</v>
      </c>
    </row>
    <row r="157" spans="1:6" ht="15" customHeight="1" x14ac:dyDescent="0.2">
      <c r="A157" s="14">
        <v>45679</v>
      </c>
      <c r="B157" s="4" t="s">
        <v>60</v>
      </c>
      <c r="C157" s="5">
        <v>55671</v>
      </c>
      <c r="D157" s="5">
        <f t="shared" si="6"/>
        <v>48529.571428571428</v>
      </c>
      <c r="E157" s="5">
        <f t="shared" si="5"/>
        <v>45144.3</v>
      </c>
      <c r="F157" s="4" t="s">
        <v>50</v>
      </c>
    </row>
    <row r="158" spans="1:6" ht="15" customHeight="1" x14ac:dyDescent="0.2">
      <c r="A158" s="14">
        <v>45680</v>
      </c>
      <c r="B158" s="4" t="s">
        <v>49</v>
      </c>
      <c r="C158" s="5">
        <v>44335</v>
      </c>
      <c r="D158" s="5">
        <f t="shared" si="6"/>
        <v>46632.285714285717</v>
      </c>
      <c r="E158" s="5">
        <f t="shared" si="5"/>
        <v>46146.866666666669</v>
      </c>
      <c r="F158" s="4" t="s">
        <v>50</v>
      </c>
    </row>
    <row r="159" spans="1:6" ht="15" customHeight="1" x14ac:dyDescent="0.2">
      <c r="A159" s="14">
        <v>45681</v>
      </c>
      <c r="B159" s="4" t="s">
        <v>54</v>
      </c>
      <c r="C159" s="5">
        <v>26472</v>
      </c>
      <c r="D159" s="5">
        <f t="shared" si="6"/>
        <v>43653.142857142855</v>
      </c>
      <c r="E159" s="5">
        <f t="shared" si="5"/>
        <v>46292.9</v>
      </c>
      <c r="F159" s="4" t="s">
        <v>50</v>
      </c>
    </row>
    <row r="160" spans="1:6" ht="15" customHeight="1" x14ac:dyDescent="0.2">
      <c r="A160" s="14">
        <v>45682</v>
      </c>
      <c r="B160" s="4" t="s">
        <v>56</v>
      </c>
      <c r="C160" s="5">
        <v>22755</v>
      </c>
      <c r="D160" s="5">
        <f t="shared" si="6"/>
        <v>43018.285714285717</v>
      </c>
      <c r="E160" s="5">
        <f t="shared" si="5"/>
        <v>45283.333333333336</v>
      </c>
      <c r="F160" s="4" t="s">
        <v>57</v>
      </c>
    </row>
    <row r="161" spans="1:6" ht="15" customHeight="1" x14ac:dyDescent="0.2">
      <c r="A161" s="14">
        <v>45683</v>
      </c>
      <c r="B161" s="4" t="s">
        <v>59</v>
      </c>
      <c r="C161" s="5">
        <v>54542</v>
      </c>
      <c r="D161" s="5">
        <f t="shared" si="6"/>
        <v>43982.857142857145</v>
      </c>
      <c r="E161" s="5">
        <f t="shared" ref="E161:E224" si="7">AVERAGE(C132:C161)</f>
        <v>45655.73333333333</v>
      </c>
      <c r="F161" s="4" t="s">
        <v>57</v>
      </c>
    </row>
    <row r="162" spans="1:6" ht="15" customHeight="1" x14ac:dyDescent="0.2">
      <c r="A162" s="14">
        <v>45684</v>
      </c>
      <c r="B162" s="4" t="s">
        <v>55</v>
      </c>
      <c r="C162" s="5">
        <v>52788</v>
      </c>
      <c r="D162" s="5">
        <f t="shared" si="6"/>
        <v>43866.285714285717</v>
      </c>
      <c r="E162" s="5">
        <f t="shared" si="7"/>
        <v>46701.3</v>
      </c>
      <c r="F162" s="4" t="s">
        <v>50</v>
      </c>
    </row>
    <row r="163" spans="1:6" ht="15" customHeight="1" x14ac:dyDescent="0.2">
      <c r="A163" s="14">
        <v>45685</v>
      </c>
      <c r="B163" s="4" t="s">
        <v>58</v>
      </c>
      <c r="C163" s="5">
        <v>62128</v>
      </c>
      <c r="D163" s="5">
        <f t="shared" si="6"/>
        <v>45527.285714285717</v>
      </c>
      <c r="E163" s="5">
        <f t="shared" si="7"/>
        <v>47312.333333333336</v>
      </c>
      <c r="F163" s="4" t="s">
        <v>50</v>
      </c>
    </row>
    <row r="164" spans="1:6" ht="15" customHeight="1" x14ac:dyDescent="0.2">
      <c r="A164" s="14">
        <v>45686</v>
      </c>
      <c r="B164" s="4" t="s">
        <v>60</v>
      </c>
      <c r="C164" s="5">
        <v>70881</v>
      </c>
      <c r="D164" s="5">
        <f t="shared" si="6"/>
        <v>47700.142857142855</v>
      </c>
      <c r="E164" s="5">
        <f t="shared" si="7"/>
        <v>47838.466666666667</v>
      </c>
      <c r="F164" s="4" t="s">
        <v>50</v>
      </c>
    </row>
    <row r="165" spans="1:6" ht="15" customHeight="1" x14ac:dyDescent="0.2">
      <c r="A165" s="14">
        <v>45687</v>
      </c>
      <c r="B165" s="4" t="s">
        <v>49</v>
      </c>
      <c r="C165" s="5">
        <v>69626</v>
      </c>
      <c r="D165" s="5">
        <f t="shared" si="6"/>
        <v>51313.142857142855</v>
      </c>
      <c r="E165" s="5">
        <f t="shared" si="7"/>
        <v>49419.866666666669</v>
      </c>
      <c r="F165" s="4" t="s">
        <v>50</v>
      </c>
    </row>
    <row r="166" spans="1:6" ht="15" customHeight="1" x14ac:dyDescent="0.2">
      <c r="A166" s="14">
        <v>45688</v>
      </c>
      <c r="B166" s="4" t="s">
        <v>54</v>
      </c>
      <c r="C166" s="5">
        <v>35585</v>
      </c>
      <c r="D166" s="5">
        <f t="shared" si="6"/>
        <v>52615</v>
      </c>
      <c r="E166" s="5">
        <f t="shared" si="7"/>
        <v>49698.5</v>
      </c>
      <c r="F166" s="4" t="s">
        <v>50</v>
      </c>
    </row>
    <row r="167" spans="1:6" ht="15" customHeight="1" x14ac:dyDescent="0.2">
      <c r="A167" s="14">
        <v>45689</v>
      </c>
      <c r="B167" s="4" t="s">
        <v>56</v>
      </c>
      <c r="C167" s="5">
        <v>30287</v>
      </c>
      <c r="D167" s="5">
        <f t="shared" si="6"/>
        <v>53691</v>
      </c>
      <c r="E167" s="5">
        <f t="shared" si="7"/>
        <v>48829.8</v>
      </c>
      <c r="F167" s="4" t="s">
        <v>57</v>
      </c>
    </row>
    <row r="168" spans="1:6" ht="15" customHeight="1" x14ac:dyDescent="0.2">
      <c r="A168" s="14">
        <v>45690</v>
      </c>
      <c r="B168" s="4" t="s">
        <v>59</v>
      </c>
      <c r="C168" s="5">
        <v>58173</v>
      </c>
      <c r="D168" s="5">
        <f t="shared" si="6"/>
        <v>54209.714285714283</v>
      </c>
      <c r="E168" s="5">
        <f t="shared" si="7"/>
        <v>49243.9</v>
      </c>
      <c r="F168" s="4" t="s">
        <v>57</v>
      </c>
    </row>
    <row r="169" spans="1:6" ht="15" customHeight="1" x14ac:dyDescent="0.2">
      <c r="A169" s="14">
        <v>45691</v>
      </c>
      <c r="B169" s="4" t="s">
        <v>55</v>
      </c>
      <c r="C169" s="5">
        <v>62832</v>
      </c>
      <c r="D169" s="5">
        <f t="shared" si="6"/>
        <v>55644.571428571428</v>
      </c>
      <c r="E169" s="5">
        <f t="shared" si="7"/>
        <v>50420.966666666667</v>
      </c>
      <c r="F169" s="4" t="s">
        <v>50</v>
      </c>
    </row>
    <row r="170" spans="1:6" ht="15" customHeight="1" x14ac:dyDescent="0.2">
      <c r="A170" s="14">
        <v>45692</v>
      </c>
      <c r="B170" s="4" t="s">
        <v>58</v>
      </c>
      <c r="C170" s="5">
        <v>59110</v>
      </c>
      <c r="D170" s="5">
        <f t="shared" si="6"/>
        <v>55213.428571428572</v>
      </c>
      <c r="E170" s="5">
        <f t="shared" si="7"/>
        <v>50671.433333333334</v>
      </c>
      <c r="F170" s="4" t="s">
        <v>50</v>
      </c>
    </row>
    <row r="171" spans="1:6" ht="15" customHeight="1" x14ac:dyDescent="0.2">
      <c r="A171" s="14">
        <v>45693</v>
      </c>
      <c r="B171" s="4" t="s">
        <v>60</v>
      </c>
      <c r="C171" s="5">
        <v>64018</v>
      </c>
      <c r="D171" s="5">
        <f t="shared" si="6"/>
        <v>54233</v>
      </c>
      <c r="E171" s="5">
        <f t="shared" si="7"/>
        <v>50861.866666666669</v>
      </c>
      <c r="F171" s="4" t="s">
        <v>50</v>
      </c>
    </row>
    <row r="172" spans="1:6" ht="15" customHeight="1" x14ac:dyDescent="0.2">
      <c r="A172" s="14">
        <v>45694</v>
      </c>
      <c r="B172" s="4" t="s">
        <v>49</v>
      </c>
      <c r="C172" s="5">
        <v>76775</v>
      </c>
      <c r="D172" s="5">
        <f t="shared" si="6"/>
        <v>55254.285714285717</v>
      </c>
      <c r="E172" s="5">
        <f t="shared" si="7"/>
        <v>51508.7</v>
      </c>
      <c r="F172" s="4" t="s">
        <v>50</v>
      </c>
    </row>
    <row r="173" spans="1:6" ht="15" customHeight="1" x14ac:dyDescent="0.2">
      <c r="A173" s="14">
        <v>45695</v>
      </c>
      <c r="B173" s="4" t="s">
        <v>54</v>
      </c>
      <c r="C173" s="5">
        <v>28295</v>
      </c>
      <c r="D173" s="5">
        <f t="shared" si="6"/>
        <v>54212.857142857145</v>
      </c>
      <c r="E173" s="5">
        <f t="shared" si="7"/>
        <v>50457.5</v>
      </c>
      <c r="F173" s="4" t="s">
        <v>50</v>
      </c>
    </row>
    <row r="174" spans="1:6" ht="15" customHeight="1" x14ac:dyDescent="0.2">
      <c r="A174" s="14">
        <v>45696</v>
      </c>
      <c r="B174" s="4" t="s">
        <v>56</v>
      </c>
      <c r="C174" s="5">
        <v>32805</v>
      </c>
      <c r="D174" s="5">
        <f t="shared" si="6"/>
        <v>54572.571428571428</v>
      </c>
      <c r="E174" s="5">
        <f t="shared" si="7"/>
        <v>49564.666666666664</v>
      </c>
      <c r="F174" s="4" t="s">
        <v>57</v>
      </c>
    </row>
    <row r="175" spans="1:6" ht="15" customHeight="1" x14ac:dyDescent="0.2">
      <c r="A175" s="14">
        <v>45697</v>
      </c>
      <c r="B175" s="4" t="s">
        <v>59</v>
      </c>
      <c r="C175" s="5">
        <v>57952</v>
      </c>
      <c r="D175" s="5">
        <f t="shared" si="6"/>
        <v>54541</v>
      </c>
      <c r="E175" s="5">
        <f t="shared" si="7"/>
        <v>49943.633333333331</v>
      </c>
      <c r="F175" s="4" t="s">
        <v>57</v>
      </c>
    </row>
    <row r="176" spans="1:6" ht="15" customHeight="1" x14ac:dyDescent="0.2">
      <c r="A176" s="14">
        <v>45698</v>
      </c>
      <c r="B176" s="4" t="s">
        <v>55</v>
      </c>
      <c r="C176" s="5">
        <v>62524</v>
      </c>
      <c r="D176" s="5">
        <f t="shared" si="6"/>
        <v>54497</v>
      </c>
      <c r="E176" s="5">
        <f t="shared" si="7"/>
        <v>51257.599999999999</v>
      </c>
      <c r="F176" s="4" t="s">
        <v>50</v>
      </c>
    </row>
    <row r="177" spans="1:6" ht="15" customHeight="1" x14ac:dyDescent="0.2">
      <c r="A177" s="14">
        <v>45699</v>
      </c>
      <c r="B177" s="4" t="s">
        <v>58</v>
      </c>
      <c r="C177" s="5">
        <v>65962</v>
      </c>
      <c r="D177" s="5">
        <f t="shared" si="6"/>
        <v>55475.857142857145</v>
      </c>
      <c r="E177" s="5">
        <f t="shared" si="7"/>
        <v>51692.4</v>
      </c>
      <c r="F177" s="4" t="s">
        <v>50</v>
      </c>
    </row>
    <row r="178" spans="1:6" ht="15" customHeight="1" x14ac:dyDescent="0.2">
      <c r="A178" s="14">
        <v>45700</v>
      </c>
      <c r="B178" s="4" t="s">
        <v>60</v>
      </c>
      <c r="C178" s="5">
        <v>63866</v>
      </c>
      <c r="D178" s="5">
        <f t="shared" si="6"/>
        <v>55454.142857142855</v>
      </c>
      <c r="E178" s="5">
        <f t="shared" si="7"/>
        <v>51808.633333333331</v>
      </c>
      <c r="F178" s="4" t="s">
        <v>50</v>
      </c>
    </row>
    <row r="179" spans="1:6" ht="15" customHeight="1" x14ac:dyDescent="0.2">
      <c r="A179" s="14">
        <v>45701</v>
      </c>
      <c r="B179" s="4" t="s">
        <v>49</v>
      </c>
      <c r="C179" s="5">
        <v>78244</v>
      </c>
      <c r="D179" s="5">
        <f t="shared" si="6"/>
        <v>55664</v>
      </c>
      <c r="E179" s="5">
        <f t="shared" si="7"/>
        <v>52514.1</v>
      </c>
      <c r="F179" s="4" t="s">
        <v>50</v>
      </c>
    </row>
    <row r="180" spans="1:6" ht="15" customHeight="1" x14ac:dyDescent="0.2">
      <c r="A180" s="14">
        <v>45702</v>
      </c>
      <c r="B180" s="4" t="s">
        <v>54</v>
      </c>
      <c r="C180" s="5">
        <v>30521</v>
      </c>
      <c r="D180" s="5">
        <f t="shared" si="6"/>
        <v>55982</v>
      </c>
      <c r="E180" s="5">
        <f t="shared" si="7"/>
        <v>51672.76666666667</v>
      </c>
      <c r="F180" s="4" t="s">
        <v>50</v>
      </c>
    </row>
    <row r="181" spans="1:6" ht="15" customHeight="1" x14ac:dyDescent="0.2">
      <c r="A181" s="14">
        <v>45703</v>
      </c>
      <c r="B181" s="4" t="s">
        <v>56</v>
      </c>
      <c r="C181" s="5">
        <v>32572</v>
      </c>
      <c r="D181" s="5">
        <f t="shared" si="6"/>
        <v>55948.714285714283</v>
      </c>
      <c r="E181" s="5">
        <f t="shared" si="7"/>
        <v>50837.966666666667</v>
      </c>
      <c r="F181" s="4" t="s">
        <v>57</v>
      </c>
    </row>
    <row r="182" spans="1:6" ht="15" customHeight="1" x14ac:dyDescent="0.2">
      <c r="A182" s="14">
        <v>45704</v>
      </c>
      <c r="B182" s="4" t="s">
        <v>59</v>
      </c>
      <c r="C182" s="5">
        <v>61131</v>
      </c>
      <c r="D182" s="5">
        <f t="shared" si="6"/>
        <v>56402.857142857145</v>
      </c>
      <c r="E182" s="5">
        <f t="shared" si="7"/>
        <v>51298.133333333331</v>
      </c>
      <c r="F182" s="4" t="s">
        <v>57</v>
      </c>
    </row>
    <row r="183" spans="1:6" ht="15" customHeight="1" x14ac:dyDescent="0.2">
      <c r="A183" s="14">
        <v>45705</v>
      </c>
      <c r="B183" s="4" t="s">
        <v>55</v>
      </c>
      <c r="C183" s="5">
        <v>63612</v>
      </c>
      <c r="D183" s="5">
        <f t="shared" si="6"/>
        <v>56558.285714285717</v>
      </c>
      <c r="E183" s="5">
        <f t="shared" si="7"/>
        <v>52511.9</v>
      </c>
      <c r="F183" s="4" t="s">
        <v>50</v>
      </c>
    </row>
    <row r="184" spans="1:6" ht="15" customHeight="1" x14ac:dyDescent="0.2">
      <c r="A184" s="14">
        <v>45706</v>
      </c>
      <c r="B184" s="4" t="s">
        <v>58</v>
      </c>
      <c r="C184" s="5">
        <v>70131</v>
      </c>
      <c r="D184" s="5">
        <f t="shared" si="6"/>
        <v>57153.857142857145</v>
      </c>
      <c r="E184" s="5">
        <f t="shared" si="7"/>
        <v>53256.6</v>
      </c>
      <c r="F184" s="4" t="s">
        <v>50</v>
      </c>
    </row>
    <row r="185" spans="1:6" ht="15" customHeight="1" x14ac:dyDescent="0.2">
      <c r="A185" s="14">
        <v>45707</v>
      </c>
      <c r="B185" s="4" t="s">
        <v>60</v>
      </c>
      <c r="C185" s="5">
        <v>67350</v>
      </c>
      <c r="D185" s="5">
        <f t="shared" si="6"/>
        <v>57651.571428571428</v>
      </c>
      <c r="E185" s="5">
        <f t="shared" si="7"/>
        <v>53714.8</v>
      </c>
      <c r="F185" s="4" t="s">
        <v>50</v>
      </c>
    </row>
    <row r="186" spans="1:6" ht="15" customHeight="1" x14ac:dyDescent="0.2">
      <c r="A186" s="14">
        <v>45708</v>
      </c>
      <c r="B186" s="4" t="s">
        <v>49</v>
      </c>
      <c r="C186" s="5">
        <v>60466</v>
      </c>
      <c r="D186" s="5">
        <f t="shared" si="6"/>
        <v>55111.857142857145</v>
      </c>
      <c r="E186" s="5">
        <f t="shared" si="7"/>
        <v>54046.966666666667</v>
      </c>
      <c r="F186" s="4" t="s">
        <v>50</v>
      </c>
    </row>
    <row r="187" spans="1:6" ht="15" customHeight="1" x14ac:dyDescent="0.2">
      <c r="A187" s="14">
        <v>45709</v>
      </c>
      <c r="B187" s="4" t="s">
        <v>54</v>
      </c>
      <c r="C187" s="5">
        <v>29966</v>
      </c>
      <c r="D187" s="5">
        <f t="shared" si="6"/>
        <v>55032.571428571428</v>
      </c>
      <c r="E187" s="5">
        <f t="shared" si="7"/>
        <v>53190.133333333331</v>
      </c>
      <c r="F187" s="4" t="s">
        <v>50</v>
      </c>
    </row>
    <row r="188" spans="1:6" ht="15" customHeight="1" x14ac:dyDescent="0.2">
      <c r="A188" s="14">
        <v>45710</v>
      </c>
      <c r="B188" s="4" t="s">
        <v>56</v>
      </c>
      <c r="C188" s="5">
        <v>29309</v>
      </c>
      <c r="D188" s="5">
        <f t="shared" si="6"/>
        <v>54566.428571428572</v>
      </c>
      <c r="E188" s="5">
        <f t="shared" si="7"/>
        <v>52689.26666666667</v>
      </c>
      <c r="F188" s="4" t="s">
        <v>57</v>
      </c>
    </row>
    <row r="189" spans="1:6" ht="15" customHeight="1" x14ac:dyDescent="0.2">
      <c r="A189" s="14">
        <v>45711</v>
      </c>
      <c r="B189" s="4" t="s">
        <v>59</v>
      </c>
      <c r="C189" s="5">
        <v>52437</v>
      </c>
      <c r="D189" s="5">
        <f t="shared" si="6"/>
        <v>53324.428571428572</v>
      </c>
      <c r="E189" s="5">
        <f t="shared" si="7"/>
        <v>53554.76666666667</v>
      </c>
      <c r="F189" s="4" t="s">
        <v>57</v>
      </c>
    </row>
    <row r="190" spans="1:6" ht="15" customHeight="1" x14ac:dyDescent="0.2">
      <c r="A190" s="14">
        <v>45712</v>
      </c>
      <c r="B190" s="4" t="s">
        <v>55</v>
      </c>
      <c r="C190" s="5">
        <v>53862</v>
      </c>
      <c r="D190" s="5">
        <f t="shared" si="6"/>
        <v>51931.571428571428</v>
      </c>
      <c r="E190" s="5">
        <f t="shared" si="7"/>
        <v>54591.666666666664</v>
      </c>
      <c r="F190" s="4" t="s">
        <v>50</v>
      </c>
    </row>
    <row r="191" spans="1:6" ht="15" customHeight="1" x14ac:dyDescent="0.2">
      <c r="A191" s="14">
        <v>45713</v>
      </c>
      <c r="B191" s="4" t="s">
        <v>58</v>
      </c>
      <c r="C191" s="5">
        <v>57398</v>
      </c>
      <c r="D191" s="5">
        <f t="shared" si="6"/>
        <v>50112.571428571428</v>
      </c>
      <c r="E191" s="5">
        <f t="shared" si="7"/>
        <v>54686.866666666669</v>
      </c>
      <c r="F191" s="4" t="s">
        <v>50</v>
      </c>
    </row>
    <row r="192" spans="1:6" ht="15" customHeight="1" x14ac:dyDescent="0.2">
      <c r="A192" s="14">
        <v>45714</v>
      </c>
      <c r="B192" s="4" t="s">
        <v>60</v>
      </c>
      <c r="C192" s="5">
        <v>59909</v>
      </c>
      <c r="D192" s="5">
        <f t="shared" si="6"/>
        <v>49049.571428571428</v>
      </c>
      <c r="E192" s="5">
        <f t="shared" si="7"/>
        <v>54924.23333333333</v>
      </c>
      <c r="F192" s="4" t="s">
        <v>50</v>
      </c>
    </row>
    <row r="193" spans="1:6" ht="15" customHeight="1" x14ac:dyDescent="0.2">
      <c r="A193" s="14">
        <v>45715</v>
      </c>
      <c r="B193" s="4" t="s">
        <v>49</v>
      </c>
      <c r="C193" s="5">
        <v>57101</v>
      </c>
      <c r="D193" s="5">
        <f t="shared" si="6"/>
        <v>48568.857142857145</v>
      </c>
      <c r="E193" s="5">
        <f t="shared" si="7"/>
        <v>54756.666666666664</v>
      </c>
      <c r="F193" s="4" t="s">
        <v>50</v>
      </c>
    </row>
    <row r="194" spans="1:6" ht="15" customHeight="1" x14ac:dyDescent="0.2">
      <c r="A194" s="14">
        <v>45716</v>
      </c>
      <c r="B194" s="4" t="s">
        <v>54</v>
      </c>
      <c r="C194" s="5">
        <v>32325</v>
      </c>
      <c r="D194" s="5">
        <f t="shared" si="6"/>
        <v>48905.857142857145</v>
      </c>
      <c r="E194" s="5">
        <f t="shared" si="7"/>
        <v>53471.466666666667</v>
      </c>
      <c r="F194" s="4" t="s">
        <v>50</v>
      </c>
    </row>
    <row r="195" spans="1:6" ht="15" customHeight="1" x14ac:dyDescent="0.2">
      <c r="A195" s="14">
        <v>45717</v>
      </c>
      <c r="B195" s="4" t="s">
        <v>56</v>
      </c>
      <c r="C195" s="5">
        <v>23844</v>
      </c>
      <c r="D195" s="5">
        <f t="shared" si="6"/>
        <v>48125.142857142855</v>
      </c>
      <c r="E195" s="5">
        <f t="shared" si="7"/>
        <v>51945.4</v>
      </c>
      <c r="F195" s="4" t="s">
        <v>57</v>
      </c>
    </row>
    <row r="196" spans="1:6" ht="15" customHeight="1" x14ac:dyDescent="0.2">
      <c r="A196" s="14">
        <v>45718</v>
      </c>
      <c r="B196" s="4" t="s">
        <v>59</v>
      </c>
      <c r="C196" s="5">
        <v>54037</v>
      </c>
      <c r="D196" s="5">
        <f t="shared" si="6"/>
        <v>48353.714285714283</v>
      </c>
      <c r="E196" s="5">
        <f t="shared" si="7"/>
        <v>52560.466666666667</v>
      </c>
      <c r="F196" s="4" t="s">
        <v>57</v>
      </c>
    </row>
    <row r="197" spans="1:6" ht="15" customHeight="1" x14ac:dyDescent="0.2">
      <c r="A197" s="14">
        <v>45719</v>
      </c>
      <c r="B197" s="4" t="s">
        <v>55</v>
      </c>
      <c r="C197" s="5">
        <v>63549</v>
      </c>
      <c r="D197" s="5">
        <f t="shared" si="6"/>
        <v>49737.571428571428</v>
      </c>
      <c r="E197" s="5">
        <f t="shared" si="7"/>
        <v>53669.2</v>
      </c>
      <c r="F197" s="4" t="s">
        <v>50</v>
      </c>
    </row>
    <row r="198" spans="1:6" ht="15" customHeight="1" x14ac:dyDescent="0.2">
      <c r="A198" s="14">
        <v>45720</v>
      </c>
      <c r="B198" s="4" t="s">
        <v>58</v>
      </c>
      <c r="C198" s="5">
        <v>61969</v>
      </c>
      <c r="D198" s="5">
        <f t="shared" si="6"/>
        <v>50390.571428571428</v>
      </c>
      <c r="E198" s="5">
        <f t="shared" si="7"/>
        <v>53795.73333333333</v>
      </c>
      <c r="F198" s="4" t="s">
        <v>50</v>
      </c>
    </row>
    <row r="199" spans="1:6" ht="15" customHeight="1" x14ac:dyDescent="0.2">
      <c r="A199" s="14">
        <v>45721</v>
      </c>
      <c r="B199" s="4" t="s">
        <v>60</v>
      </c>
      <c r="C199" s="5">
        <v>60959</v>
      </c>
      <c r="D199" s="5">
        <f t="shared" si="6"/>
        <v>50540.571428571428</v>
      </c>
      <c r="E199" s="5">
        <f t="shared" si="7"/>
        <v>53733.3</v>
      </c>
      <c r="F199" s="4" t="s">
        <v>50</v>
      </c>
    </row>
    <row r="200" spans="1:6" ht="15" customHeight="1" x14ac:dyDescent="0.2">
      <c r="A200" s="14">
        <v>45722</v>
      </c>
      <c r="B200" s="4" t="s">
        <v>49</v>
      </c>
      <c r="C200" s="5">
        <v>60842</v>
      </c>
      <c r="D200" s="5">
        <f t="shared" si="6"/>
        <v>51075</v>
      </c>
      <c r="E200" s="5">
        <f t="shared" si="7"/>
        <v>53791.033333333333</v>
      </c>
      <c r="F200" s="4" t="s">
        <v>50</v>
      </c>
    </row>
    <row r="201" spans="1:6" ht="15" customHeight="1" x14ac:dyDescent="0.2">
      <c r="A201" s="14">
        <v>45723</v>
      </c>
      <c r="B201" s="4" t="s">
        <v>54</v>
      </c>
      <c r="C201" s="5">
        <v>35090</v>
      </c>
      <c r="D201" s="5">
        <f t="shared" si="6"/>
        <v>51470</v>
      </c>
      <c r="E201" s="5">
        <f t="shared" si="7"/>
        <v>52826.76666666667</v>
      </c>
      <c r="F201" s="4" t="s">
        <v>50</v>
      </c>
    </row>
    <row r="202" spans="1:6" ht="15" customHeight="1" x14ac:dyDescent="0.2">
      <c r="A202" s="14">
        <v>45724</v>
      </c>
      <c r="B202" s="4" t="s">
        <v>56</v>
      </c>
      <c r="C202" s="5">
        <v>29401</v>
      </c>
      <c r="D202" s="5">
        <f t="shared" ref="D202:D265" si="8">AVERAGE(C196:C202)</f>
        <v>52263.857142857145</v>
      </c>
      <c r="E202" s="5">
        <f t="shared" si="7"/>
        <v>51247.633333333331</v>
      </c>
      <c r="F202" s="4" t="s">
        <v>57</v>
      </c>
    </row>
    <row r="203" spans="1:6" ht="15" customHeight="1" x14ac:dyDescent="0.2">
      <c r="A203" s="14">
        <v>45725</v>
      </c>
      <c r="B203" s="4" t="s">
        <v>59</v>
      </c>
      <c r="C203" s="5">
        <v>54962</v>
      </c>
      <c r="D203" s="5">
        <f t="shared" si="8"/>
        <v>52396</v>
      </c>
      <c r="E203" s="5">
        <f t="shared" si="7"/>
        <v>52136.533333333333</v>
      </c>
      <c r="F203" s="4" t="s">
        <v>57</v>
      </c>
    </row>
    <row r="204" spans="1:6" ht="15" customHeight="1" x14ac:dyDescent="0.2">
      <c r="A204" s="14">
        <v>45726</v>
      </c>
      <c r="B204" s="4" t="s">
        <v>55</v>
      </c>
      <c r="C204" s="5">
        <v>62517</v>
      </c>
      <c r="D204" s="5">
        <f t="shared" si="8"/>
        <v>52248.571428571428</v>
      </c>
      <c r="E204" s="5">
        <f t="shared" si="7"/>
        <v>53126.933333333334</v>
      </c>
      <c r="F204" s="4" t="s">
        <v>50</v>
      </c>
    </row>
    <row r="205" spans="1:6" ht="15" customHeight="1" x14ac:dyDescent="0.2">
      <c r="A205" s="14">
        <v>45727</v>
      </c>
      <c r="B205" s="4" t="s">
        <v>58</v>
      </c>
      <c r="C205" s="5">
        <v>62961</v>
      </c>
      <c r="D205" s="5">
        <f t="shared" si="8"/>
        <v>52390.285714285717</v>
      </c>
      <c r="E205" s="5">
        <f t="shared" si="7"/>
        <v>53293.9</v>
      </c>
      <c r="F205" s="4" t="s">
        <v>50</v>
      </c>
    </row>
    <row r="206" spans="1:6" ht="15" customHeight="1" x14ac:dyDescent="0.2">
      <c r="A206" s="14">
        <v>45728</v>
      </c>
      <c r="B206" s="4" t="s">
        <v>60</v>
      </c>
      <c r="C206" s="5">
        <v>61055</v>
      </c>
      <c r="D206" s="5">
        <f t="shared" si="8"/>
        <v>52404</v>
      </c>
      <c r="E206" s="5">
        <f t="shared" si="7"/>
        <v>53244.933333333334</v>
      </c>
      <c r="F206" s="4" t="s">
        <v>50</v>
      </c>
    </row>
    <row r="207" spans="1:6" ht="15" customHeight="1" x14ac:dyDescent="0.2">
      <c r="A207" s="14">
        <v>45729</v>
      </c>
      <c r="B207" s="4" t="s">
        <v>49</v>
      </c>
      <c r="C207" s="5">
        <v>58624</v>
      </c>
      <c r="D207" s="5">
        <f t="shared" si="8"/>
        <v>52087.142857142855</v>
      </c>
      <c r="E207" s="5">
        <f t="shared" si="7"/>
        <v>53000.333333333336</v>
      </c>
      <c r="F207" s="4" t="s">
        <v>50</v>
      </c>
    </row>
    <row r="208" spans="1:6" ht="15" customHeight="1" x14ac:dyDescent="0.2">
      <c r="A208" s="14">
        <v>45730</v>
      </c>
      <c r="B208" s="4" t="s">
        <v>54</v>
      </c>
      <c r="C208" s="5">
        <v>27571</v>
      </c>
      <c r="D208" s="5">
        <f t="shared" si="8"/>
        <v>51013</v>
      </c>
      <c r="E208" s="5">
        <f t="shared" si="7"/>
        <v>51790.5</v>
      </c>
      <c r="F208" s="4" t="s">
        <v>50</v>
      </c>
    </row>
    <row r="209" spans="1:6" ht="15" customHeight="1" x14ac:dyDescent="0.2">
      <c r="A209" s="14">
        <v>45731</v>
      </c>
      <c r="B209" s="4" t="s">
        <v>56</v>
      </c>
      <c r="C209" s="5">
        <v>30750</v>
      </c>
      <c r="D209" s="5">
        <f t="shared" si="8"/>
        <v>51205.714285714283</v>
      </c>
      <c r="E209" s="5">
        <f t="shared" si="7"/>
        <v>50207.366666666669</v>
      </c>
      <c r="F209" s="4" t="s">
        <v>57</v>
      </c>
    </row>
    <row r="210" spans="1:6" ht="15" customHeight="1" x14ac:dyDescent="0.2">
      <c r="A210" s="14">
        <v>45732</v>
      </c>
      <c r="B210" s="4" t="s">
        <v>59</v>
      </c>
      <c r="C210" s="5">
        <v>53795</v>
      </c>
      <c r="D210" s="5">
        <f t="shared" si="8"/>
        <v>51039</v>
      </c>
      <c r="E210" s="5">
        <f t="shared" si="7"/>
        <v>50983.166666666664</v>
      </c>
      <c r="F210" s="4" t="s">
        <v>57</v>
      </c>
    </row>
    <row r="211" spans="1:6" ht="15" customHeight="1" x14ac:dyDescent="0.2">
      <c r="A211" s="14">
        <v>45733</v>
      </c>
      <c r="B211" s="4" t="s">
        <v>55</v>
      </c>
      <c r="C211" s="5">
        <v>61241</v>
      </c>
      <c r="D211" s="5">
        <f t="shared" si="8"/>
        <v>50856.714285714283</v>
      </c>
      <c r="E211" s="5">
        <f t="shared" si="7"/>
        <v>51938.8</v>
      </c>
      <c r="F211" s="4" t="s">
        <v>50</v>
      </c>
    </row>
    <row r="212" spans="1:6" ht="15" customHeight="1" x14ac:dyDescent="0.2">
      <c r="A212" s="14">
        <v>45734</v>
      </c>
      <c r="B212" s="4" t="s">
        <v>58</v>
      </c>
      <c r="C212" s="5">
        <v>62264</v>
      </c>
      <c r="D212" s="5">
        <f t="shared" si="8"/>
        <v>50757.142857142855</v>
      </c>
      <c r="E212" s="5">
        <f t="shared" si="7"/>
        <v>51976.566666666666</v>
      </c>
      <c r="F212" s="4" t="s">
        <v>50</v>
      </c>
    </row>
    <row r="213" spans="1:6" ht="15" customHeight="1" x14ac:dyDescent="0.2">
      <c r="A213" s="14">
        <v>45735</v>
      </c>
      <c r="B213" s="4" t="s">
        <v>60</v>
      </c>
      <c r="C213" s="5">
        <v>60583</v>
      </c>
      <c r="D213" s="5">
        <f t="shared" si="8"/>
        <v>50689.714285714283</v>
      </c>
      <c r="E213" s="5">
        <f t="shared" si="7"/>
        <v>51875.6</v>
      </c>
      <c r="F213" s="4" t="s">
        <v>50</v>
      </c>
    </row>
    <row r="214" spans="1:6" ht="15" customHeight="1" x14ac:dyDescent="0.2">
      <c r="A214" s="14">
        <v>45736</v>
      </c>
      <c r="B214" s="4" t="s">
        <v>49</v>
      </c>
      <c r="C214" s="5">
        <v>57197</v>
      </c>
      <c r="D214" s="5">
        <f t="shared" si="8"/>
        <v>50485.857142857145</v>
      </c>
      <c r="E214" s="5">
        <f t="shared" si="7"/>
        <v>51444.466666666667</v>
      </c>
      <c r="F214" s="4" t="s">
        <v>50</v>
      </c>
    </row>
    <row r="215" spans="1:6" ht="15" customHeight="1" x14ac:dyDescent="0.2">
      <c r="A215" s="14">
        <v>45737</v>
      </c>
      <c r="B215" s="4" t="s">
        <v>54</v>
      </c>
      <c r="C215" s="5">
        <v>35269</v>
      </c>
      <c r="D215" s="5">
        <f t="shared" si="8"/>
        <v>51585.571428571428</v>
      </c>
      <c r="E215" s="5">
        <f t="shared" si="7"/>
        <v>50375.1</v>
      </c>
      <c r="F215" s="4" t="s">
        <v>50</v>
      </c>
    </row>
    <row r="216" spans="1:6" ht="15" customHeight="1" x14ac:dyDescent="0.2">
      <c r="A216" s="14">
        <v>45738</v>
      </c>
      <c r="B216" s="4" t="s">
        <v>56</v>
      </c>
      <c r="C216" s="5">
        <v>29809</v>
      </c>
      <c r="D216" s="5">
        <f t="shared" si="8"/>
        <v>51451.142857142855</v>
      </c>
      <c r="E216" s="5">
        <f t="shared" si="7"/>
        <v>49353.2</v>
      </c>
      <c r="F216" s="4" t="s">
        <v>57</v>
      </c>
    </row>
    <row r="217" spans="1:6" ht="15" customHeight="1" x14ac:dyDescent="0.2">
      <c r="A217" s="14">
        <v>45739</v>
      </c>
      <c r="B217" s="4" t="s">
        <v>59</v>
      </c>
      <c r="C217" s="5">
        <v>45695</v>
      </c>
      <c r="D217" s="5">
        <f t="shared" si="8"/>
        <v>50294</v>
      </c>
      <c r="E217" s="5">
        <f t="shared" si="7"/>
        <v>49877.5</v>
      </c>
      <c r="F217" s="4" t="s">
        <v>57</v>
      </c>
    </row>
    <row r="218" spans="1:6" ht="15" customHeight="1" x14ac:dyDescent="0.2">
      <c r="A218" s="14">
        <v>45740</v>
      </c>
      <c r="B218" s="4" t="s">
        <v>55</v>
      </c>
      <c r="C218" s="5">
        <v>61799</v>
      </c>
      <c r="D218" s="5">
        <f t="shared" si="8"/>
        <v>50373.714285714283</v>
      </c>
      <c r="E218" s="5">
        <f t="shared" si="7"/>
        <v>50960.5</v>
      </c>
      <c r="F218" s="4" t="s">
        <v>50</v>
      </c>
    </row>
    <row r="219" spans="1:6" ht="15" customHeight="1" x14ac:dyDescent="0.2">
      <c r="A219" s="14">
        <v>45741</v>
      </c>
      <c r="B219" s="4" t="s">
        <v>58</v>
      </c>
      <c r="C219" s="5">
        <v>64027</v>
      </c>
      <c r="D219" s="5">
        <f t="shared" si="8"/>
        <v>50625.571428571428</v>
      </c>
      <c r="E219" s="5">
        <f t="shared" si="7"/>
        <v>51346.833333333336</v>
      </c>
      <c r="F219" s="4" t="s">
        <v>50</v>
      </c>
    </row>
    <row r="220" spans="1:6" ht="15" customHeight="1" x14ac:dyDescent="0.2">
      <c r="A220" s="14">
        <v>45742</v>
      </c>
      <c r="B220" s="4" t="s">
        <v>60</v>
      </c>
      <c r="C220" s="5">
        <v>54264</v>
      </c>
      <c r="D220" s="5">
        <f t="shared" si="8"/>
        <v>49722.857142857145</v>
      </c>
      <c r="E220" s="5">
        <f t="shared" si="7"/>
        <v>51360.23333333333</v>
      </c>
      <c r="F220" s="4" t="s">
        <v>50</v>
      </c>
    </row>
    <row r="221" spans="1:6" ht="15" customHeight="1" x14ac:dyDescent="0.2">
      <c r="A221" s="14">
        <v>45743</v>
      </c>
      <c r="B221" s="4" t="s">
        <v>49</v>
      </c>
      <c r="C221" s="5">
        <v>55797</v>
      </c>
      <c r="D221" s="5">
        <f t="shared" si="8"/>
        <v>49522.857142857145</v>
      </c>
      <c r="E221" s="5">
        <f t="shared" si="7"/>
        <v>51306.866666666669</v>
      </c>
      <c r="F221" s="4" t="s">
        <v>50</v>
      </c>
    </row>
    <row r="222" spans="1:6" ht="15" customHeight="1" x14ac:dyDescent="0.2">
      <c r="A222" s="14">
        <v>45744</v>
      </c>
      <c r="B222" s="4" t="s">
        <v>54</v>
      </c>
      <c r="C222" s="5">
        <v>33283</v>
      </c>
      <c r="D222" s="5">
        <f t="shared" si="8"/>
        <v>49239.142857142855</v>
      </c>
      <c r="E222" s="5">
        <f t="shared" si="7"/>
        <v>50419.333333333336</v>
      </c>
      <c r="F222" s="4" t="s">
        <v>50</v>
      </c>
    </row>
    <row r="223" spans="1:6" ht="15" customHeight="1" x14ac:dyDescent="0.2">
      <c r="A223" s="14">
        <v>45745</v>
      </c>
      <c r="B223" s="4" t="s">
        <v>56</v>
      </c>
      <c r="C223" s="5">
        <v>31020</v>
      </c>
      <c r="D223" s="5">
        <f t="shared" si="8"/>
        <v>49412.142857142855</v>
      </c>
      <c r="E223" s="5">
        <f t="shared" si="7"/>
        <v>49549.966666666667</v>
      </c>
      <c r="F223" s="4" t="s">
        <v>57</v>
      </c>
    </row>
    <row r="224" spans="1:6" ht="15" customHeight="1" x14ac:dyDescent="0.2">
      <c r="A224" s="14">
        <v>45746</v>
      </c>
      <c r="B224" s="4" t="s">
        <v>59</v>
      </c>
      <c r="C224" s="5">
        <v>51261</v>
      </c>
      <c r="D224" s="5">
        <f t="shared" si="8"/>
        <v>50207.285714285717</v>
      </c>
      <c r="E224" s="5">
        <f t="shared" si="7"/>
        <v>50181.166666666664</v>
      </c>
      <c r="F224" s="4" t="s">
        <v>57</v>
      </c>
    </row>
    <row r="225" spans="1:6" ht="15" customHeight="1" x14ac:dyDescent="0.2">
      <c r="A225" s="14">
        <v>45747</v>
      </c>
      <c r="B225" s="4" t="s">
        <v>55</v>
      </c>
      <c r="C225" s="5">
        <v>59009</v>
      </c>
      <c r="D225" s="5">
        <f t="shared" si="8"/>
        <v>49808.714285714283</v>
      </c>
      <c r="E225" s="5">
        <f t="shared" ref="E225:E288" si="9">AVERAGE(C196:C225)</f>
        <v>51353.333333333336</v>
      </c>
      <c r="F225" s="4" t="s">
        <v>50</v>
      </c>
    </row>
    <row r="226" spans="1:6" ht="15" customHeight="1" x14ac:dyDescent="0.2">
      <c r="A226" s="14">
        <v>45748</v>
      </c>
      <c r="B226" s="4" t="s">
        <v>58</v>
      </c>
      <c r="C226" s="5">
        <v>61632</v>
      </c>
      <c r="D226" s="5">
        <f t="shared" si="8"/>
        <v>49466.571428571428</v>
      </c>
      <c r="E226" s="5">
        <f t="shared" si="9"/>
        <v>51606.5</v>
      </c>
      <c r="F226" s="4" t="s">
        <v>50</v>
      </c>
    </row>
    <row r="227" spans="1:6" ht="15" customHeight="1" x14ac:dyDescent="0.2">
      <c r="A227" s="14">
        <v>45749</v>
      </c>
      <c r="B227" s="4" t="s">
        <v>60</v>
      </c>
      <c r="C227" s="5">
        <v>59912</v>
      </c>
      <c r="D227" s="5">
        <f t="shared" si="8"/>
        <v>50273.428571428572</v>
      </c>
      <c r="E227" s="5">
        <f t="shared" si="9"/>
        <v>51485.26666666667</v>
      </c>
      <c r="F227" s="4" t="s">
        <v>50</v>
      </c>
    </row>
    <row r="228" spans="1:6" ht="15" customHeight="1" x14ac:dyDescent="0.2">
      <c r="A228" s="14">
        <v>45750</v>
      </c>
      <c r="B228" s="4" t="s">
        <v>49</v>
      </c>
      <c r="C228" s="5">
        <v>62220</v>
      </c>
      <c r="D228" s="5">
        <f t="shared" si="8"/>
        <v>51191</v>
      </c>
      <c r="E228" s="5">
        <f t="shared" si="9"/>
        <v>51493.633333333331</v>
      </c>
      <c r="F228" s="4" t="s">
        <v>50</v>
      </c>
    </row>
    <row r="229" spans="1:6" ht="15" customHeight="1" x14ac:dyDescent="0.2">
      <c r="A229" s="14">
        <v>45751</v>
      </c>
      <c r="B229" s="4" t="s">
        <v>54</v>
      </c>
      <c r="C229" s="5">
        <v>33178</v>
      </c>
      <c r="D229" s="5">
        <f t="shared" si="8"/>
        <v>51176</v>
      </c>
      <c r="E229" s="5">
        <f t="shared" si="9"/>
        <v>50567.6</v>
      </c>
      <c r="F229" s="4" t="s">
        <v>50</v>
      </c>
    </row>
    <row r="230" spans="1:6" ht="15" customHeight="1" x14ac:dyDescent="0.2">
      <c r="A230" s="14">
        <v>45752</v>
      </c>
      <c r="B230" s="4" t="s">
        <v>56</v>
      </c>
      <c r="C230" s="5">
        <v>28261</v>
      </c>
      <c r="D230" s="5">
        <f t="shared" si="8"/>
        <v>50781.857142857145</v>
      </c>
      <c r="E230" s="5">
        <f t="shared" si="9"/>
        <v>49481.566666666666</v>
      </c>
      <c r="F230" s="4" t="s">
        <v>57</v>
      </c>
    </row>
    <row r="231" spans="1:6" ht="15" customHeight="1" x14ac:dyDescent="0.2">
      <c r="A231" s="14">
        <v>45753</v>
      </c>
      <c r="B231" s="4" t="s">
        <v>59</v>
      </c>
      <c r="C231" s="5">
        <v>55544</v>
      </c>
      <c r="D231" s="5">
        <f t="shared" si="8"/>
        <v>51393.714285714283</v>
      </c>
      <c r="E231" s="5">
        <f t="shared" si="9"/>
        <v>50163.366666666669</v>
      </c>
      <c r="F231" s="4" t="s">
        <v>57</v>
      </c>
    </row>
    <row r="232" spans="1:6" ht="15" customHeight="1" x14ac:dyDescent="0.2">
      <c r="A232" s="14">
        <v>45754</v>
      </c>
      <c r="B232" s="4" t="s">
        <v>55</v>
      </c>
      <c r="C232" s="5">
        <v>62572</v>
      </c>
      <c r="D232" s="5">
        <f t="shared" si="8"/>
        <v>51902.714285714283</v>
      </c>
      <c r="E232" s="5">
        <f t="shared" si="9"/>
        <v>51269.066666666666</v>
      </c>
      <c r="F232" s="4" t="s">
        <v>50</v>
      </c>
    </row>
    <row r="233" spans="1:6" ht="15" customHeight="1" x14ac:dyDescent="0.2">
      <c r="A233" s="14">
        <v>45755</v>
      </c>
      <c r="B233" s="4" t="s">
        <v>58</v>
      </c>
      <c r="C233" s="5">
        <v>62613</v>
      </c>
      <c r="D233" s="5">
        <f t="shared" si="8"/>
        <v>52042.857142857145</v>
      </c>
      <c r="E233" s="5">
        <f t="shared" si="9"/>
        <v>51524.1</v>
      </c>
      <c r="F233" s="4" t="s">
        <v>50</v>
      </c>
    </row>
    <row r="234" spans="1:6" ht="15" customHeight="1" x14ac:dyDescent="0.2">
      <c r="A234" s="14">
        <v>45756</v>
      </c>
      <c r="B234" s="4" t="s">
        <v>60</v>
      </c>
      <c r="C234" s="5">
        <v>60302</v>
      </c>
      <c r="D234" s="5">
        <f t="shared" si="8"/>
        <v>52098.571428571428</v>
      </c>
      <c r="E234" s="5">
        <f t="shared" si="9"/>
        <v>51450.26666666667</v>
      </c>
      <c r="F234" s="4" t="s">
        <v>50</v>
      </c>
    </row>
    <row r="235" spans="1:6" ht="15" customHeight="1" x14ac:dyDescent="0.2">
      <c r="A235" s="14">
        <v>45757</v>
      </c>
      <c r="B235" s="4" t="s">
        <v>49</v>
      </c>
      <c r="C235" s="5">
        <v>60385</v>
      </c>
      <c r="D235" s="5">
        <f t="shared" si="8"/>
        <v>51836.428571428572</v>
      </c>
      <c r="E235" s="5">
        <f t="shared" si="9"/>
        <v>51364.4</v>
      </c>
      <c r="F235" s="4" t="s">
        <v>50</v>
      </c>
    </row>
    <row r="236" spans="1:6" ht="15" customHeight="1" x14ac:dyDescent="0.2">
      <c r="A236" s="14">
        <v>45758</v>
      </c>
      <c r="B236" s="4" t="s">
        <v>54</v>
      </c>
      <c r="C236" s="5">
        <v>31875</v>
      </c>
      <c r="D236" s="5">
        <f t="shared" si="8"/>
        <v>51650.285714285717</v>
      </c>
      <c r="E236" s="5">
        <f t="shared" si="9"/>
        <v>50391.73333333333</v>
      </c>
      <c r="F236" s="4" t="s">
        <v>50</v>
      </c>
    </row>
    <row r="237" spans="1:6" ht="15" customHeight="1" x14ac:dyDescent="0.2">
      <c r="A237" s="14">
        <v>45759</v>
      </c>
      <c r="B237" s="4" t="s">
        <v>56</v>
      </c>
      <c r="C237" s="5">
        <v>27006</v>
      </c>
      <c r="D237" s="5">
        <f t="shared" si="8"/>
        <v>51471</v>
      </c>
      <c r="E237" s="5">
        <f t="shared" si="9"/>
        <v>49337.8</v>
      </c>
      <c r="F237" s="4" t="s">
        <v>57</v>
      </c>
    </row>
    <row r="238" spans="1:6" ht="15" customHeight="1" x14ac:dyDescent="0.2">
      <c r="A238" s="14">
        <v>45760</v>
      </c>
      <c r="B238" s="4" t="s">
        <v>59</v>
      </c>
      <c r="C238" s="5">
        <v>56459</v>
      </c>
      <c r="D238" s="5">
        <f t="shared" si="8"/>
        <v>51601.714285714283</v>
      </c>
      <c r="E238" s="5">
        <f t="shared" si="9"/>
        <v>50300.73333333333</v>
      </c>
      <c r="F238" s="4" t="s">
        <v>57</v>
      </c>
    </row>
    <row r="239" spans="1:6" ht="15" customHeight="1" x14ac:dyDescent="0.2">
      <c r="A239" s="14">
        <v>45761</v>
      </c>
      <c r="B239" s="4" t="s">
        <v>55</v>
      </c>
      <c r="C239" s="5">
        <v>64677</v>
      </c>
      <c r="D239" s="5">
        <f t="shared" si="8"/>
        <v>51902.428571428572</v>
      </c>
      <c r="E239" s="5">
        <f t="shared" si="9"/>
        <v>51431.633333333331</v>
      </c>
      <c r="F239" s="4" t="s">
        <v>50</v>
      </c>
    </row>
    <row r="240" spans="1:6" ht="15" customHeight="1" x14ac:dyDescent="0.2">
      <c r="A240" s="14">
        <v>45762</v>
      </c>
      <c r="B240" s="4" t="s">
        <v>58</v>
      </c>
      <c r="C240" s="5">
        <v>64017</v>
      </c>
      <c r="D240" s="5">
        <f t="shared" si="8"/>
        <v>52103</v>
      </c>
      <c r="E240" s="5">
        <f t="shared" si="9"/>
        <v>51772.366666666669</v>
      </c>
      <c r="F240" s="4" t="s">
        <v>50</v>
      </c>
    </row>
    <row r="241" spans="1:6" ht="15" customHeight="1" x14ac:dyDescent="0.2">
      <c r="A241" s="14">
        <v>45763</v>
      </c>
      <c r="B241" s="4" t="s">
        <v>60</v>
      </c>
      <c r="C241" s="5">
        <v>60987</v>
      </c>
      <c r="D241" s="5">
        <f t="shared" si="8"/>
        <v>52200.857142857145</v>
      </c>
      <c r="E241" s="5">
        <f t="shared" si="9"/>
        <v>51763.9</v>
      </c>
      <c r="F241" s="4" t="s">
        <v>50</v>
      </c>
    </row>
    <row r="242" spans="1:6" ht="15" customHeight="1" x14ac:dyDescent="0.2">
      <c r="A242" s="14">
        <v>45764</v>
      </c>
      <c r="B242" s="4" t="s">
        <v>49</v>
      </c>
      <c r="C242" s="5">
        <v>71211</v>
      </c>
      <c r="D242" s="5">
        <f t="shared" si="8"/>
        <v>53747.428571428572</v>
      </c>
      <c r="E242" s="5">
        <f t="shared" si="9"/>
        <v>52062.133333333331</v>
      </c>
      <c r="F242" s="4" t="s">
        <v>50</v>
      </c>
    </row>
    <row r="243" spans="1:6" ht="15" customHeight="1" x14ac:dyDescent="0.2">
      <c r="A243" s="14">
        <v>45765</v>
      </c>
      <c r="B243" s="4" t="s">
        <v>54</v>
      </c>
      <c r="C243" s="5">
        <v>32994</v>
      </c>
      <c r="D243" s="5">
        <f t="shared" si="8"/>
        <v>53907.285714285717</v>
      </c>
      <c r="E243" s="5">
        <f t="shared" si="9"/>
        <v>51142.5</v>
      </c>
      <c r="F243" s="4" t="s">
        <v>50</v>
      </c>
    </row>
    <row r="244" spans="1:6" ht="15" customHeight="1" x14ac:dyDescent="0.2">
      <c r="A244" s="14">
        <v>45766</v>
      </c>
      <c r="B244" s="4" t="s">
        <v>56</v>
      </c>
      <c r="C244" s="5">
        <v>31093</v>
      </c>
      <c r="D244" s="5">
        <f t="shared" si="8"/>
        <v>54491.142857142855</v>
      </c>
      <c r="E244" s="5">
        <f t="shared" si="9"/>
        <v>50272.366666666669</v>
      </c>
      <c r="F244" s="4" t="s">
        <v>57</v>
      </c>
    </row>
    <row r="245" spans="1:6" ht="15" customHeight="1" x14ac:dyDescent="0.2">
      <c r="A245" s="14">
        <v>45767</v>
      </c>
      <c r="B245" s="4" t="s">
        <v>59</v>
      </c>
      <c r="C245" s="5">
        <v>53580</v>
      </c>
      <c r="D245" s="5">
        <f t="shared" si="8"/>
        <v>54079.857142857145</v>
      </c>
      <c r="E245" s="5">
        <f t="shared" si="9"/>
        <v>50882.73333333333</v>
      </c>
      <c r="F245" s="4" t="s">
        <v>57</v>
      </c>
    </row>
    <row r="246" spans="1:6" ht="15" customHeight="1" x14ac:dyDescent="0.2">
      <c r="A246" s="14">
        <v>45768</v>
      </c>
      <c r="B246" s="4" t="s">
        <v>55</v>
      </c>
      <c r="C246" s="5">
        <v>57026</v>
      </c>
      <c r="D246" s="5">
        <f t="shared" si="8"/>
        <v>52986.857142857145</v>
      </c>
      <c r="E246" s="5">
        <f t="shared" si="9"/>
        <v>51789.966666666667</v>
      </c>
      <c r="F246" s="4" t="s">
        <v>50</v>
      </c>
    </row>
    <row r="247" spans="1:6" ht="15" customHeight="1" x14ac:dyDescent="0.2">
      <c r="A247" s="14">
        <v>45769</v>
      </c>
      <c r="B247" s="4" t="s">
        <v>58</v>
      </c>
      <c r="C247" s="5">
        <v>61367</v>
      </c>
      <c r="D247" s="5">
        <f t="shared" si="8"/>
        <v>52608.285714285717</v>
      </c>
      <c r="E247" s="5">
        <f t="shared" si="9"/>
        <v>52312.366666666669</v>
      </c>
      <c r="F247" s="4" t="s">
        <v>50</v>
      </c>
    </row>
    <row r="248" spans="1:6" ht="15" customHeight="1" x14ac:dyDescent="0.2">
      <c r="A248" s="14">
        <v>45770</v>
      </c>
      <c r="B248" s="4" t="s">
        <v>60</v>
      </c>
      <c r="C248" s="5">
        <v>60042</v>
      </c>
      <c r="D248" s="5">
        <f t="shared" si="8"/>
        <v>52473.285714285717</v>
      </c>
      <c r="E248" s="5">
        <f t="shared" si="9"/>
        <v>52253.8</v>
      </c>
      <c r="F248" s="4" t="s">
        <v>50</v>
      </c>
    </row>
    <row r="249" spans="1:6" ht="15" customHeight="1" x14ac:dyDescent="0.2">
      <c r="A249" s="14">
        <v>45771</v>
      </c>
      <c r="B249" s="4" t="s">
        <v>49</v>
      </c>
      <c r="C249" s="5">
        <v>59947</v>
      </c>
      <c r="D249" s="5">
        <f t="shared" si="8"/>
        <v>50864.142857142855</v>
      </c>
      <c r="E249" s="5">
        <f t="shared" si="9"/>
        <v>52117.8</v>
      </c>
      <c r="F249" s="4" t="s">
        <v>50</v>
      </c>
    </row>
    <row r="250" spans="1:6" ht="15" customHeight="1" x14ac:dyDescent="0.2">
      <c r="A250" s="14">
        <v>45772</v>
      </c>
      <c r="B250" s="4" t="s">
        <v>54</v>
      </c>
      <c r="C250" s="5">
        <v>45519</v>
      </c>
      <c r="D250" s="5">
        <f t="shared" si="8"/>
        <v>52653.428571428572</v>
      </c>
      <c r="E250" s="5">
        <f t="shared" si="9"/>
        <v>51826.3</v>
      </c>
      <c r="F250" s="4" t="s">
        <v>50</v>
      </c>
    </row>
    <row r="251" spans="1:6" ht="15" customHeight="1" x14ac:dyDescent="0.2">
      <c r="A251" s="14">
        <v>45773</v>
      </c>
      <c r="B251" s="4" t="s">
        <v>56</v>
      </c>
      <c r="C251" s="5">
        <v>29570</v>
      </c>
      <c r="D251" s="5">
        <f t="shared" si="8"/>
        <v>52435.857142857145</v>
      </c>
      <c r="E251" s="5">
        <f t="shared" si="9"/>
        <v>50952.066666666666</v>
      </c>
      <c r="F251" s="4" t="s">
        <v>57</v>
      </c>
    </row>
    <row r="252" spans="1:6" ht="15" customHeight="1" x14ac:dyDescent="0.2">
      <c r="A252" s="14">
        <v>45774</v>
      </c>
      <c r="B252" s="4" t="s">
        <v>59</v>
      </c>
      <c r="C252" s="5">
        <v>53345</v>
      </c>
      <c r="D252" s="5">
        <f t="shared" si="8"/>
        <v>52402.285714285717</v>
      </c>
      <c r="E252" s="5">
        <f t="shared" si="9"/>
        <v>51620.800000000003</v>
      </c>
      <c r="F252" s="4" t="s">
        <v>57</v>
      </c>
    </row>
    <row r="253" spans="1:6" ht="15" customHeight="1" x14ac:dyDescent="0.2">
      <c r="A253" s="14">
        <v>45775</v>
      </c>
      <c r="B253" s="4" t="s">
        <v>55</v>
      </c>
      <c r="C253" s="5">
        <v>58191</v>
      </c>
      <c r="D253" s="5">
        <f t="shared" si="8"/>
        <v>52568.714285714283</v>
      </c>
      <c r="E253" s="5">
        <f t="shared" si="9"/>
        <v>52526.5</v>
      </c>
      <c r="F253" s="4" t="s">
        <v>50</v>
      </c>
    </row>
    <row r="254" spans="1:6" ht="15" customHeight="1" x14ac:dyDescent="0.2">
      <c r="A254" s="14">
        <v>45776</v>
      </c>
      <c r="B254" s="4" t="s">
        <v>58</v>
      </c>
      <c r="C254" s="5">
        <v>67761</v>
      </c>
      <c r="D254" s="5">
        <f t="shared" si="8"/>
        <v>53482.142857142855</v>
      </c>
      <c r="E254" s="5">
        <f t="shared" si="9"/>
        <v>53076.5</v>
      </c>
      <c r="F254" s="4" t="s">
        <v>50</v>
      </c>
    </row>
    <row r="255" spans="1:6" ht="15" customHeight="1" x14ac:dyDescent="0.2">
      <c r="A255" s="14">
        <v>45777</v>
      </c>
      <c r="B255" s="4" t="s">
        <v>60</v>
      </c>
      <c r="C255" s="5">
        <v>70751</v>
      </c>
      <c r="D255" s="5">
        <f t="shared" si="8"/>
        <v>55012</v>
      </c>
      <c r="E255" s="5">
        <f t="shared" si="9"/>
        <v>53467.9</v>
      </c>
      <c r="F255" s="4" t="s">
        <v>50</v>
      </c>
    </row>
    <row r="256" spans="1:6" ht="15" customHeight="1" x14ac:dyDescent="0.2">
      <c r="A256" s="14">
        <v>45778</v>
      </c>
      <c r="B256" s="4" t="s">
        <v>49</v>
      </c>
      <c r="C256" s="5">
        <v>71640</v>
      </c>
      <c r="D256" s="5">
        <f t="shared" si="8"/>
        <v>56682.428571428572</v>
      </c>
      <c r="E256" s="5">
        <f t="shared" si="9"/>
        <v>53801.5</v>
      </c>
      <c r="F256" s="4" t="s">
        <v>50</v>
      </c>
    </row>
    <row r="257" spans="1:6" ht="15" customHeight="1" x14ac:dyDescent="0.2">
      <c r="A257" s="14">
        <v>45779</v>
      </c>
      <c r="B257" s="4" t="s">
        <v>54</v>
      </c>
      <c r="C257" s="5">
        <v>36308</v>
      </c>
      <c r="D257" s="5">
        <f t="shared" si="8"/>
        <v>55366.571428571428</v>
      </c>
      <c r="E257" s="5">
        <f t="shared" si="9"/>
        <v>53014.7</v>
      </c>
      <c r="F257" s="4" t="s">
        <v>50</v>
      </c>
    </row>
    <row r="258" spans="1:6" ht="15" customHeight="1" x14ac:dyDescent="0.2">
      <c r="A258" s="14">
        <v>45780</v>
      </c>
      <c r="B258" s="4" t="s">
        <v>56</v>
      </c>
      <c r="C258" s="5">
        <v>33583</v>
      </c>
      <c r="D258" s="5">
        <f t="shared" si="8"/>
        <v>55939.857142857145</v>
      </c>
      <c r="E258" s="5">
        <f t="shared" si="9"/>
        <v>52060.133333333331</v>
      </c>
      <c r="F258" s="4" t="s">
        <v>57</v>
      </c>
    </row>
    <row r="259" spans="1:6" ht="15" customHeight="1" x14ac:dyDescent="0.2">
      <c r="A259" s="14">
        <v>45781</v>
      </c>
      <c r="B259" s="4" t="s">
        <v>59</v>
      </c>
      <c r="C259" s="5">
        <v>59222</v>
      </c>
      <c r="D259" s="5">
        <f t="shared" si="8"/>
        <v>56779.428571428572</v>
      </c>
      <c r="E259" s="5">
        <f t="shared" si="9"/>
        <v>52928.26666666667</v>
      </c>
      <c r="F259" s="4" t="s">
        <v>57</v>
      </c>
    </row>
    <row r="260" spans="1:6" ht="15" customHeight="1" x14ac:dyDescent="0.2">
      <c r="A260" s="14">
        <v>45782</v>
      </c>
      <c r="B260" s="4" t="s">
        <v>55</v>
      </c>
      <c r="C260" s="5">
        <v>65212</v>
      </c>
      <c r="D260" s="5">
        <f t="shared" si="8"/>
        <v>57782.428571428572</v>
      </c>
      <c r="E260" s="5">
        <f t="shared" si="9"/>
        <v>54159.966666666667</v>
      </c>
      <c r="F260" s="4" t="s">
        <v>50</v>
      </c>
    </row>
    <row r="261" spans="1:6" ht="15" customHeight="1" x14ac:dyDescent="0.2">
      <c r="A261" s="14">
        <v>45783</v>
      </c>
      <c r="B261" s="4" t="s">
        <v>58</v>
      </c>
      <c r="C261" s="5">
        <v>69999</v>
      </c>
      <c r="D261" s="5">
        <f t="shared" si="8"/>
        <v>58102.142857142855</v>
      </c>
      <c r="E261" s="5">
        <f t="shared" si="9"/>
        <v>54641.8</v>
      </c>
      <c r="F261" s="4" t="s">
        <v>50</v>
      </c>
    </row>
    <row r="262" spans="1:6" ht="15" customHeight="1" x14ac:dyDescent="0.2">
      <c r="A262" s="14">
        <v>45784</v>
      </c>
      <c r="B262" s="4" t="s">
        <v>60</v>
      </c>
      <c r="C262" s="5">
        <v>72151</v>
      </c>
      <c r="D262" s="5">
        <f t="shared" si="8"/>
        <v>58302.142857142855</v>
      </c>
      <c r="E262" s="5">
        <f t="shared" si="9"/>
        <v>54961.1</v>
      </c>
      <c r="F262" s="4" t="s">
        <v>50</v>
      </c>
    </row>
    <row r="263" spans="1:6" ht="15" customHeight="1" x14ac:dyDescent="0.2">
      <c r="A263" s="14">
        <v>45785</v>
      </c>
      <c r="B263" s="4" t="s">
        <v>49</v>
      </c>
      <c r="C263" s="5">
        <v>73648</v>
      </c>
      <c r="D263" s="5">
        <f t="shared" si="8"/>
        <v>58589</v>
      </c>
      <c r="E263" s="5">
        <f t="shared" si="9"/>
        <v>55328.933333333334</v>
      </c>
      <c r="F263" s="4" t="s">
        <v>50</v>
      </c>
    </row>
    <row r="264" spans="1:6" ht="15" customHeight="1" x14ac:dyDescent="0.2">
      <c r="A264" s="14">
        <v>45786</v>
      </c>
      <c r="B264" s="4" t="s">
        <v>54</v>
      </c>
      <c r="C264" s="5">
        <v>42340</v>
      </c>
      <c r="D264" s="5">
        <f t="shared" si="8"/>
        <v>59450.714285714283</v>
      </c>
      <c r="E264" s="5">
        <f t="shared" si="9"/>
        <v>54730.2</v>
      </c>
      <c r="F264" s="4" t="s">
        <v>50</v>
      </c>
    </row>
    <row r="265" spans="1:6" ht="15" customHeight="1" x14ac:dyDescent="0.2">
      <c r="A265" s="14">
        <v>45787</v>
      </c>
      <c r="B265" s="4" t="s">
        <v>56</v>
      </c>
      <c r="C265" s="5">
        <v>35006</v>
      </c>
      <c r="D265" s="5">
        <f t="shared" si="8"/>
        <v>59654</v>
      </c>
      <c r="E265" s="5">
        <f t="shared" si="9"/>
        <v>53884.23333333333</v>
      </c>
      <c r="F265" s="4" t="s">
        <v>57</v>
      </c>
    </row>
    <row r="266" spans="1:6" ht="15" customHeight="1" x14ac:dyDescent="0.2">
      <c r="A266" s="14">
        <v>45788</v>
      </c>
      <c r="B266" s="4" t="s">
        <v>59</v>
      </c>
      <c r="C266" s="5">
        <v>56164</v>
      </c>
      <c r="D266" s="5">
        <f t="shared" ref="D266:D329" si="10">AVERAGE(C260:C266)</f>
        <v>59217.142857142855</v>
      </c>
      <c r="E266" s="5">
        <f t="shared" si="9"/>
        <v>54693.866666666669</v>
      </c>
      <c r="F266" s="4" t="s">
        <v>57</v>
      </c>
    </row>
    <row r="267" spans="1:6" ht="15" customHeight="1" x14ac:dyDescent="0.2">
      <c r="A267" s="14">
        <v>45789</v>
      </c>
      <c r="B267" s="4" t="s">
        <v>55</v>
      </c>
      <c r="C267" s="5">
        <v>61991</v>
      </c>
      <c r="D267" s="5">
        <f t="shared" si="10"/>
        <v>58757</v>
      </c>
      <c r="E267" s="5">
        <f t="shared" si="9"/>
        <v>55860.033333333333</v>
      </c>
      <c r="F267" s="4" t="s">
        <v>50</v>
      </c>
    </row>
    <row r="268" spans="1:6" ht="15" customHeight="1" x14ac:dyDescent="0.2">
      <c r="A268" s="14">
        <v>45790</v>
      </c>
      <c r="B268" s="4" t="s">
        <v>58</v>
      </c>
      <c r="C268" s="5">
        <v>66270</v>
      </c>
      <c r="D268" s="5">
        <f t="shared" si="10"/>
        <v>58224.285714285717</v>
      </c>
      <c r="E268" s="5">
        <f t="shared" si="9"/>
        <v>56187.066666666666</v>
      </c>
      <c r="F268" s="4" t="s">
        <v>50</v>
      </c>
    </row>
    <row r="269" spans="1:6" ht="15" customHeight="1" x14ac:dyDescent="0.2">
      <c r="A269" s="14">
        <v>45791</v>
      </c>
      <c r="B269" s="4" t="s">
        <v>60</v>
      </c>
      <c r="C269" s="5">
        <v>76937</v>
      </c>
      <c r="D269" s="5">
        <f t="shared" si="10"/>
        <v>58908</v>
      </c>
      <c r="E269" s="5">
        <f t="shared" si="9"/>
        <v>56595.73333333333</v>
      </c>
      <c r="F269" s="4" t="s">
        <v>50</v>
      </c>
    </row>
    <row r="270" spans="1:6" ht="15" customHeight="1" x14ac:dyDescent="0.2">
      <c r="A270" s="14">
        <v>45792</v>
      </c>
      <c r="B270" s="4" t="s">
        <v>49</v>
      </c>
      <c r="C270" s="5">
        <v>65800</v>
      </c>
      <c r="D270" s="5">
        <f t="shared" si="10"/>
        <v>57786.857142857145</v>
      </c>
      <c r="E270" s="5">
        <f t="shared" si="9"/>
        <v>56655.166666666664</v>
      </c>
      <c r="F270" s="4" t="s">
        <v>50</v>
      </c>
    </row>
    <row r="271" spans="1:6" ht="15" customHeight="1" x14ac:dyDescent="0.2">
      <c r="A271" s="14">
        <v>45793</v>
      </c>
      <c r="B271" s="4" t="s">
        <v>54</v>
      </c>
      <c r="C271" s="5">
        <v>35663</v>
      </c>
      <c r="D271" s="5">
        <f t="shared" si="10"/>
        <v>56833</v>
      </c>
      <c r="E271" s="5">
        <f t="shared" si="9"/>
        <v>55811.033333333333</v>
      </c>
      <c r="F271" s="4" t="s">
        <v>50</v>
      </c>
    </row>
    <row r="272" spans="1:6" ht="15" customHeight="1" x14ac:dyDescent="0.2">
      <c r="A272" s="14">
        <v>45794</v>
      </c>
      <c r="B272" s="4" t="s">
        <v>56</v>
      </c>
      <c r="C272" s="5">
        <v>32051</v>
      </c>
      <c r="D272" s="5">
        <f t="shared" si="10"/>
        <v>56410.857142857145</v>
      </c>
      <c r="E272" s="5">
        <f t="shared" si="9"/>
        <v>54505.7</v>
      </c>
      <c r="F272" s="4" t="s">
        <v>57</v>
      </c>
    </row>
    <row r="273" spans="1:6" ht="15" customHeight="1" x14ac:dyDescent="0.2">
      <c r="A273" s="14">
        <v>45795</v>
      </c>
      <c r="B273" s="4" t="s">
        <v>59</v>
      </c>
      <c r="C273" s="5">
        <v>57706</v>
      </c>
      <c r="D273" s="5">
        <f t="shared" si="10"/>
        <v>56631.142857142855</v>
      </c>
      <c r="E273" s="5">
        <f t="shared" si="9"/>
        <v>55329.433333333334</v>
      </c>
      <c r="F273" s="4" t="s">
        <v>57</v>
      </c>
    </row>
    <row r="274" spans="1:6" ht="15" customHeight="1" x14ac:dyDescent="0.2">
      <c r="A274" s="14">
        <v>45796</v>
      </c>
      <c r="B274" s="4" t="s">
        <v>55</v>
      </c>
      <c r="C274" s="5">
        <v>64366</v>
      </c>
      <c r="D274" s="5">
        <f t="shared" si="10"/>
        <v>56970.428571428572</v>
      </c>
      <c r="E274" s="5">
        <f t="shared" si="9"/>
        <v>56438.533333333333</v>
      </c>
      <c r="F274" s="4" t="s">
        <v>50</v>
      </c>
    </row>
    <row r="275" spans="1:6" ht="15" customHeight="1" x14ac:dyDescent="0.2">
      <c r="A275" s="14">
        <v>45797</v>
      </c>
      <c r="B275" s="4" t="s">
        <v>58</v>
      </c>
      <c r="C275" s="5">
        <v>70810</v>
      </c>
      <c r="D275" s="5">
        <f t="shared" si="10"/>
        <v>57619</v>
      </c>
      <c r="E275" s="5">
        <f t="shared" si="9"/>
        <v>57012.866666666669</v>
      </c>
      <c r="F275" s="4" t="s">
        <v>50</v>
      </c>
    </row>
    <row r="276" spans="1:6" ht="15" customHeight="1" x14ac:dyDescent="0.2">
      <c r="A276" s="14">
        <v>45798</v>
      </c>
      <c r="B276" s="4" t="s">
        <v>60</v>
      </c>
      <c r="C276" s="5">
        <v>65617</v>
      </c>
      <c r="D276" s="5">
        <f t="shared" si="10"/>
        <v>56001.857142857145</v>
      </c>
      <c r="E276" s="5">
        <f t="shared" si="9"/>
        <v>57299.23333333333</v>
      </c>
      <c r="F276" s="4" t="s">
        <v>50</v>
      </c>
    </row>
    <row r="277" spans="1:6" ht="15" customHeight="1" x14ac:dyDescent="0.2">
      <c r="A277" s="14">
        <v>45799</v>
      </c>
      <c r="B277" s="4" t="s">
        <v>49</v>
      </c>
      <c r="C277" s="5">
        <v>70894</v>
      </c>
      <c r="D277" s="5">
        <f t="shared" si="10"/>
        <v>56729.571428571428</v>
      </c>
      <c r="E277" s="5">
        <f t="shared" si="9"/>
        <v>57616.800000000003</v>
      </c>
      <c r="F277" s="4" t="s">
        <v>50</v>
      </c>
    </row>
    <row r="278" spans="1:6" ht="15" customHeight="1" x14ac:dyDescent="0.2">
      <c r="A278" s="14">
        <v>45800</v>
      </c>
      <c r="B278" s="4" t="s">
        <v>54</v>
      </c>
      <c r="C278" s="5">
        <v>37568</v>
      </c>
      <c r="D278" s="5">
        <f t="shared" si="10"/>
        <v>57001.714285714283</v>
      </c>
      <c r="E278" s="5">
        <f t="shared" si="9"/>
        <v>56867.666666666664</v>
      </c>
      <c r="F278" s="4" t="s">
        <v>50</v>
      </c>
    </row>
    <row r="279" spans="1:6" ht="15" customHeight="1" x14ac:dyDescent="0.2">
      <c r="A279" s="14">
        <v>45801</v>
      </c>
      <c r="B279" s="4" t="s">
        <v>56</v>
      </c>
      <c r="C279" s="5">
        <v>29454</v>
      </c>
      <c r="D279" s="5">
        <f t="shared" si="10"/>
        <v>56630.714285714283</v>
      </c>
      <c r="E279" s="5">
        <f t="shared" si="9"/>
        <v>55851.23333333333</v>
      </c>
      <c r="F279" s="4" t="s">
        <v>57</v>
      </c>
    </row>
    <row r="280" spans="1:6" ht="15" customHeight="1" x14ac:dyDescent="0.2">
      <c r="A280" s="14">
        <v>45802</v>
      </c>
      <c r="B280" s="4" t="s">
        <v>59</v>
      </c>
      <c r="C280" s="5">
        <v>56296</v>
      </c>
      <c r="D280" s="5">
        <f t="shared" si="10"/>
        <v>56429.285714285717</v>
      </c>
      <c r="E280" s="5">
        <f t="shared" si="9"/>
        <v>56210.466666666667</v>
      </c>
      <c r="F280" s="4" t="s">
        <v>57</v>
      </c>
    </row>
    <row r="281" spans="1:6" ht="15" customHeight="1" x14ac:dyDescent="0.2">
      <c r="A281" s="14">
        <v>45803</v>
      </c>
      <c r="B281" s="4" t="s">
        <v>55</v>
      </c>
      <c r="C281" s="5">
        <v>27322</v>
      </c>
      <c r="D281" s="5">
        <f t="shared" si="10"/>
        <v>51137.285714285717</v>
      </c>
      <c r="E281" s="5">
        <f t="shared" si="9"/>
        <v>56135.533333333333</v>
      </c>
      <c r="F281" s="4" t="s">
        <v>50</v>
      </c>
    </row>
    <row r="282" spans="1:6" ht="15" customHeight="1" x14ac:dyDescent="0.2">
      <c r="A282" s="14">
        <v>45804</v>
      </c>
      <c r="B282" s="4" t="s">
        <v>58</v>
      </c>
      <c r="C282" s="5">
        <v>58562</v>
      </c>
      <c r="D282" s="5">
        <f t="shared" si="10"/>
        <v>49387.571428571428</v>
      </c>
      <c r="E282" s="5">
        <f t="shared" si="9"/>
        <v>56309.433333333334</v>
      </c>
      <c r="F282" s="4" t="s">
        <v>50</v>
      </c>
    </row>
    <row r="283" spans="1:6" ht="15" customHeight="1" x14ac:dyDescent="0.2">
      <c r="A283" s="14">
        <v>45805</v>
      </c>
      <c r="B283" s="4" t="s">
        <v>60</v>
      </c>
      <c r="C283" s="5">
        <v>69466</v>
      </c>
      <c r="D283" s="5">
        <f t="shared" si="10"/>
        <v>49937.428571428572</v>
      </c>
      <c r="E283" s="5">
        <f t="shared" si="9"/>
        <v>56685.26666666667</v>
      </c>
      <c r="F283" s="4" t="s">
        <v>50</v>
      </c>
    </row>
    <row r="284" spans="1:6" ht="15" customHeight="1" x14ac:dyDescent="0.2">
      <c r="A284" s="14">
        <v>45806</v>
      </c>
      <c r="B284" s="4" t="s">
        <v>49</v>
      </c>
      <c r="C284" s="5">
        <v>71817</v>
      </c>
      <c r="D284" s="5">
        <f t="shared" si="10"/>
        <v>50069.285714285717</v>
      </c>
      <c r="E284" s="5">
        <f t="shared" si="9"/>
        <v>56820.466666666667</v>
      </c>
      <c r="F284" s="4" t="s">
        <v>50</v>
      </c>
    </row>
    <row r="285" spans="1:6" ht="15" customHeight="1" x14ac:dyDescent="0.2">
      <c r="A285" s="14">
        <v>45807</v>
      </c>
      <c r="B285" s="4" t="s">
        <v>54</v>
      </c>
      <c r="C285" s="5">
        <v>33370</v>
      </c>
      <c r="D285" s="5">
        <f t="shared" si="10"/>
        <v>49469.571428571428</v>
      </c>
      <c r="E285" s="5">
        <f t="shared" si="9"/>
        <v>55574.433333333334</v>
      </c>
      <c r="F285" s="4" t="s">
        <v>50</v>
      </c>
    </row>
    <row r="286" spans="1:6" ht="15" customHeight="1" x14ac:dyDescent="0.2">
      <c r="A286" s="14">
        <v>45808</v>
      </c>
      <c r="B286" s="4" t="s">
        <v>56</v>
      </c>
      <c r="C286" s="5">
        <v>33317</v>
      </c>
      <c r="D286" s="5">
        <f t="shared" si="10"/>
        <v>50021.428571428572</v>
      </c>
      <c r="E286" s="5">
        <f t="shared" si="9"/>
        <v>54297</v>
      </c>
      <c r="F286" s="4" t="s">
        <v>57</v>
      </c>
    </row>
    <row r="287" spans="1:6" ht="15" customHeight="1" x14ac:dyDescent="0.2">
      <c r="A287" s="14">
        <v>45809</v>
      </c>
      <c r="B287" s="4" t="s">
        <v>59</v>
      </c>
      <c r="C287" s="5">
        <v>57928</v>
      </c>
      <c r="D287" s="5">
        <f t="shared" si="10"/>
        <v>50254.571428571428</v>
      </c>
      <c r="E287" s="5">
        <f t="shared" si="9"/>
        <v>55017.666666666664</v>
      </c>
      <c r="F287" s="4" t="s">
        <v>57</v>
      </c>
    </row>
    <row r="288" spans="1:6" ht="15" customHeight="1" x14ac:dyDescent="0.2">
      <c r="A288" s="14">
        <v>45810</v>
      </c>
      <c r="B288" s="4" t="s">
        <v>55</v>
      </c>
      <c r="C288" s="5">
        <v>69149</v>
      </c>
      <c r="D288" s="5">
        <f t="shared" si="10"/>
        <v>56229.857142857145</v>
      </c>
      <c r="E288" s="5">
        <f t="shared" si="9"/>
        <v>56203.199999999997</v>
      </c>
      <c r="F288" s="4" t="s">
        <v>50</v>
      </c>
    </row>
    <row r="289" spans="1:6" ht="15" customHeight="1" x14ac:dyDescent="0.2">
      <c r="A289" s="14">
        <v>45811</v>
      </c>
      <c r="B289" s="4" t="s">
        <v>58</v>
      </c>
      <c r="C289" s="5">
        <v>69628</v>
      </c>
      <c r="D289" s="5">
        <f t="shared" si="10"/>
        <v>57810.714285714283</v>
      </c>
      <c r="E289" s="5">
        <f t="shared" ref="E289:E352" si="11">AVERAGE(C260:C289)</f>
        <v>56550.066666666666</v>
      </c>
      <c r="F289" s="4" t="s">
        <v>50</v>
      </c>
    </row>
    <row r="290" spans="1:6" ht="15" customHeight="1" x14ac:dyDescent="0.2">
      <c r="A290" s="14">
        <v>45812</v>
      </c>
      <c r="B290" s="4" t="s">
        <v>60</v>
      </c>
      <c r="C290" s="5">
        <v>68401</v>
      </c>
      <c r="D290" s="5">
        <f t="shared" si="10"/>
        <v>57658.571428571428</v>
      </c>
      <c r="E290" s="5">
        <f t="shared" si="11"/>
        <v>56656.366666666669</v>
      </c>
      <c r="F290" s="4" t="s">
        <v>50</v>
      </c>
    </row>
    <row r="291" spans="1:6" ht="15" customHeight="1" x14ac:dyDescent="0.2">
      <c r="A291" s="14">
        <v>45813</v>
      </c>
      <c r="B291" s="4" t="s">
        <v>49</v>
      </c>
      <c r="C291" s="5">
        <v>71998</v>
      </c>
      <c r="D291" s="5">
        <f t="shared" si="10"/>
        <v>57684.428571428572</v>
      </c>
      <c r="E291" s="5">
        <f t="shared" si="11"/>
        <v>56723</v>
      </c>
      <c r="F291" s="4" t="s">
        <v>50</v>
      </c>
    </row>
    <row r="292" spans="1:6" ht="15" customHeight="1" x14ac:dyDescent="0.2">
      <c r="A292" s="14">
        <v>45814</v>
      </c>
      <c r="B292" s="4" t="s">
        <v>54</v>
      </c>
      <c r="C292" s="5">
        <v>35569</v>
      </c>
      <c r="D292" s="5">
        <f t="shared" si="10"/>
        <v>57998.571428571428</v>
      </c>
      <c r="E292" s="5">
        <f t="shared" si="11"/>
        <v>55503.6</v>
      </c>
      <c r="F292" s="4" t="s">
        <v>50</v>
      </c>
    </row>
    <row r="293" spans="1:6" ht="15" customHeight="1" x14ac:dyDescent="0.2">
      <c r="A293" s="14">
        <v>45815</v>
      </c>
      <c r="B293" s="4" t="s">
        <v>56</v>
      </c>
      <c r="C293" s="5">
        <v>32515</v>
      </c>
      <c r="D293" s="5">
        <f t="shared" si="10"/>
        <v>57884</v>
      </c>
      <c r="E293" s="5">
        <f t="shared" si="11"/>
        <v>54132.5</v>
      </c>
      <c r="F293" s="4" t="s">
        <v>57</v>
      </c>
    </row>
    <row r="294" spans="1:6" ht="15" customHeight="1" x14ac:dyDescent="0.2">
      <c r="A294" s="14">
        <v>45816</v>
      </c>
      <c r="B294" s="4" t="s">
        <v>59</v>
      </c>
      <c r="C294" s="5">
        <v>59121</v>
      </c>
      <c r="D294" s="5">
        <f t="shared" si="10"/>
        <v>58054.428571428572</v>
      </c>
      <c r="E294" s="5">
        <f t="shared" si="11"/>
        <v>54691.866666666669</v>
      </c>
      <c r="F294" s="4" t="s">
        <v>57</v>
      </c>
    </row>
    <row r="295" spans="1:6" ht="15" customHeight="1" x14ac:dyDescent="0.2">
      <c r="A295" s="14">
        <v>45817</v>
      </c>
      <c r="B295" s="4" t="s">
        <v>55</v>
      </c>
      <c r="C295" s="5">
        <v>67836</v>
      </c>
      <c r="D295" s="5">
        <f t="shared" si="10"/>
        <v>57866.857142857145</v>
      </c>
      <c r="E295" s="5">
        <f t="shared" si="11"/>
        <v>55786.2</v>
      </c>
      <c r="F295" s="4" t="s">
        <v>50</v>
      </c>
    </row>
    <row r="296" spans="1:6" ht="15" customHeight="1" x14ac:dyDescent="0.2">
      <c r="A296" s="14">
        <v>45818</v>
      </c>
      <c r="B296" s="4" t="s">
        <v>58</v>
      </c>
      <c r="C296" s="5">
        <v>66245</v>
      </c>
      <c r="D296" s="5">
        <f t="shared" si="10"/>
        <v>57383.571428571428</v>
      </c>
      <c r="E296" s="5">
        <f t="shared" si="11"/>
        <v>56122.23333333333</v>
      </c>
      <c r="F296" s="4" t="s">
        <v>50</v>
      </c>
    </row>
    <row r="297" spans="1:6" ht="15" customHeight="1" x14ac:dyDescent="0.2">
      <c r="A297" s="14">
        <v>45819</v>
      </c>
      <c r="B297" s="4" t="s">
        <v>60</v>
      </c>
      <c r="C297" s="5">
        <v>69784</v>
      </c>
      <c r="D297" s="5">
        <f t="shared" si="10"/>
        <v>57581.142857142855</v>
      </c>
      <c r="E297" s="5">
        <f t="shared" si="11"/>
        <v>56382</v>
      </c>
      <c r="F297" s="4" t="s">
        <v>50</v>
      </c>
    </row>
    <row r="298" spans="1:6" ht="15" customHeight="1" x14ac:dyDescent="0.2">
      <c r="A298" s="14">
        <v>45820</v>
      </c>
      <c r="B298" s="4" t="s">
        <v>49</v>
      </c>
      <c r="C298" s="5">
        <v>61887</v>
      </c>
      <c r="D298" s="5">
        <f t="shared" si="10"/>
        <v>56136.714285714283</v>
      </c>
      <c r="E298" s="5">
        <f t="shared" si="11"/>
        <v>56235.9</v>
      </c>
      <c r="F298" s="4" t="s">
        <v>50</v>
      </c>
    </row>
    <row r="299" spans="1:6" ht="15" customHeight="1" x14ac:dyDescent="0.2">
      <c r="A299" s="14">
        <v>45821</v>
      </c>
      <c r="B299" s="4" t="s">
        <v>54</v>
      </c>
      <c r="C299" s="5">
        <v>32036</v>
      </c>
      <c r="D299" s="5">
        <f t="shared" si="10"/>
        <v>55632</v>
      </c>
      <c r="E299" s="5">
        <f t="shared" si="11"/>
        <v>54739.199999999997</v>
      </c>
      <c r="F299" s="4" t="s">
        <v>50</v>
      </c>
    </row>
    <row r="300" spans="1:6" ht="15" customHeight="1" x14ac:dyDescent="0.2">
      <c r="A300" s="14">
        <v>45822</v>
      </c>
      <c r="B300" s="4" t="s">
        <v>56</v>
      </c>
      <c r="C300" s="5">
        <v>33101</v>
      </c>
      <c r="D300" s="5">
        <f t="shared" si="10"/>
        <v>55715.714285714283</v>
      </c>
      <c r="E300" s="5">
        <f t="shared" si="11"/>
        <v>53649.23333333333</v>
      </c>
      <c r="F300" s="4" t="s">
        <v>57</v>
      </c>
    </row>
    <row r="301" spans="1:6" ht="15" customHeight="1" x14ac:dyDescent="0.2">
      <c r="A301" s="14">
        <v>45823</v>
      </c>
      <c r="B301" s="4" t="s">
        <v>59</v>
      </c>
      <c r="C301" s="5">
        <v>56469</v>
      </c>
      <c r="D301" s="5">
        <f t="shared" si="10"/>
        <v>55336.857142857145</v>
      </c>
      <c r="E301" s="5">
        <f t="shared" si="11"/>
        <v>54342.76666666667</v>
      </c>
      <c r="F301" s="4" t="s">
        <v>57</v>
      </c>
    </row>
    <row r="302" spans="1:6" ht="15" customHeight="1" x14ac:dyDescent="0.2">
      <c r="A302" s="14">
        <v>45824</v>
      </c>
      <c r="B302" s="4" t="s">
        <v>55</v>
      </c>
      <c r="C302" s="5">
        <v>61001</v>
      </c>
      <c r="D302" s="5">
        <f t="shared" si="10"/>
        <v>54360.428571428572</v>
      </c>
      <c r="E302" s="5">
        <f t="shared" si="11"/>
        <v>55307.76666666667</v>
      </c>
      <c r="F302" s="4" t="s">
        <v>50</v>
      </c>
    </row>
    <row r="303" spans="1:6" ht="15" customHeight="1" x14ac:dyDescent="0.2">
      <c r="A303" s="14">
        <v>45825</v>
      </c>
      <c r="B303" s="4" t="s">
        <v>58</v>
      </c>
      <c r="C303" s="5">
        <v>70394</v>
      </c>
      <c r="D303" s="5">
        <f t="shared" si="10"/>
        <v>54953.142857142855</v>
      </c>
      <c r="E303" s="5">
        <f t="shared" si="11"/>
        <v>55730.7</v>
      </c>
      <c r="F303" s="4" t="s">
        <v>50</v>
      </c>
    </row>
    <row r="304" spans="1:6" ht="15" customHeight="1" x14ac:dyDescent="0.2">
      <c r="A304" s="14">
        <v>45826</v>
      </c>
      <c r="B304" s="4" t="s">
        <v>60</v>
      </c>
      <c r="C304" s="5">
        <v>65163</v>
      </c>
      <c r="D304" s="5">
        <f t="shared" si="10"/>
        <v>54293</v>
      </c>
      <c r="E304" s="5">
        <f t="shared" si="11"/>
        <v>55757.26666666667</v>
      </c>
      <c r="F304" s="4" t="s">
        <v>50</v>
      </c>
    </row>
    <row r="305" spans="1:6" ht="15" customHeight="1" x14ac:dyDescent="0.2">
      <c r="A305" s="14">
        <v>45827</v>
      </c>
      <c r="B305" s="4" t="s">
        <v>49</v>
      </c>
      <c r="C305" s="5">
        <v>63153</v>
      </c>
      <c r="D305" s="5">
        <f t="shared" si="10"/>
        <v>54473.857142857145</v>
      </c>
      <c r="E305" s="5">
        <f t="shared" si="11"/>
        <v>55502.033333333333</v>
      </c>
      <c r="F305" s="4" t="s">
        <v>50</v>
      </c>
    </row>
    <row r="306" spans="1:6" ht="15" customHeight="1" x14ac:dyDescent="0.2">
      <c r="A306" s="14">
        <v>45828</v>
      </c>
      <c r="B306" s="4" t="s">
        <v>54</v>
      </c>
      <c r="C306" s="5">
        <v>29444</v>
      </c>
      <c r="D306" s="5">
        <f t="shared" si="10"/>
        <v>54103.571428571428</v>
      </c>
      <c r="E306" s="5">
        <f t="shared" si="11"/>
        <v>54296.26666666667</v>
      </c>
      <c r="F306" s="4" t="s">
        <v>50</v>
      </c>
    </row>
    <row r="307" spans="1:6" ht="15" customHeight="1" x14ac:dyDescent="0.2">
      <c r="A307" s="14">
        <v>45829</v>
      </c>
      <c r="B307" s="4" t="s">
        <v>56</v>
      </c>
      <c r="C307" s="5">
        <v>30731</v>
      </c>
      <c r="D307" s="5">
        <f t="shared" si="10"/>
        <v>53765</v>
      </c>
      <c r="E307" s="5">
        <f t="shared" si="11"/>
        <v>52957.5</v>
      </c>
      <c r="F307" s="4" t="s">
        <v>57</v>
      </c>
    </row>
    <row r="308" spans="1:6" ht="15" customHeight="1" x14ac:dyDescent="0.2">
      <c r="A308" s="14">
        <v>45830</v>
      </c>
      <c r="B308" s="4" t="s">
        <v>59</v>
      </c>
      <c r="C308" s="5">
        <v>58076</v>
      </c>
      <c r="D308" s="5">
        <f t="shared" si="10"/>
        <v>53994.571428571428</v>
      </c>
      <c r="E308" s="5">
        <f t="shared" si="11"/>
        <v>53641.1</v>
      </c>
      <c r="F308" s="4" t="s">
        <v>57</v>
      </c>
    </row>
    <row r="309" spans="1:6" ht="15" customHeight="1" x14ac:dyDescent="0.2">
      <c r="A309" s="14">
        <v>45831</v>
      </c>
      <c r="B309" s="4" t="s">
        <v>55</v>
      </c>
      <c r="C309" s="5">
        <v>63115</v>
      </c>
      <c r="D309" s="5">
        <f t="shared" si="10"/>
        <v>54296.571428571428</v>
      </c>
      <c r="E309" s="5">
        <f t="shared" si="11"/>
        <v>54763.133333333331</v>
      </c>
      <c r="F309" s="4" t="s">
        <v>50</v>
      </c>
    </row>
    <row r="310" spans="1:6" ht="15" customHeight="1" x14ac:dyDescent="0.2">
      <c r="A310" s="14">
        <v>45832</v>
      </c>
      <c r="B310" s="4" t="s">
        <v>58</v>
      </c>
      <c r="C310" s="5">
        <v>62946</v>
      </c>
      <c r="D310" s="5">
        <f t="shared" si="10"/>
        <v>53232.571428571428</v>
      </c>
      <c r="E310" s="5">
        <f t="shared" si="11"/>
        <v>54984.800000000003</v>
      </c>
      <c r="F310" s="4" t="s">
        <v>50</v>
      </c>
    </row>
    <row r="311" spans="1:6" ht="15" customHeight="1" x14ac:dyDescent="0.2">
      <c r="A311" s="14">
        <v>45833</v>
      </c>
      <c r="B311" s="4" t="s">
        <v>60</v>
      </c>
      <c r="C311" s="5">
        <v>64081</v>
      </c>
      <c r="D311" s="5">
        <f t="shared" si="10"/>
        <v>53078</v>
      </c>
      <c r="E311" s="5">
        <f t="shared" si="11"/>
        <v>56210.1</v>
      </c>
      <c r="F311" s="4" t="s">
        <v>50</v>
      </c>
    </row>
    <row r="312" spans="1:6" ht="15" customHeight="1" x14ac:dyDescent="0.2">
      <c r="A312" s="14">
        <v>45834</v>
      </c>
      <c r="B312" s="4" t="s">
        <v>49</v>
      </c>
      <c r="C312" s="5">
        <v>64571</v>
      </c>
      <c r="D312" s="5">
        <f t="shared" si="10"/>
        <v>53280.571428571428</v>
      </c>
      <c r="E312" s="5">
        <f t="shared" si="11"/>
        <v>56410.400000000001</v>
      </c>
      <c r="F312" s="4" t="s">
        <v>50</v>
      </c>
    </row>
    <row r="313" spans="1:6" ht="15" customHeight="1" x14ac:dyDescent="0.2">
      <c r="A313" s="14">
        <v>45835</v>
      </c>
      <c r="B313" s="4" t="s">
        <v>54</v>
      </c>
      <c r="C313" s="5">
        <v>28457</v>
      </c>
      <c r="D313" s="5">
        <f t="shared" si="10"/>
        <v>53139.571428571428</v>
      </c>
      <c r="E313" s="5">
        <f t="shared" si="11"/>
        <v>55043.433333333334</v>
      </c>
      <c r="F313" s="4" t="s">
        <v>50</v>
      </c>
    </row>
    <row r="314" spans="1:6" ht="15" customHeight="1" x14ac:dyDescent="0.2">
      <c r="A314" s="14">
        <v>45836</v>
      </c>
      <c r="B314" s="4" t="s">
        <v>56</v>
      </c>
      <c r="C314" s="5">
        <v>31183</v>
      </c>
      <c r="D314" s="5">
        <f t="shared" si="10"/>
        <v>53204.142857142855</v>
      </c>
      <c r="E314" s="5">
        <f t="shared" si="11"/>
        <v>53688.966666666667</v>
      </c>
      <c r="F314" s="4" t="s">
        <v>57</v>
      </c>
    </row>
    <row r="315" spans="1:6" ht="15" customHeight="1" x14ac:dyDescent="0.2">
      <c r="A315" s="14">
        <v>45837</v>
      </c>
      <c r="B315" s="4" t="s">
        <v>59</v>
      </c>
      <c r="C315" s="5">
        <v>59530</v>
      </c>
      <c r="D315" s="5">
        <f t="shared" si="10"/>
        <v>53411.857142857145</v>
      </c>
      <c r="E315" s="5">
        <f t="shared" si="11"/>
        <v>54560.966666666667</v>
      </c>
      <c r="F315" s="4" t="s">
        <v>57</v>
      </c>
    </row>
    <row r="316" spans="1:6" ht="15" customHeight="1" x14ac:dyDescent="0.2">
      <c r="A316" s="14">
        <v>45838</v>
      </c>
      <c r="B316" s="4" t="s">
        <v>55</v>
      </c>
      <c r="C316" s="5">
        <v>62777</v>
      </c>
      <c r="D316" s="5">
        <f t="shared" si="10"/>
        <v>53363.571428571428</v>
      </c>
      <c r="E316" s="5">
        <f t="shared" si="11"/>
        <v>55542.966666666667</v>
      </c>
      <c r="F316" s="4" t="s">
        <v>50</v>
      </c>
    </row>
    <row r="317" spans="1:6" ht="15" customHeight="1" x14ac:dyDescent="0.2">
      <c r="A317" s="14">
        <v>45839</v>
      </c>
      <c r="B317" s="4" t="s">
        <v>58</v>
      </c>
      <c r="C317" s="5">
        <v>62663</v>
      </c>
      <c r="D317" s="5">
        <f t="shared" si="10"/>
        <v>53323.142857142855</v>
      </c>
      <c r="E317" s="5">
        <f t="shared" si="11"/>
        <v>55700.800000000003</v>
      </c>
      <c r="F317" s="4" t="s">
        <v>50</v>
      </c>
    </row>
    <row r="318" spans="1:6" ht="15" customHeight="1" x14ac:dyDescent="0.2">
      <c r="A318" s="14">
        <v>45840</v>
      </c>
      <c r="B318" s="4" t="s">
        <v>60</v>
      </c>
      <c r="C318" s="5">
        <v>65103</v>
      </c>
      <c r="D318" s="5">
        <f t="shared" si="10"/>
        <v>53469.142857142855</v>
      </c>
      <c r="E318" s="5">
        <f t="shared" si="11"/>
        <v>55565.933333333334</v>
      </c>
      <c r="F318" s="4" t="s">
        <v>50</v>
      </c>
    </row>
    <row r="319" spans="1:6" ht="15" customHeight="1" x14ac:dyDescent="0.2">
      <c r="A319" s="14">
        <v>45841</v>
      </c>
      <c r="B319" s="4" t="s">
        <v>49</v>
      </c>
      <c r="C319" s="5">
        <v>59603</v>
      </c>
      <c r="D319" s="5">
        <f t="shared" si="10"/>
        <v>52759.428571428572</v>
      </c>
      <c r="E319" s="5">
        <f t="shared" si="11"/>
        <v>55231.76666666667</v>
      </c>
      <c r="F319" s="4" t="s">
        <v>50</v>
      </c>
    </row>
    <row r="320" spans="1:6" ht="15" customHeight="1" x14ac:dyDescent="0.2">
      <c r="A320" s="14">
        <v>45842</v>
      </c>
      <c r="B320" s="4" t="s">
        <v>54</v>
      </c>
      <c r="C320" s="5">
        <v>29894</v>
      </c>
      <c r="D320" s="5">
        <f t="shared" si="10"/>
        <v>52964.714285714283</v>
      </c>
      <c r="E320" s="5">
        <f t="shared" si="11"/>
        <v>53948.2</v>
      </c>
      <c r="F320" s="4" t="s">
        <v>50</v>
      </c>
    </row>
    <row r="321" spans="1:6" ht="15" customHeight="1" x14ac:dyDescent="0.2">
      <c r="A321" s="14">
        <v>45843</v>
      </c>
      <c r="B321" s="4" t="s">
        <v>56</v>
      </c>
      <c r="C321" s="5">
        <v>25543</v>
      </c>
      <c r="D321" s="5">
        <f t="shared" si="10"/>
        <v>52159</v>
      </c>
      <c r="E321" s="5">
        <f t="shared" si="11"/>
        <v>52399.7</v>
      </c>
      <c r="F321" s="4" t="s">
        <v>57</v>
      </c>
    </row>
    <row r="322" spans="1:6" ht="15" customHeight="1" x14ac:dyDescent="0.2">
      <c r="A322" s="14">
        <v>45844</v>
      </c>
      <c r="B322" s="4" t="s">
        <v>59</v>
      </c>
      <c r="C322" s="5">
        <v>55975</v>
      </c>
      <c r="D322" s="5">
        <f t="shared" si="10"/>
        <v>51651.142857142855</v>
      </c>
      <c r="E322" s="5">
        <f t="shared" si="11"/>
        <v>53079.9</v>
      </c>
      <c r="F322" s="4" t="s">
        <v>57</v>
      </c>
    </row>
    <row r="323" spans="1:6" ht="15" customHeight="1" x14ac:dyDescent="0.2">
      <c r="A323" s="14">
        <v>45845</v>
      </c>
      <c r="B323" s="4" t="s">
        <v>55</v>
      </c>
      <c r="C323" s="5">
        <v>56184</v>
      </c>
      <c r="D323" s="5">
        <f t="shared" si="10"/>
        <v>50709.285714285717</v>
      </c>
      <c r="E323" s="5">
        <f t="shared" si="11"/>
        <v>53868.866666666669</v>
      </c>
      <c r="F323" s="4" t="s">
        <v>50</v>
      </c>
    </row>
    <row r="324" spans="1:6" ht="15" customHeight="1" x14ac:dyDescent="0.2">
      <c r="A324" s="14">
        <v>45846</v>
      </c>
      <c r="B324" s="4" t="s">
        <v>58</v>
      </c>
      <c r="C324" s="5">
        <v>74793</v>
      </c>
      <c r="D324" s="5">
        <f t="shared" si="10"/>
        <v>52442.142857142855</v>
      </c>
      <c r="E324" s="5">
        <f t="shared" si="11"/>
        <v>54391.26666666667</v>
      </c>
      <c r="F324" s="4" t="s">
        <v>50</v>
      </c>
    </row>
    <row r="325" spans="1:6" ht="15" customHeight="1" x14ac:dyDescent="0.2">
      <c r="A325" s="14">
        <v>45847</v>
      </c>
      <c r="B325" s="4" t="s">
        <v>60</v>
      </c>
      <c r="C325" s="5">
        <v>62457</v>
      </c>
      <c r="D325" s="5">
        <f t="shared" si="10"/>
        <v>52064.142857142855</v>
      </c>
      <c r="E325" s="5">
        <f t="shared" si="11"/>
        <v>54211.966666666667</v>
      </c>
      <c r="F325" s="4" t="s">
        <v>50</v>
      </c>
    </row>
    <row r="326" spans="1:6" ht="15" customHeight="1" x14ac:dyDescent="0.2">
      <c r="A326" s="14">
        <v>45848</v>
      </c>
      <c r="B326" s="4" t="s">
        <v>49</v>
      </c>
      <c r="C326" s="5">
        <v>61913</v>
      </c>
      <c r="D326" s="5">
        <f t="shared" si="10"/>
        <v>52394.142857142855</v>
      </c>
      <c r="E326" s="5">
        <f t="shared" si="11"/>
        <v>54067.566666666666</v>
      </c>
      <c r="F326" s="4" t="s">
        <v>50</v>
      </c>
    </row>
    <row r="327" spans="1:6" ht="15" customHeight="1" x14ac:dyDescent="0.2">
      <c r="A327" s="14">
        <v>45849</v>
      </c>
      <c r="B327" s="4" t="s">
        <v>54</v>
      </c>
      <c r="C327" s="5">
        <v>27674</v>
      </c>
      <c r="D327" s="5">
        <f t="shared" si="10"/>
        <v>52077</v>
      </c>
      <c r="E327" s="5">
        <f t="shared" si="11"/>
        <v>52663.9</v>
      </c>
      <c r="F327" s="4" t="s">
        <v>50</v>
      </c>
    </row>
    <row r="328" spans="1:6" ht="15" customHeight="1" x14ac:dyDescent="0.2">
      <c r="A328" s="14">
        <v>45850</v>
      </c>
      <c r="B328" s="4" t="s">
        <v>56</v>
      </c>
      <c r="C328" s="5">
        <v>28130</v>
      </c>
      <c r="D328" s="5">
        <f t="shared" si="10"/>
        <v>52446.571428571428</v>
      </c>
      <c r="E328" s="5">
        <f t="shared" si="11"/>
        <v>51538.666666666664</v>
      </c>
      <c r="F328" s="4" t="s">
        <v>57</v>
      </c>
    </row>
    <row r="329" spans="1:6" ht="15" customHeight="1" x14ac:dyDescent="0.2">
      <c r="A329" s="14">
        <v>45851</v>
      </c>
      <c r="B329" s="4" t="s">
        <v>59</v>
      </c>
      <c r="C329" s="5">
        <v>58196</v>
      </c>
      <c r="D329" s="5">
        <f t="shared" si="10"/>
        <v>52763.857142857145</v>
      </c>
      <c r="E329" s="5">
        <f t="shared" si="11"/>
        <v>52410.666666666664</v>
      </c>
      <c r="F329" s="4" t="s">
        <v>57</v>
      </c>
    </row>
    <row r="330" spans="1:6" ht="15" customHeight="1" x14ac:dyDescent="0.2">
      <c r="A330" s="14">
        <v>45852</v>
      </c>
      <c r="B330" s="4" t="s">
        <v>55</v>
      </c>
      <c r="C330" s="5">
        <v>63459</v>
      </c>
      <c r="D330" s="5">
        <f t="shared" ref="D330:D393" si="12">AVERAGE(C324:C330)</f>
        <v>53803.142857142855</v>
      </c>
      <c r="E330" s="5">
        <f t="shared" si="11"/>
        <v>53422.6</v>
      </c>
      <c r="F330" s="4" t="s">
        <v>50</v>
      </c>
    </row>
    <row r="331" spans="1:6" ht="15" customHeight="1" x14ac:dyDescent="0.2">
      <c r="A331" s="14">
        <v>45853</v>
      </c>
      <c r="B331" s="4" t="s">
        <v>58</v>
      </c>
      <c r="C331" s="5">
        <v>67128</v>
      </c>
      <c r="D331" s="5">
        <f t="shared" si="12"/>
        <v>52708.142857142855</v>
      </c>
      <c r="E331" s="5">
        <f t="shared" si="11"/>
        <v>53777.9</v>
      </c>
      <c r="F331" s="4" t="s">
        <v>50</v>
      </c>
    </row>
    <row r="332" spans="1:6" ht="15" customHeight="1" x14ac:dyDescent="0.2">
      <c r="A332" s="14">
        <v>45854</v>
      </c>
      <c r="B332" s="4" t="s">
        <v>60</v>
      </c>
      <c r="C332" s="5">
        <v>63506</v>
      </c>
      <c r="D332" s="5">
        <f t="shared" si="12"/>
        <v>52858</v>
      </c>
      <c r="E332" s="5">
        <f t="shared" si="11"/>
        <v>53861.4</v>
      </c>
      <c r="F332" s="4" t="s">
        <v>50</v>
      </c>
    </row>
    <row r="333" spans="1:6" ht="15" customHeight="1" x14ac:dyDescent="0.2">
      <c r="A333" s="14">
        <v>45855</v>
      </c>
      <c r="B333" s="4" t="s">
        <v>49</v>
      </c>
      <c r="C333" s="5">
        <v>62888</v>
      </c>
      <c r="D333" s="5">
        <f t="shared" si="12"/>
        <v>52997.285714285717</v>
      </c>
      <c r="E333" s="5">
        <f t="shared" si="11"/>
        <v>53611.199999999997</v>
      </c>
      <c r="F333" s="4" t="s">
        <v>50</v>
      </c>
    </row>
    <row r="334" spans="1:6" ht="15" customHeight="1" x14ac:dyDescent="0.2">
      <c r="A334" s="14">
        <v>45856</v>
      </c>
      <c r="B334" s="4" t="s">
        <v>54</v>
      </c>
      <c r="C334" s="5">
        <v>29687</v>
      </c>
      <c r="D334" s="5">
        <f t="shared" si="12"/>
        <v>53284.857142857145</v>
      </c>
      <c r="E334" s="5">
        <f t="shared" si="11"/>
        <v>52428.666666666664</v>
      </c>
      <c r="F334" s="4" t="s">
        <v>50</v>
      </c>
    </row>
    <row r="335" spans="1:6" ht="15" customHeight="1" x14ac:dyDescent="0.2">
      <c r="A335" s="14">
        <v>45857</v>
      </c>
      <c r="B335" s="4" t="s">
        <v>56</v>
      </c>
      <c r="C335" s="5">
        <v>31003</v>
      </c>
      <c r="D335" s="5">
        <f t="shared" si="12"/>
        <v>53695.285714285717</v>
      </c>
      <c r="E335" s="5">
        <f t="shared" si="11"/>
        <v>51357</v>
      </c>
      <c r="F335" s="4" t="s">
        <v>57</v>
      </c>
    </row>
    <row r="336" spans="1:6" ht="15" customHeight="1" x14ac:dyDescent="0.2">
      <c r="A336" s="14">
        <v>45858</v>
      </c>
      <c r="B336" s="4" t="s">
        <v>59</v>
      </c>
      <c r="C336" s="5">
        <v>55457</v>
      </c>
      <c r="D336" s="5">
        <f t="shared" si="12"/>
        <v>53304</v>
      </c>
      <c r="E336" s="5">
        <f t="shared" si="11"/>
        <v>52224.1</v>
      </c>
      <c r="F336" s="4" t="s">
        <v>57</v>
      </c>
    </row>
    <row r="337" spans="1:6" ht="15" customHeight="1" x14ac:dyDescent="0.2">
      <c r="A337" s="14">
        <v>45859</v>
      </c>
      <c r="B337" s="4" t="s">
        <v>55</v>
      </c>
      <c r="C337" s="5">
        <v>60775</v>
      </c>
      <c r="D337" s="5">
        <f t="shared" si="12"/>
        <v>52920.571428571428</v>
      </c>
      <c r="E337" s="5">
        <f t="shared" si="11"/>
        <v>53225.566666666666</v>
      </c>
      <c r="F337" s="4" t="s">
        <v>50</v>
      </c>
    </row>
    <row r="338" spans="1:6" ht="15" customHeight="1" x14ac:dyDescent="0.2">
      <c r="A338" s="14">
        <v>45860</v>
      </c>
      <c r="B338" s="4" t="s">
        <v>58</v>
      </c>
      <c r="C338" s="5">
        <v>61692</v>
      </c>
      <c r="D338" s="5">
        <f t="shared" si="12"/>
        <v>52144</v>
      </c>
      <c r="E338" s="5">
        <f t="shared" si="11"/>
        <v>53346.1</v>
      </c>
      <c r="F338" s="4" t="s">
        <v>50</v>
      </c>
    </row>
    <row r="339" spans="1:6" ht="15" customHeight="1" x14ac:dyDescent="0.2">
      <c r="A339" s="14">
        <v>45861</v>
      </c>
      <c r="B339" s="4" t="s">
        <v>60</v>
      </c>
      <c r="C339" s="5">
        <v>66997</v>
      </c>
      <c r="D339" s="5">
        <f t="shared" si="12"/>
        <v>52642.714285714283</v>
      </c>
      <c r="E339" s="5">
        <f t="shared" si="11"/>
        <v>53475.5</v>
      </c>
      <c r="F339" s="4" t="s">
        <v>50</v>
      </c>
    </row>
    <row r="340" spans="1:6" ht="15" customHeight="1" x14ac:dyDescent="0.2">
      <c r="A340" s="14">
        <v>45862</v>
      </c>
      <c r="B340" s="4" t="s">
        <v>49</v>
      </c>
      <c r="C340" s="5">
        <v>62776</v>
      </c>
      <c r="D340" s="5">
        <f t="shared" si="12"/>
        <v>52626.714285714283</v>
      </c>
      <c r="E340" s="5">
        <f t="shared" si="11"/>
        <v>53469.833333333336</v>
      </c>
      <c r="F340" s="4" t="s">
        <v>50</v>
      </c>
    </row>
    <row r="341" spans="1:6" ht="15" customHeight="1" x14ac:dyDescent="0.2">
      <c r="A341" s="14">
        <v>45863</v>
      </c>
      <c r="B341" s="4" t="s">
        <v>54</v>
      </c>
      <c r="C341" s="5">
        <v>30859</v>
      </c>
      <c r="D341" s="5">
        <f t="shared" si="12"/>
        <v>52794.142857142855</v>
      </c>
      <c r="E341" s="5">
        <f t="shared" si="11"/>
        <v>52362.433333333334</v>
      </c>
      <c r="F341" s="4" t="s">
        <v>50</v>
      </c>
    </row>
    <row r="342" spans="1:6" ht="15" customHeight="1" x14ac:dyDescent="0.2">
      <c r="A342" s="14">
        <v>45864</v>
      </c>
      <c r="B342" s="4" t="s">
        <v>56</v>
      </c>
      <c r="C342" s="5">
        <v>28438</v>
      </c>
      <c r="D342" s="5">
        <f t="shared" si="12"/>
        <v>52427.714285714283</v>
      </c>
      <c r="E342" s="5">
        <f t="shared" si="11"/>
        <v>51158</v>
      </c>
      <c r="F342" s="4" t="s">
        <v>57</v>
      </c>
    </row>
    <row r="343" spans="1:6" ht="15" customHeight="1" x14ac:dyDescent="0.2">
      <c r="A343" s="14">
        <v>45865</v>
      </c>
      <c r="B343" s="4" t="s">
        <v>59</v>
      </c>
      <c r="C343" s="5">
        <v>60132</v>
      </c>
      <c r="D343" s="5">
        <f t="shared" si="12"/>
        <v>53095.571428571428</v>
      </c>
      <c r="E343" s="5">
        <f t="shared" si="11"/>
        <v>52213.833333333336</v>
      </c>
      <c r="F343" s="4" t="s">
        <v>57</v>
      </c>
    </row>
    <row r="344" spans="1:6" ht="15" customHeight="1" x14ac:dyDescent="0.2">
      <c r="A344" s="14">
        <v>45866</v>
      </c>
      <c r="B344" s="4" t="s">
        <v>55</v>
      </c>
      <c r="C344" s="5">
        <v>65004</v>
      </c>
      <c r="D344" s="5">
        <f t="shared" si="12"/>
        <v>53699.714285714283</v>
      </c>
      <c r="E344" s="5">
        <f t="shared" si="11"/>
        <v>53341.2</v>
      </c>
      <c r="F344" s="4" t="s">
        <v>50</v>
      </c>
    </row>
    <row r="345" spans="1:6" ht="15" customHeight="1" x14ac:dyDescent="0.2">
      <c r="A345" s="14">
        <v>45867</v>
      </c>
      <c r="B345" s="4" t="s">
        <v>58</v>
      </c>
      <c r="C345" s="5">
        <v>65713</v>
      </c>
      <c r="D345" s="5">
        <f t="shared" si="12"/>
        <v>54274.142857142855</v>
      </c>
      <c r="E345" s="5">
        <f t="shared" si="11"/>
        <v>53547.3</v>
      </c>
      <c r="F345" s="4" t="s">
        <v>50</v>
      </c>
    </row>
    <row r="346" spans="1:6" ht="15" customHeight="1" x14ac:dyDescent="0.2">
      <c r="A346" s="14">
        <v>45868</v>
      </c>
      <c r="B346" s="4" t="s">
        <v>60</v>
      </c>
      <c r="C346" s="5">
        <v>63472</v>
      </c>
      <c r="D346" s="5">
        <f t="shared" si="12"/>
        <v>53770.571428571428</v>
      </c>
      <c r="E346" s="5">
        <f t="shared" si="11"/>
        <v>53570.466666666667</v>
      </c>
      <c r="F346" s="4" t="s">
        <v>50</v>
      </c>
    </row>
    <row r="347" spans="1:6" ht="15" customHeight="1" x14ac:dyDescent="0.2">
      <c r="A347" s="14">
        <v>45869</v>
      </c>
      <c r="B347" s="4" t="s">
        <v>49</v>
      </c>
      <c r="C347" s="5">
        <v>66272</v>
      </c>
      <c r="D347" s="5">
        <f t="shared" si="12"/>
        <v>54270</v>
      </c>
      <c r="E347" s="5">
        <f t="shared" si="11"/>
        <v>53690.76666666667</v>
      </c>
      <c r="F347" s="4" t="s">
        <v>50</v>
      </c>
    </row>
    <row r="348" spans="1:6" ht="15" customHeight="1" x14ac:dyDescent="0.2">
      <c r="A348" s="14">
        <v>45870</v>
      </c>
      <c r="B348" s="4" t="s">
        <v>54</v>
      </c>
      <c r="C348" s="5">
        <v>34623</v>
      </c>
      <c r="D348" s="5">
        <f t="shared" si="12"/>
        <v>54807.714285714283</v>
      </c>
      <c r="E348" s="5">
        <f t="shared" si="11"/>
        <v>52674.76666666667</v>
      </c>
      <c r="F348" s="4" t="s">
        <v>50</v>
      </c>
    </row>
    <row r="349" spans="1:6" ht="15" customHeight="1" x14ac:dyDescent="0.2">
      <c r="A349" s="14">
        <v>45871</v>
      </c>
      <c r="B349" s="4" t="s">
        <v>56</v>
      </c>
      <c r="C349" s="5">
        <v>28577</v>
      </c>
      <c r="D349" s="5">
        <f t="shared" si="12"/>
        <v>54827.571428571428</v>
      </c>
      <c r="E349" s="5">
        <f t="shared" si="11"/>
        <v>51640.566666666666</v>
      </c>
      <c r="F349" s="4" t="s">
        <v>57</v>
      </c>
    </row>
    <row r="350" spans="1:6" ht="15" customHeight="1" x14ac:dyDescent="0.2">
      <c r="A350" s="14">
        <v>45872</v>
      </c>
      <c r="B350" s="4" t="s">
        <v>59</v>
      </c>
      <c r="C350" s="5">
        <v>57787</v>
      </c>
      <c r="D350" s="5">
        <f t="shared" si="12"/>
        <v>54492.571428571428</v>
      </c>
      <c r="E350" s="5">
        <f t="shared" si="11"/>
        <v>52570.333333333336</v>
      </c>
      <c r="F350" s="4" t="s">
        <v>57</v>
      </c>
    </row>
    <row r="351" spans="1:6" ht="15" customHeight="1" x14ac:dyDescent="0.2">
      <c r="A351" s="14">
        <v>45873</v>
      </c>
      <c r="B351" s="4" t="s">
        <v>55</v>
      </c>
      <c r="C351" s="5">
        <v>64543</v>
      </c>
      <c r="D351" s="5">
        <f t="shared" si="12"/>
        <v>54426.714285714283</v>
      </c>
      <c r="E351" s="5">
        <f t="shared" si="11"/>
        <v>53870.333333333336</v>
      </c>
      <c r="F351" s="4" t="s">
        <v>50</v>
      </c>
    </row>
    <row r="352" spans="1:6" ht="15" customHeight="1" x14ac:dyDescent="0.2">
      <c r="A352" s="14">
        <v>45874</v>
      </c>
      <c r="B352" s="4" t="s">
        <v>58</v>
      </c>
      <c r="C352" s="5">
        <v>64748</v>
      </c>
      <c r="D352" s="5">
        <f t="shared" si="12"/>
        <v>54288.857142857145</v>
      </c>
      <c r="E352" s="5">
        <f t="shared" si="11"/>
        <v>54162.76666666667</v>
      </c>
      <c r="F352" s="4" t="s">
        <v>50</v>
      </c>
    </row>
    <row r="353" spans="1:6" ht="15" customHeight="1" x14ac:dyDescent="0.2">
      <c r="A353" s="14">
        <v>45875</v>
      </c>
      <c r="B353" s="4" t="s">
        <v>60</v>
      </c>
      <c r="C353" s="5">
        <v>65749</v>
      </c>
      <c r="D353" s="5">
        <f t="shared" si="12"/>
        <v>54614.142857142855</v>
      </c>
      <c r="E353" s="5">
        <f t="shared" ref="E353:E416" si="13">AVERAGE(C324:C353)</f>
        <v>54481.599999999999</v>
      </c>
      <c r="F353" s="4" t="s">
        <v>50</v>
      </c>
    </row>
    <row r="354" spans="1:6" ht="15" customHeight="1" x14ac:dyDescent="0.2">
      <c r="A354" s="14">
        <v>45876</v>
      </c>
      <c r="B354" s="4" t="s">
        <v>49</v>
      </c>
      <c r="C354" s="5">
        <v>70044</v>
      </c>
      <c r="D354" s="5">
        <f t="shared" si="12"/>
        <v>55153</v>
      </c>
      <c r="E354" s="5">
        <f t="shared" si="13"/>
        <v>54323.3</v>
      </c>
      <c r="F354" s="4" t="s">
        <v>50</v>
      </c>
    </row>
    <row r="355" spans="1:6" ht="15" customHeight="1" x14ac:dyDescent="0.2">
      <c r="A355" s="14">
        <v>45877</v>
      </c>
      <c r="B355" s="4" t="s">
        <v>54</v>
      </c>
      <c r="C355" s="5">
        <v>33385</v>
      </c>
      <c r="D355" s="5">
        <f t="shared" si="12"/>
        <v>54976.142857142855</v>
      </c>
      <c r="E355" s="5">
        <f t="shared" si="13"/>
        <v>53354.23333333333</v>
      </c>
      <c r="F355" s="4" t="s">
        <v>50</v>
      </c>
    </row>
    <row r="356" spans="1:6" ht="15" customHeight="1" x14ac:dyDescent="0.2">
      <c r="A356" s="14">
        <v>45878</v>
      </c>
      <c r="B356" s="4" t="s">
        <v>56</v>
      </c>
      <c r="C356" s="5">
        <v>31732</v>
      </c>
      <c r="D356" s="5">
        <f t="shared" si="12"/>
        <v>55426.857142857145</v>
      </c>
      <c r="E356" s="5">
        <f t="shared" si="13"/>
        <v>52348.2</v>
      </c>
      <c r="F356" s="4" t="s">
        <v>57</v>
      </c>
    </row>
    <row r="357" spans="1:6" ht="15" customHeight="1" x14ac:dyDescent="0.2">
      <c r="A357" s="14">
        <v>45879</v>
      </c>
      <c r="B357" s="4" t="s">
        <v>59</v>
      </c>
      <c r="C357" s="5">
        <v>60118</v>
      </c>
      <c r="D357" s="5">
        <f t="shared" si="12"/>
        <v>55759.857142857145</v>
      </c>
      <c r="E357" s="5">
        <f t="shared" si="13"/>
        <v>53429.666666666664</v>
      </c>
      <c r="F357" s="4" t="s">
        <v>57</v>
      </c>
    </row>
    <row r="358" spans="1:6" ht="15" customHeight="1" x14ac:dyDescent="0.2">
      <c r="A358" s="14">
        <v>45880</v>
      </c>
      <c r="B358" s="4" t="s">
        <v>55</v>
      </c>
      <c r="C358" s="5">
        <v>65163</v>
      </c>
      <c r="D358" s="5">
        <f t="shared" si="12"/>
        <v>55848.428571428572</v>
      </c>
      <c r="E358" s="5">
        <f t="shared" si="13"/>
        <v>54664.1</v>
      </c>
      <c r="F358" s="4" t="s">
        <v>50</v>
      </c>
    </row>
    <row r="359" spans="1:6" ht="15" customHeight="1" x14ac:dyDescent="0.2">
      <c r="A359" s="14">
        <v>45881</v>
      </c>
      <c r="B359" s="4" t="s">
        <v>58</v>
      </c>
      <c r="C359" s="5">
        <v>68780</v>
      </c>
      <c r="D359" s="5">
        <f t="shared" si="12"/>
        <v>56424.428571428572</v>
      </c>
      <c r="E359" s="5">
        <f t="shared" si="13"/>
        <v>55016.9</v>
      </c>
      <c r="F359" s="4" t="s">
        <v>50</v>
      </c>
    </row>
    <row r="360" spans="1:6" ht="15" customHeight="1" x14ac:dyDescent="0.2">
      <c r="A360" s="14">
        <v>45882</v>
      </c>
      <c r="B360" s="4" t="s">
        <v>60</v>
      </c>
      <c r="C360" s="5">
        <v>62300</v>
      </c>
      <c r="D360" s="5">
        <f t="shared" si="12"/>
        <v>55931.714285714283</v>
      </c>
      <c r="E360" s="5">
        <f t="shared" si="13"/>
        <v>54978.26666666667</v>
      </c>
      <c r="F360" s="4" t="s">
        <v>50</v>
      </c>
    </row>
    <row r="361" spans="1:6" ht="15" customHeight="1" x14ac:dyDescent="0.2">
      <c r="A361" s="14">
        <v>45883</v>
      </c>
      <c r="B361" s="4" t="s">
        <v>49</v>
      </c>
      <c r="C361" s="5">
        <v>70755</v>
      </c>
      <c r="D361" s="5">
        <f t="shared" si="12"/>
        <v>56033.285714285717</v>
      </c>
      <c r="E361" s="5">
        <f t="shared" si="13"/>
        <v>55099.166666666664</v>
      </c>
      <c r="F361" s="4" t="s">
        <v>50</v>
      </c>
    </row>
    <row r="362" spans="1:6" ht="15" customHeight="1" x14ac:dyDescent="0.2">
      <c r="A362" s="14">
        <v>45884</v>
      </c>
      <c r="B362" s="4" t="s">
        <v>54</v>
      </c>
      <c r="C362" s="5">
        <v>35942</v>
      </c>
      <c r="D362" s="5">
        <f t="shared" si="12"/>
        <v>56398.571428571428</v>
      </c>
      <c r="E362" s="5">
        <f t="shared" si="13"/>
        <v>54180.366666666669</v>
      </c>
      <c r="F362" s="4" t="s">
        <v>50</v>
      </c>
    </row>
    <row r="363" spans="1:6" ht="15" customHeight="1" x14ac:dyDescent="0.2">
      <c r="A363" s="14">
        <v>45885</v>
      </c>
      <c r="B363" s="4" t="s">
        <v>56</v>
      </c>
      <c r="C363" s="5">
        <v>32052</v>
      </c>
      <c r="D363" s="5">
        <f t="shared" si="12"/>
        <v>56444.285714285717</v>
      </c>
      <c r="E363" s="5">
        <f t="shared" si="13"/>
        <v>53152.5</v>
      </c>
      <c r="F363" s="4" t="s">
        <v>57</v>
      </c>
    </row>
    <row r="364" spans="1:6" ht="15" customHeight="1" x14ac:dyDescent="0.2">
      <c r="A364" s="14">
        <v>45886</v>
      </c>
      <c r="B364" s="4" t="s">
        <v>59</v>
      </c>
      <c r="C364" s="5">
        <v>59307</v>
      </c>
      <c r="D364" s="5">
        <f t="shared" si="12"/>
        <v>56328.428571428572</v>
      </c>
      <c r="E364" s="5">
        <f t="shared" si="13"/>
        <v>54139.833333333336</v>
      </c>
      <c r="F364" s="4" t="s">
        <v>57</v>
      </c>
    </row>
    <row r="365" spans="1:6" ht="15" customHeight="1" x14ac:dyDescent="0.2">
      <c r="A365" s="14">
        <v>45887</v>
      </c>
      <c r="B365" s="4" t="s">
        <v>55</v>
      </c>
      <c r="C365" s="5">
        <v>67499</v>
      </c>
      <c r="D365" s="5">
        <f t="shared" si="12"/>
        <v>56662.142857142855</v>
      </c>
      <c r="E365" s="5">
        <f t="shared" si="13"/>
        <v>55356.366666666669</v>
      </c>
      <c r="F365" s="4" t="s">
        <v>50</v>
      </c>
    </row>
    <row r="366" spans="1:6" ht="15" customHeight="1" x14ac:dyDescent="0.2">
      <c r="A366" s="14">
        <v>45888</v>
      </c>
      <c r="B366" s="4" t="s">
        <v>58</v>
      </c>
      <c r="C366" s="5">
        <v>65172</v>
      </c>
      <c r="D366" s="5">
        <f t="shared" si="12"/>
        <v>56146.714285714283</v>
      </c>
      <c r="E366" s="5">
        <f t="shared" si="13"/>
        <v>55680.2</v>
      </c>
      <c r="F366" s="4" t="s">
        <v>50</v>
      </c>
    </row>
    <row r="367" spans="1:6" ht="15" customHeight="1" x14ac:dyDescent="0.2">
      <c r="A367" s="14">
        <v>45889</v>
      </c>
      <c r="B367" s="4" t="s">
        <v>60</v>
      </c>
      <c r="C367" s="5">
        <v>64399</v>
      </c>
      <c r="D367" s="5">
        <f t="shared" si="12"/>
        <v>56446.571428571428</v>
      </c>
      <c r="E367" s="5">
        <f t="shared" si="13"/>
        <v>55801</v>
      </c>
      <c r="F367" s="4" t="s">
        <v>50</v>
      </c>
    </row>
    <row r="368" spans="1:6" ht="15" customHeight="1" x14ac:dyDescent="0.2">
      <c r="A368" s="14">
        <v>45890</v>
      </c>
      <c r="B368" s="4" t="s">
        <v>49</v>
      </c>
      <c r="C368" s="5">
        <v>63929</v>
      </c>
      <c r="D368" s="5">
        <f t="shared" si="12"/>
        <v>55471.428571428572</v>
      </c>
      <c r="E368" s="5">
        <f t="shared" si="13"/>
        <v>55875.566666666666</v>
      </c>
      <c r="F368" s="4" t="s">
        <v>50</v>
      </c>
    </row>
    <row r="369" spans="1:6" ht="15" customHeight="1" x14ac:dyDescent="0.2">
      <c r="A369" s="14">
        <v>45891</v>
      </c>
      <c r="B369" s="4" t="s">
        <v>54</v>
      </c>
      <c r="C369" s="5">
        <v>30341</v>
      </c>
      <c r="D369" s="5">
        <f t="shared" si="12"/>
        <v>54671.285714285717</v>
      </c>
      <c r="E369" s="5">
        <f t="shared" si="13"/>
        <v>54653.7</v>
      </c>
      <c r="F369" s="4" t="s">
        <v>50</v>
      </c>
    </row>
    <row r="370" spans="1:6" ht="15" customHeight="1" x14ac:dyDescent="0.2">
      <c r="A370" s="14">
        <v>45892</v>
      </c>
      <c r="B370" s="4" t="s">
        <v>56</v>
      </c>
      <c r="C370" s="5">
        <v>30808</v>
      </c>
      <c r="D370" s="5">
        <f t="shared" si="12"/>
        <v>54493.571428571428</v>
      </c>
      <c r="E370" s="5">
        <f t="shared" si="13"/>
        <v>53588.1</v>
      </c>
      <c r="F370" s="4" t="s">
        <v>57</v>
      </c>
    </row>
    <row r="371" spans="1:6" ht="15" customHeight="1" x14ac:dyDescent="0.2">
      <c r="A371" s="14">
        <v>45893</v>
      </c>
      <c r="B371" s="4" t="s">
        <v>59</v>
      </c>
      <c r="C371" s="5">
        <v>58417</v>
      </c>
      <c r="D371" s="5">
        <f t="shared" si="12"/>
        <v>54366.428571428572</v>
      </c>
      <c r="E371" s="5">
        <f t="shared" si="13"/>
        <v>54506.7</v>
      </c>
      <c r="F371" s="4" t="s">
        <v>57</v>
      </c>
    </row>
    <row r="372" spans="1:6" ht="15" customHeight="1" x14ac:dyDescent="0.2">
      <c r="A372" s="14">
        <v>45894</v>
      </c>
      <c r="B372" s="4" t="s">
        <v>55</v>
      </c>
      <c r="C372" s="5">
        <v>67958</v>
      </c>
      <c r="D372" s="5">
        <f t="shared" si="12"/>
        <v>54432</v>
      </c>
      <c r="E372" s="5">
        <f t="shared" si="13"/>
        <v>55824.033333333333</v>
      </c>
      <c r="F372" s="4" t="s">
        <v>50</v>
      </c>
    </row>
    <row r="373" spans="1:6" ht="15" customHeight="1" x14ac:dyDescent="0.2">
      <c r="A373" s="14">
        <v>45895</v>
      </c>
      <c r="B373" s="4" t="s">
        <v>58</v>
      </c>
      <c r="C373" s="5">
        <v>66029</v>
      </c>
      <c r="D373" s="5">
        <f t="shared" si="12"/>
        <v>54554.428571428572</v>
      </c>
      <c r="E373" s="5">
        <f t="shared" si="13"/>
        <v>56020.6</v>
      </c>
      <c r="F373" s="4" t="s">
        <v>50</v>
      </c>
    </row>
    <row r="374" spans="1:6" ht="15" customHeight="1" x14ac:dyDescent="0.2">
      <c r="A374" s="14">
        <v>45896</v>
      </c>
      <c r="B374" s="4" t="s">
        <v>60</v>
      </c>
      <c r="C374" s="5">
        <v>64329</v>
      </c>
      <c r="D374" s="5">
        <f t="shared" si="12"/>
        <v>54544.428571428572</v>
      </c>
      <c r="E374" s="5">
        <f t="shared" si="13"/>
        <v>55998.1</v>
      </c>
      <c r="F374" s="4" t="s">
        <v>50</v>
      </c>
    </row>
    <row r="375" spans="1:6" ht="15" customHeight="1" x14ac:dyDescent="0.2">
      <c r="A375" s="14">
        <v>45897</v>
      </c>
      <c r="B375" s="4" t="s">
        <v>49</v>
      </c>
      <c r="C375" s="5">
        <v>67583</v>
      </c>
      <c r="D375" s="5">
        <f t="shared" si="12"/>
        <v>55066.428571428572</v>
      </c>
      <c r="E375" s="5">
        <f t="shared" si="13"/>
        <v>56060.433333333334</v>
      </c>
      <c r="F375" s="4" t="s">
        <v>50</v>
      </c>
    </row>
    <row r="376" spans="1:6" ht="15" customHeight="1" x14ac:dyDescent="0.2">
      <c r="A376" s="14">
        <v>45898</v>
      </c>
      <c r="B376" s="4" t="s">
        <v>54</v>
      </c>
      <c r="C376" s="5">
        <v>35610</v>
      </c>
      <c r="D376" s="5">
        <f t="shared" si="12"/>
        <v>55819.142857142855</v>
      </c>
      <c r="E376" s="5">
        <f t="shared" si="13"/>
        <v>55131.7</v>
      </c>
      <c r="F376" s="4" t="s">
        <v>50</v>
      </c>
    </row>
    <row r="377" spans="1:6" ht="15" customHeight="1" x14ac:dyDescent="0.2">
      <c r="A377" s="14">
        <v>45899</v>
      </c>
      <c r="B377" s="4" t="s">
        <v>56</v>
      </c>
      <c r="C377" s="5">
        <v>27007</v>
      </c>
      <c r="D377" s="5">
        <f t="shared" si="12"/>
        <v>55276.142857142855</v>
      </c>
      <c r="E377" s="5">
        <f t="shared" si="13"/>
        <v>53822.866666666669</v>
      </c>
      <c r="F377" s="4" t="s">
        <v>57</v>
      </c>
    </row>
    <row r="378" spans="1:6" ht="15" customHeight="1" x14ac:dyDescent="0.2">
      <c r="A378" s="14">
        <v>45900</v>
      </c>
      <c r="B378" s="4" t="s">
        <v>59</v>
      </c>
      <c r="C378" s="5">
        <v>55448</v>
      </c>
      <c r="D378" s="5">
        <f t="shared" si="12"/>
        <v>54852</v>
      </c>
      <c r="E378" s="5">
        <f t="shared" si="13"/>
        <v>54517.033333333333</v>
      </c>
      <c r="F378" s="4" t="s">
        <v>57</v>
      </c>
    </row>
    <row r="379" spans="1:6" ht="15" customHeight="1" x14ac:dyDescent="0.2">
      <c r="A379" s="14">
        <v>45901</v>
      </c>
      <c r="B379" s="4" t="s">
        <v>55</v>
      </c>
      <c r="C379" s="5">
        <v>35831</v>
      </c>
      <c r="D379" s="5">
        <f t="shared" si="12"/>
        <v>50262.428571428572</v>
      </c>
      <c r="E379" s="5">
        <f t="shared" si="13"/>
        <v>54758.833333333336</v>
      </c>
      <c r="F379" s="4" t="s">
        <v>50</v>
      </c>
    </row>
    <row r="380" spans="1:6" ht="15" customHeight="1" x14ac:dyDescent="0.2">
      <c r="A380" s="14">
        <v>45902</v>
      </c>
      <c r="B380" s="4" t="s">
        <v>58</v>
      </c>
      <c r="C380" s="5">
        <v>56400</v>
      </c>
      <c r="D380" s="5">
        <f t="shared" si="12"/>
        <v>48886.857142857145</v>
      </c>
      <c r="E380" s="5">
        <f t="shared" si="13"/>
        <v>54712.6</v>
      </c>
      <c r="F380" s="4" t="s">
        <v>50</v>
      </c>
    </row>
    <row r="381" spans="1:6" ht="15" customHeight="1" x14ac:dyDescent="0.2">
      <c r="A381" s="14">
        <v>45903</v>
      </c>
      <c r="B381" s="4" t="s">
        <v>60</v>
      </c>
      <c r="C381" s="5">
        <v>67060</v>
      </c>
      <c r="D381" s="5">
        <f t="shared" si="12"/>
        <v>49277</v>
      </c>
      <c r="E381" s="5">
        <f t="shared" si="13"/>
        <v>54796.5</v>
      </c>
      <c r="F381" s="4" t="s">
        <v>50</v>
      </c>
    </row>
    <row r="382" spans="1:6" ht="15" customHeight="1" x14ac:dyDescent="0.2">
      <c r="A382" s="14">
        <v>45904</v>
      </c>
      <c r="B382" s="4" t="s">
        <v>49</v>
      </c>
      <c r="C382" s="5">
        <v>69266</v>
      </c>
      <c r="D382" s="5">
        <f t="shared" si="12"/>
        <v>49517.428571428572</v>
      </c>
      <c r="E382" s="5">
        <f t="shared" si="13"/>
        <v>54947.1</v>
      </c>
      <c r="F382" s="4" t="s">
        <v>50</v>
      </c>
    </row>
    <row r="383" spans="1:6" ht="15" customHeight="1" x14ac:dyDescent="0.2">
      <c r="A383" s="14">
        <v>45905</v>
      </c>
      <c r="B383" s="4" t="s">
        <v>54</v>
      </c>
      <c r="C383" s="5">
        <v>31464</v>
      </c>
      <c r="D383" s="5">
        <f t="shared" si="12"/>
        <v>48925.142857142855</v>
      </c>
      <c r="E383" s="5">
        <f t="shared" si="13"/>
        <v>53804.26666666667</v>
      </c>
      <c r="F383" s="4" t="s">
        <v>50</v>
      </c>
    </row>
    <row r="384" spans="1:6" ht="15" customHeight="1" x14ac:dyDescent="0.2">
      <c r="A384" s="14">
        <v>45906</v>
      </c>
      <c r="B384" s="4" t="s">
        <v>56</v>
      </c>
      <c r="C384" s="5">
        <v>31963</v>
      </c>
      <c r="D384" s="5">
        <f t="shared" si="12"/>
        <v>49633.142857142855</v>
      </c>
      <c r="E384" s="5">
        <f t="shared" si="13"/>
        <v>52534.9</v>
      </c>
      <c r="F384" s="4" t="s">
        <v>57</v>
      </c>
    </row>
    <row r="385" spans="1:6" ht="15" customHeight="1" x14ac:dyDescent="0.2">
      <c r="A385" s="14">
        <v>45907</v>
      </c>
      <c r="B385" s="4" t="s">
        <v>59</v>
      </c>
      <c r="C385" s="5">
        <v>61250</v>
      </c>
      <c r="D385" s="5">
        <f t="shared" si="12"/>
        <v>50462</v>
      </c>
      <c r="E385" s="5">
        <f t="shared" si="13"/>
        <v>53463.73333333333</v>
      </c>
      <c r="F385" s="4" t="s">
        <v>57</v>
      </c>
    </row>
    <row r="386" spans="1:6" ht="15" customHeight="1" x14ac:dyDescent="0.2">
      <c r="A386" s="14">
        <v>45908</v>
      </c>
      <c r="B386" s="4" t="s">
        <v>55</v>
      </c>
      <c r="C386" s="5">
        <v>67697</v>
      </c>
      <c r="D386" s="5">
        <f t="shared" si="12"/>
        <v>55014.285714285717</v>
      </c>
      <c r="E386" s="5">
        <f t="shared" si="13"/>
        <v>54662.566666666666</v>
      </c>
      <c r="F386" s="4" t="s">
        <v>50</v>
      </c>
    </row>
    <row r="387" spans="1:6" ht="15" customHeight="1" x14ac:dyDescent="0.2">
      <c r="A387" s="14">
        <v>45909</v>
      </c>
      <c r="B387" s="4" t="s">
        <v>58</v>
      </c>
      <c r="C387" s="5">
        <v>72604</v>
      </c>
      <c r="D387" s="5">
        <f t="shared" si="12"/>
        <v>57329.142857142855</v>
      </c>
      <c r="E387" s="5">
        <f t="shared" si="13"/>
        <v>55078.76666666667</v>
      </c>
      <c r="F387" s="4" t="s">
        <v>50</v>
      </c>
    </row>
    <row r="388" spans="1:6" ht="15" customHeight="1" x14ac:dyDescent="0.2">
      <c r="A388" s="14">
        <v>45910</v>
      </c>
      <c r="B388" s="4" t="s">
        <v>60</v>
      </c>
      <c r="C388" s="5">
        <v>74482</v>
      </c>
      <c r="D388" s="5">
        <f t="shared" si="12"/>
        <v>58389.428571428572</v>
      </c>
      <c r="E388" s="5">
        <f t="shared" si="13"/>
        <v>55389.4</v>
      </c>
      <c r="F388" s="4" t="s">
        <v>50</v>
      </c>
    </row>
    <row r="389" spans="1:6" ht="15" customHeight="1" x14ac:dyDescent="0.2">
      <c r="A389" s="14">
        <v>45911</v>
      </c>
      <c r="B389" s="4" t="s">
        <v>49</v>
      </c>
      <c r="C389" s="5">
        <v>78956</v>
      </c>
      <c r="D389" s="5">
        <f t="shared" si="12"/>
        <v>59773.714285714283</v>
      </c>
      <c r="E389" s="5">
        <f t="shared" si="13"/>
        <v>55728.6</v>
      </c>
      <c r="F389" s="4" t="s">
        <v>50</v>
      </c>
    </row>
    <row r="390" spans="1:6" ht="15" customHeight="1" x14ac:dyDescent="0.2">
      <c r="A390" s="14">
        <v>45912</v>
      </c>
      <c r="B390" s="4" t="s">
        <v>54</v>
      </c>
      <c r="C390" s="5">
        <v>28848</v>
      </c>
      <c r="D390" s="5">
        <f t="shared" si="12"/>
        <v>59400</v>
      </c>
      <c r="E390" s="5">
        <f t="shared" si="13"/>
        <v>54613.533333333333</v>
      </c>
      <c r="F390" s="4" t="s">
        <v>50</v>
      </c>
    </row>
    <row r="391" spans="1:6" ht="15" customHeight="1" x14ac:dyDescent="0.2">
      <c r="A391" s="14">
        <v>45913</v>
      </c>
      <c r="B391" s="4" t="s">
        <v>56</v>
      </c>
      <c r="C391" s="5">
        <v>30838</v>
      </c>
      <c r="D391" s="5">
        <f t="shared" si="12"/>
        <v>59239.285714285717</v>
      </c>
      <c r="E391" s="5">
        <f t="shared" si="13"/>
        <v>53282.966666666667</v>
      </c>
      <c r="F391" s="4" t="s">
        <v>57</v>
      </c>
    </row>
    <row r="392" spans="1:6" ht="15" customHeight="1" x14ac:dyDescent="0.2">
      <c r="A392" s="14">
        <v>45914</v>
      </c>
      <c r="B392" s="4" t="s">
        <v>59</v>
      </c>
      <c r="C392" s="5">
        <v>61359</v>
      </c>
      <c r="D392" s="5">
        <f t="shared" si="12"/>
        <v>59254.857142857145</v>
      </c>
      <c r="E392" s="5">
        <f t="shared" si="13"/>
        <v>54130.2</v>
      </c>
      <c r="F392" s="4" t="s">
        <v>57</v>
      </c>
    </row>
    <row r="393" spans="1:6" ht="15" customHeight="1" x14ac:dyDescent="0.2">
      <c r="A393" s="14">
        <v>45915</v>
      </c>
      <c r="B393" s="4" t="s">
        <v>55</v>
      </c>
      <c r="C393" s="5">
        <v>68161</v>
      </c>
      <c r="D393" s="5">
        <f t="shared" si="12"/>
        <v>59321.142857142855</v>
      </c>
      <c r="E393" s="5">
        <f t="shared" si="13"/>
        <v>55333.833333333336</v>
      </c>
      <c r="F393" s="4" t="s">
        <v>50</v>
      </c>
    </row>
    <row r="394" spans="1:6" ht="15" customHeight="1" x14ac:dyDescent="0.2">
      <c r="A394" s="14">
        <v>45916</v>
      </c>
      <c r="B394" s="4" t="s">
        <v>58</v>
      </c>
      <c r="C394" s="5">
        <v>70230</v>
      </c>
      <c r="D394" s="5">
        <f t="shared" ref="D394:D457" si="14">AVERAGE(C388:C394)</f>
        <v>58982</v>
      </c>
      <c r="E394" s="5">
        <f t="shared" si="13"/>
        <v>55697.933333333334</v>
      </c>
      <c r="F394" s="4" t="s">
        <v>50</v>
      </c>
    </row>
    <row r="395" spans="1:6" ht="15" customHeight="1" x14ac:dyDescent="0.2">
      <c r="A395" s="14">
        <v>45917</v>
      </c>
      <c r="B395" s="4" t="s">
        <v>60</v>
      </c>
      <c r="C395" s="5">
        <v>73252</v>
      </c>
      <c r="D395" s="5">
        <f t="shared" si="14"/>
        <v>58806.285714285717</v>
      </c>
      <c r="E395" s="5">
        <f t="shared" si="13"/>
        <v>55889.7</v>
      </c>
      <c r="F395" s="4" t="s">
        <v>50</v>
      </c>
    </row>
    <row r="396" spans="1:6" ht="15" customHeight="1" x14ac:dyDescent="0.2">
      <c r="A396" s="14">
        <v>45918</v>
      </c>
      <c r="B396" s="4" t="s">
        <v>49</v>
      </c>
      <c r="C396" s="5">
        <v>66919</v>
      </c>
      <c r="D396" s="5">
        <f t="shared" si="14"/>
        <v>57086.714285714283</v>
      </c>
      <c r="E396" s="5">
        <f t="shared" si="13"/>
        <v>55947.933333333334</v>
      </c>
      <c r="F396" s="4" t="s">
        <v>50</v>
      </c>
    </row>
    <row r="397" spans="1:6" ht="15" customHeight="1" x14ac:dyDescent="0.2">
      <c r="A397" s="14">
        <v>45919</v>
      </c>
      <c r="B397" s="4" t="s">
        <v>54</v>
      </c>
      <c r="C397" s="5">
        <v>30442</v>
      </c>
      <c r="D397" s="5">
        <f t="shared" si="14"/>
        <v>57314.428571428572</v>
      </c>
      <c r="E397" s="5">
        <f t="shared" si="13"/>
        <v>54816.033333333333</v>
      </c>
      <c r="F397" s="4" t="s">
        <v>50</v>
      </c>
    </row>
    <row r="398" spans="1:6" ht="15" customHeight="1" x14ac:dyDescent="0.2">
      <c r="A398" s="14">
        <v>45920</v>
      </c>
      <c r="B398" s="4" t="s">
        <v>56</v>
      </c>
      <c r="C398" s="5">
        <v>31262</v>
      </c>
      <c r="D398" s="5">
        <f t="shared" si="14"/>
        <v>57375</v>
      </c>
      <c r="E398" s="5">
        <f t="shared" si="13"/>
        <v>53727.133333333331</v>
      </c>
      <c r="F398" s="4" t="s">
        <v>57</v>
      </c>
    </row>
    <row r="399" spans="1:6" ht="15" customHeight="1" x14ac:dyDescent="0.2">
      <c r="A399" s="14">
        <v>45921</v>
      </c>
      <c r="B399" s="4" t="s">
        <v>59</v>
      </c>
      <c r="C399" s="5">
        <v>60975</v>
      </c>
      <c r="D399" s="5">
        <f t="shared" si="14"/>
        <v>57320.142857142855</v>
      </c>
      <c r="E399" s="5">
        <f t="shared" si="13"/>
        <v>54748.26666666667</v>
      </c>
      <c r="F399" s="4" t="s">
        <v>57</v>
      </c>
    </row>
    <row r="400" spans="1:6" ht="15" customHeight="1" x14ac:dyDescent="0.2">
      <c r="A400" s="14">
        <v>45922</v>
      </c>
      <c r="B400" s="4" t="s">
        <v>55</v>
      </c>
      <c r="C400" s="5">
        <v>62633</v>
      </c>
      <c r="D400" s="5">
        <f t="shared" si="14"/>
        <v>56530.428571428572</v>
      </c>
      <c r="E400" s="5">
        <f t="shared" si="13"/>
        <v>55809.1</v>
      </c>
      <c r="F400" s="4" t="s">
        <v>50</v>
      </c>
    </row>
    <row r="401" spans="1:6" ht="15" customHeight="1" x14ac:dyDescent="0.2">
      <c r="A401" s="14">
        <v>45923</v>
      </c>
      <c r="B401" s="4" t="s">
        <v>58</v>
      </c>
      <c r="C401" s="5">
        <v>65687</v>
      </c>
      <c r="D401" s="5">
        <f t="shared" si="14"/>
        <v>55881.428571428572</v>
      </c>
      <c r="E401" s="5">
        <f t="shared" si="13"/>
        <v>56051.433333333334</v>
      </c>
      <c r="F401" s="4" t="s">
        <v>50</v>
      </c>
    </row>
    <row r="402" spans="1:6" ht="15" customHeight="1" x14ac:dyDescent="0.2">
      <c r="A402" s="14">
        <v>45924</v>
      </c>
      <c r="B402" s="4" t="s">
        <v>60</v>
      </c>
      <c r="C402" s="5">
        <v>69033</v>
      </c>
      <c r="D402" s="5">
        <f t="shared" si="14"/>
        <v>55278.714285714283</v>
      </c>
      <c r="E402" s="5">
        <f t="shared" si="13"/>
        <v>56087.26666666667</v>
      </c>
      <c r="F402" s="4" t="s">
        <v>50</v>
      </c>
    </row>
    <row r="403" spans="1:6" ht="15" customHeight="1" x14ac:dyDescent="0.2">
      <c r="A403" s="14">
        <v>45925</v>
      </c>
      <c r="B403" s="4" t="s">
        <v>49</v>
      </c>
      <c r="C403" s="5">
        <v>68228</v>
      </c>
      <c r="D403" s="5">
        <f t="shared" si="14"/>
        <v>55465.714285714283</v>
      </c>
      <c r="E403" s="5">
        <f t="shared" si="13"/>
        <v>56160.566666666666</v>
      </c>
      <c r="F403" s="4" t="s">
        <v>50</v>
      </c>
    </row>
    <row r="404" spans="1:6" ht="15" customHeight="1" x14ac:dyDescent="0.2">
      <c r="A404" s="14">
        <v>45926</v>
      </c>
      <c r="B404" s="4" t="s">
        <v>54</v>
      </c>
      <c r="C404" s="5">
        <v>31816</v>
      </c>
      <c r="D404" s="5">
        <f t="shared" si="14"/>
        <v>55662</v>
      </c>
      <c r="E404" s="5">
        <f t="shared" si="13"/>
        <v>55076.800000000003</v>
      </c>
      <c r="F404" s="4" t="s">
        <v>50</v>
      </c>
    </row>
    <row r="405" spans="1:6" ht="15" customHeight="1" x14ac:dyDescent="0.2">
      <c r="A405" s="14">
        <v>45927</v>
      </c>
      <c r="B405" s="4" t="s">
        <v>56</v>
      </c>
      <c r="C405" s="5">
        <v>31123</v>
      </c>
      <c r="D405" s="5">
        <f t="shared" si="14"/>
        <v>55642.142857142855</v>
      </c>
      <c r="E405" s="5">
        <f t="shared" si="13"/>
        <v>53861.466666666667</v>
      </c>
      <c r="F405" s="4" t="s">
        <v>57</v>
      </c>
    </row>
    <row r="406" spans="1:6" ht="15" customHeight="1" x14ac:dyDescent="0.2">
      <c r="A406" s="14">
        <v>45928</v>
      </c>
      <c r="B406" s="4" t="s">
        <v>59</v>
      </c>
      <c r="C406" s="5">
        <v>55154</v>
      </c>
      <c r="D406" s="5">
        <f t="shared" si="14"/>
        <v>54810.571428571428</v>
      </c>
      <c r="E406" s="5">
        <f t="shared" si="13"/>
        <v>54512.933333333334</v>
      </c>
      <c r="F406" s="4" t="s">
        <v>57</v>
      </c>
    </row>
    <row r="407" spans="1:6" ht="15" customHeight="1" x14ac:dyDescent="0.2">
      <c r="A407" s="14">
        <v>45929</v>
      </c>
      <c r="B407" s="4" t="s">
        <v>55</v>
      </c>
      <c r="C407" s="5">
        <v>65104</v>
      </c>
      <c r="D407" s="5">
        <f t="shared" si="14"/>
        <v>55163.571428571428</v>
      </c>
      <c r="E407" s="5">
        <f t="shared" si="13"/>
        <v>55782.833333333336</v>
      </c>
      <c r="F407" s="4" t="s">
        <v>50</v>
      </c>
    </row>
    <row r="408" spans="1:6" ht="15" customHeight="1" x14ac:dyDescent="0.2">
      <c r="A408" s="14">
        <v>45930</v>
      </c>
      <c r="B408" s="4" t="s">
        <v>58</v>
      </c>
      <c r="C408" s="5">
        <v>65903</v>
      </c>
      <c r="D408" s="5">
        <f t="shared" si="14"/>
        <v>55194.428571428572</v>
      </c>
      <c r="E408" s="5">
        <f t="shared" si="13"/>
        <v>56131.333333333336</v>
      </c>
      <c r="F408" s="4" t="s">
        <v>50</v>
      </c>
    </row>
    <row r="409" spans="1:6" ht="15" customHeight="1" x14ac:dyDescent="0.2">
      <c r="A409" s="14">
        <v>45931</v>
      </c>
      <c r="B409" s="4" t="s">
        <v>60</v>
      </c>
      <c r="C409" s="5">
        <v>68671</v>
      </c>
      <c r="D409" s="5">
        <f t="shared" si="14"/>
        <v>55142.714285714283</v>
      </c>
      <c r="E409" s="5">
        <f t="shared" si="13"/>
        <v>57226</v>
      </c>
      <c r="F409" s="4" t="s">
        <v>50</v>
      </c>
    </row>
    <row r="410" spans="1:6" ht="15" customHeight="1" x14ac:dyDescent="0.2">
      <c r="A410" s="14">
        <v>45932</v>
      </c>
      <c r="B410" s="4" t="s">
        <v>49</v>
      </c>
      <c r="C410" s="5">
        <v>63106</v>
      </c>
      <c r="D410" s="5">
        <f t="shared" si="14"/>
        <v>54411</v>
      </c>
      <c r="E410" s="5">
        <f t="shared" si="13"/>
        <v>57449.533333333333</v>
      </c>
      <c r="F410" s="4" t="s">
        <v>50</v>
      </c>
    </row>
    <row r="411" spans="1:6" ht="15" customHeight="1" x14ac:dyDescent="0.2">
      <c r="A411" s="14">
        <v>45933</v>
      </c>
      <c r="B411" s="4" t="s">
        <v>54</v>
      </c>
      <c r="C411" s="5">
        <v>27659</v>
      </c>
      <c r="D411" s="5">
        <f t="shared" si="14"/>
        <v>53817.142857142855</v>
      </c>
      <c r="E411" s="5">
        <f t="shared" si="13"/>
        <v>56136.166666666664</v>
      </c>
      <c r="F411" s="4" t="s">
        <v>50</v>
      </c>
    </row>
    <row r="412" spans="1:6" ht="15" customHeight="1" x14ac:dyDescent="0.2">
      <c r="A412" s="14">
        <v>45934</v>
      </c>
      <c r="B412" s="4" t="s">
        <v>56</v>
      </c>
      <c r="C412" s="5">
        <v>30299</v>
      </c>
      <c r="D412" s="5">
        <f t="shared" si="14"/>
        <v>53699.428571428572</v>
      </c>
      <c r="E412" s="5">
        <f t="shared" si="13"/>
        <v>54837.26666666667</v>
      </c>
      <c r="F412" s="4" t="s">
        <v>57</v>
      </c>
    </row>
    <row r="413" spans="1:6" ht="15" customHeight="1" x14ac:dyDescent="0.2">
      <c r="A413" s="14">
        <v>45935</v>
      </c>
      <c r="B413" s="4" t="s">
        <v>59</v>
      </c>
      <c r="C413" s="5">
        <v>59899</v>
      </c>
      <c r="D413" s="5">
        <f t="shared" si="14"/>
        <v>54377.285714285717</v>
      </c>
      <c r="E413" s="5">
        <f t="shared" si="13"/>
        <v>55785.1</v>
      </c>
      <c r="F413" s="4" t="s">
        <v>57</v>
      </c>
    </row>
    <row r="414" spans="1:6" ht="15" customHeight="1" x14ac:dyDescent="0.2">
      <c r="A414" s="14">
        <v>45936</v>
      </c>
      <c r="B414" s="4" t="s">
        <v>55</v>
      </c>
      <c r="C414" s="5">
        <v>63824</v>
      </c>
      <c r="D414" s="5">
        <f t="shared" si="14"/>
        <v>54194.428571428572</v>
      </c>
      <c r="E414" s="5">
        <f t="shared" si="13"/>
        <v>56847.133333333331</v>
      </c>
      <c r="F414" s="4" t="s">
        <v>50</v>
      </c>
    </row>
    <row r="415" spans="1:6" ht="15" customHeight="1" x14ac:dyDescent="0.2">
      <c r="A415" s="14">
        <v>45937</v>
      </c>
      <c r="B415" s="4" t="s">
        <v>58</v>
      </c>
      <c r="C415" s="5">
        <v>71442</v>
      </c>
      <c r="D415" s="5">
        <f t="shared" si="14"/>
        <v>54985.714285714283</v>
      </c>
      <c r="E415" s="5">
        <f t="shared" si="13"/>
        <v>57186.866666666669</v>
      </c>
      <c r="F415" s="4" t="s">
        <v>50</v>
      </c>
    </row>
    <row r="416" spans="1:6" ht="15" customHeight="1" x14ac:dyDescent="0.2">
      <c r="A416" s="14">
        <v>45938</v>
      </c>
      <c r="B416" s="4" t="s">
        <v>60</v>
      </c>
      <c r="C416" s="5">
        <v>73278</v>
      </c>
      <c r="D416" s="5">
        <f t="shared" si="14"/>
        <v>55643.857142857145</v>
      </c>
      <c r="E416" s="5">
        <f t="shared" si="13"/>
        <v>57372.9</v>
      </c>
      <c r="F416" s="4" t="s">
        <v>50</v>
      </c>
    </row>
    <row r="417" spans="1:6" ht="15" customHeight="1" x14ac:dyDescent="0.2">
      <c r="A417" s="14">
        <v>45939</v>
      </c>
      <c r="B417" s="4" t="s">
        <v>49</v>
      </c>
      <c r="C417" s="5">
        <v>67965</v>
      </c>
      <c r="D417" s="5">
        <f t="shared" si="14"/>
        <v>56338</v>
      </c>
      <c r="E417" s="5">
        <f t="shared" ref="E417:E480" si="15">AVERAGE(C388:C417)</f>
        <v>57218.26666666667</v>
      </c>
      <c r="F417" s="4" t="s">
        <v>50</v>
      </c>
    </row>
    <row r="418" spans="1:6" ht="15" customHeight="1" x14ac:dyDescent="0.2">
      <c r="A418" s="14">
        <v>45940</v>
      </c>
      <c r="B418" s="4" t="s">
        <v>54</v>
      </c>
      <c r="C418" s="5">
        <v>30615</v>
      </c>
      <c r="D418" s="5">
        <f t="shared" si="14"/>
        <v>56760.285714285717</v>
      </c>
      <c r="E418" s="5">
        <f t="shared" si="15"/>
        <v>55756.033333333333</v>
      </c>
      <c r="F418" s="4" t="s">
        <v>50</v>
      </c>
    </row>
    <row r="419" spans="1:6" ht="15" customHeight="1" x14ac:dyDescent="0.2">
      <c r="A419" s="14">
        <v>45941</v>
      </c>
      <c r="B419" s="4" t="s">
        <v>56</v>
      </c>
      <c r="C419" s="5">
        <v>31365</v>
      </c>
      <c r="D419" s="5">
        <f t="shared" si="14"/>
        <v>56912.571428571428</v>
      </c>
      <c r="E419" s="5">
        <f t="shared" si="15"/>
        <v>54169.666666666664</v>
      </c>
      <c r="F419" s="4" t="s">
        <v>57</v>
      </c>
    </row>
    <row r="420" spans="1:6" ht="15" customHeight="1" x14ac:dyDescent="0.2">
      <c r="A420" s="14">
        <v>45942</v>
      </c>
      <c r="B420" s="4" t="s">
        <v>59</v>
      </c>
      <c r="C420" s="5">
        <v>59828</v>
      </c>
      <c r="D420" s="5">
        <f t="shared" si="14"/>
        <v>56902.428571428572</v>
      </c>
      <c r="E420" s="5">
        <f t="shared" si="15"/>
        <v>55202.333333333336</v>
      </c>
      <c r="F420" s="4" t="s">
        <v>57</v>
      </c>
    </row>
    <row r="421" spans="1:6" ht="15" customHeight="1" x14ac:dyDescent="0.2">
      <c r="A421" s="14">
        <v>45943</v>
      </c>
      <c r="B421" s="4" t="s">
        <v>55</v>
      </c>
      <c r="C421" s="5">
        <v>68777</v>
      </c>
      <c r="D421" s="5">
        <f t="shared" si="14"/>
        <v>57610</v>
      </c>
      <c r="E421" s="5">
        <f t="shared" si="15"/>
        <v>56466.966666666667</v>
      </c>
      <c r="F421" s="4" t="s">
        <v>50</v>
      </c>
    </row>
    <row r="422" spans="1:6" ht="15" customHeight="1" x14ac:dyDescent="0.2">
      <c r="A422" s="14">
        <v>45944</v>
      </c>
      <c r="B422" s="4" t="s">
        <v>58</v>
      </c>
      <c r="C422" s="5">
        <v>69371</v>
      </c>
      <c r="D422" s="5">
        <f t="shared" si="14"/>
        <v>57314.142857142855</v>
      </c>
      <c r="E422" s="5">
        <f t="shared" si="15"/>
        <v>56734.033333333333</v>
      </c>
      <c r="F422" s="4" t="s">
        <v>50</v>
      </c>
    </row>
    <row r="423" spans="1:6" ht="15" customHeight="1" x14ac:dyDescent="0.2">
      <c r="A423" s="14">
        <v>45945</v>
      </c>
      <c r="B423" s="4" t="s">
        <v>60</v>
      </c>
      <c r="C423" s="5">
        <v>67414</v>
      </c>
      <c r="D423" s="5">
        <f t="shared" si="14"/>
        <v>56476.428571428572</v>
      </c>
      <c r="E423" s="5">
        <f t="shared" si="15"/>
        <v>56709.133333333331</v>
      </c>
      <c r="F423" s="4" t="s">
        <v>50</v>
      </c>
    </row>
    <row r="424" spans="1:6" ht="15" customHeight="1" x14ac:dyDescent="0.2">
      <c r="A424" s="14">
        <v>45946</v>
      </c>
      <c r="B424" s="4" t="s">
        <v>49</v>
      </c>
      <c r="C424" s="5">
        <v>76463</v>
      </c>
      <c r="D424" s="5">
        <f t="shared" si="14"/>
        <v>57690.428571428572</v>
      </c>
      <c r="E424" s="5">
        <f t="shared" si="15"/>
        <v>56916.9</v>
      </c>
      <c r="F424" s="4" t="s">
        <v>50</v>
      </c>
    </row>
    <row r="425" spans="1:6" ht="15" customHeight="1" x14ac:dyDescent="0.2">
      <c r="A425" s="14">
        <v>45947</v>
      </c>
      <c r="B425" s="4" t="s">
        <v>54</v>
      </c>
      <c r="C425" s="5">
        <v>30233</v>
      </c>
      <c r="D425" s="5">
        <f t="shared" si="14"/>
        <v>57635.857142857145</v>
      </c>
      <c r="E425" s="5">
        <f t="shared" si="15"/>
        <v>55482.933333333334</v>
      </c>
      <c r="F425" s="4" t="s">
        <v>50</v>
      </c>
    </row>
    <row r="426" spans="1:6" ht="15" customHeight="1" x14ac:dyDescent="0.2">
      <c r="A426" s="14">
        <v>45948</v>
      </c>
      <c r="B426" s="4" t="s">
        <v>56</v>
      </c>
      <c r="C426" s="5">
        <v>25388</v>
      </c>
      <c r="D426" s="5">
        <f t="shared" si="14"/>
        <v>56782</v>
      </c>
      <c r="E426" s="5">
        <f t="shared" si="15"/>
        <v>54098.566666666666</v>
      </c>
      <c r="F426" s="4" t="s">
        <v>57</v>
      </c>
    </row>
    <row r="427" spans="1:6" ht="15" customHeight="1" x14ac:dyDescent="0.2">
      <c r="A427" s="14">
        <v>45949</v>
      </c>
      <c r="B427" s="4" t="s">
        <v>59</v>
      </c>
      <c r="C427" s="5">
        <v>63674</v>
      </c>
      <c r="D427" s="5">
        <f t="shared" si="14"/>
        <v>57331.428571428572</v>
      </c>
      <c r="E427" s="5">
        <f t="shared" si="15"/>
        <v>55206.3</v>
      </c>
      <c r="F427" s="4" t="s">
        <v>57</v>
      </c>
    </row>
    <row r="428" spans="1:6" ht="15" customHeight="1" x14ac:dyDescent="0.2">
      <c r="A428" s="14">
        <v>45950</v>
      </c>
      <c r="B428" s="4" t="s">
        <v>55</v>
      </c>
      <c r="C428" s="5">
        <v>65427</v>
      </c>
      <c r="D428" s="5">
        <f t="shared" si="14"/>
        <v>56852.857142857145</v>
      </c>
      <c r="E428" s="5">
        <f t="shared" si="15"/>
        <v>56345.133333333331</v>
      </c>
      <c r="F428" s="4" t="s">
        <v>50</v>
      </c>
    </row>
    <row r="429" spans="1:6" ht="15" customHeight="1" x14ac:dyDescent="0.2">
      <c r="A429" s="14">
        <v>45951</v>
      </c>
      <c r="B429" s="4" t="s">
        <v>58</v>
      </c>
      <c r="C429" s="5">
        <v>68263</v>
      </c>
      <c r="D429" s="5">
        <f t="shared" si="14"/>
        <v>56694.571428571428</v>
      </c>
      <c r="E429" s="5">
        <f t="shared" si="15"/>
        <v>56588.066666666666</v>
      </c>
      <c r="F429" s="4" t="s">
        <v>50</v>
      </c>
    </row>
    <row r="430" spans="1:6" ht="15" customHeight="1" x14ac:dyDescent="0.2">
      <c r="A430" s="14">
        <v>45952</v>
      </c>
      <c r="B430" s="4" t="s">
        <v>60</v>
      </c>
      <c r="C430" s="5">
        <v>77544</v>
      </c>
      <c r="D430" s="5">
        <f t="shared" si="14"/>
        <v>58141.714285714283</v>
      </c>
      <c r="E430" s="5">
        <f t="shared" si="15"/>
        <v>57085.1</v>
      </c>
      <c r="F430" s="4" t="s">
        <v>50</v>
      </c>
    </row>
    <row r="431" spans="1:6" ht="15" customHeight="1" x14ac:dyDescent="0.2">
      <c r="A431" s="14">
        <v>45953</v>
      </c>
      <c r="B431" s="4" t="s">
        <v>49</v>
      </c>
      <c r="C431" s="5">
        <v>68248</v>
      </c>
      <c r="D431" s="5">
        <f t="shared" si="14"/>
        <v>56968.142857142855</v>
      </c>
      <c r="E431" s="5">
        <f t="shared" si="15"/>
        <v>57170.466666666667</v>
      </c>
      <c r="F431" s="4" t="s">
        <v>50</v>
      </c>
    </row>
    <row r="432" spans="1:6" ht="15" customHeight="1" x14ac:dyDescent="0.2">
      <c r="A432" s="14">
        <v>45954</v>
      </c>
      <c r="B432" s="4" t="s">
        <v>54</v>
      </c>
      <c r="C432" s="5">
        <v>40777</v>
      </c>
      <c r="D432" s="5">
        <f t="shared" si="14"/>
        <v>58474.428571428572</v>
      </c>
      <c r="E432" s="5">
        <f t="shared" si="15"/>
        <v>56228.6</v>
      </c>
      <c r="F432" s="4" t="s">
        <v>50</v>
      </c>
    </row>
    <row r="433" spans="1:6" ht="15" customHeight="1" x14ac:dyDescent="0.2">
      <c r="A433" s="14">
        <v>45955</v>
      </c>
      <c r="B433" s="4" t="s">
        <v>56</v>
      </c>
      <c r="C433" s="5">
        <v>29493</v>
      </c>
      <c r="D433" s="5">
        <f t="shared" si="14"/>
        <v>59060.857142857145</v>
      </c>
      <c r="E433" s="5">
        <f t="shared" si="15"/>
        <v>54937.433333333334</v>
      </c>
      <c r="F433" s="4" t="s">
        <v>57</v>
      </c>
    </row>
    <row r="434" spans="1:6" ht="15" customHeight="1" x14ac:dyDescent="0.2">
      <c r="A434" s="14">
        <v>45956</v>
      </c>
      <c r="B434" s="4" t="s">
        <v>59</v>
      </c>
      <c r="C434" s="5">
        <v>59511</v>
      </c>
      <c r="D434" s="5">
        <f t="shared" si="14"/>
        <v>58466.142857142855</v>
      </c>
      <c r="E434" s="5">
        <f t="shared" si="15"/>
        <v>55860.6</v>
      </c>
      <c r="F434" s="4" t="s">
        <v>57</v>
      </c>
    </row>
    <row r="435" spans="1:6" ht="15" customHeight="1" x14ac:dyDescent="0.2">
      <c r="A435" s="14">
        <v>45957</v>
      </c>
      <c r="B435" s="4" t="s">
        <v>55</v>
      </c>
      <c r="C435" s="5">
        <v>68958</v>
      </c>
      <c r="D435" s="5">
        <f t="shared" si="14"/>
        <v>58970.571428571428</v>
      </c>
      <c r="E435" s="5">
        <f t="shared" si="15"/>
        <v>57121.76666666667</v>
      </c>
      <c r="F435" s="4" t="s">
        <v>50</v>
      </c>
    </row>
    <row r="436" spans="1:6" ht="15" customHeight="1" x14ac:dyDescent="0.2">
      <c r="A436" s="14">
        <v>45958</v>
      </c>
      <c r="B436" s="4" t="s">
        <v>58</v>
      </c>
      <c r="C436" s="5">
        <v>70164</v>
      </c>
      <c r="D436" s="5">
        <f t="shared" si="14"/>
        <v>59242.142857142855</v>
      </c>
      <c r="E436" s="5">
        <f t="shared" si="15"/>
        <v>57622.1</v>
      </c>
      <c r="F436" s="4" t="s">
        <v>50</v>
      </c>
    </row>
    <row r="437" spans="1:6" ht="15" customHeight="1" x14ac:dyDescent="0.2">
      <c r="A437" s="14">
        <v>45959</v>
      </c>
      <c r="B437" s="4" t="s">
        <v>60</v>
      </c>
      <c r="C437" s="5">
        <v>76379</v>
      </c>
      <c r="D437" s="5">
        <f t="shared" si="14"/>
        <v>59075.714285714283</v>
      </c>
      <c r="E437" s="5">
        <f t="shared" si="15"/>
        <v>57997.933333333334</v>
      </c>
      <c r="F437" s="4" t="s">
        <v>50</v>
      </c>
    </row>
    <row r="438" spans="1:6" ht="15" customHeight="1" x14ac:dyDescent="0.2">
      <c r="A438" s="14">
        <v>45960</v>
      </c>
      <c r="B438" s="4" t="s">
        <v>49</v>
      </c>
      <c r="C438" s="5">
        <v>64414</v>
      </c>
      <c r="D438" s="5">
        <f t="shared" si="14"/>
        <v>58528</v>
      </c>
      <c r="E438" s="5">
        <f t="shared" si="15"/>
        <v>57948.3</v>
      </c>
      <c r="F438" s="4" t="s">
        <v>50</v>
      </c>
    </row>
    <row r="439" spans="1:6" ht="15" customHeight="1" x14ac:dyDescent="0.2">
      <c r="A439" s="14">
        <v>45961</v>
      </c>
      <c r="B439" s="4" t="s">
        <v>54</v>
      </c>
      <c r="C439" s="5">
        <v>37591</v>
      </c>
      <c r="D439" s="5">
        <f t="shared" si="14"/>
        <v>58072.857142857145</v>
      </c>
      <c r="E439" s="5">
        <f t="shared" si="15"/>
        <v>56912.3</v>
      </c>
      <c r="F439" s="4" t="s">
        <v>50</v>
      </c>
    </row>
    <row r="440" spans="1:6" ht="15" customHeight="1" x14ac:dyDescent="0.2">
      <c r="A440" s="14">
        <v>45962</v>
      </c>
      <c r="B440" s="4" t="s">
        <v>56</v>
      </c>
      <c r="C440" s="5">
        <v>28046</v>
      </c>
      <c r="D440" s="5">
        <f t="shared" si="14"/>
        <v>57866.142857142855</v>
      </c>
      <c r="E440" s="5">
        <f t="shared" si="15"/>
        <v>55743.633333333331</v>
      </c>
      <c r="F440" s="4" t="s">
        <v>57</v>
      </c>
    </row>
    <row r="441" spans="1:6" ht="15" customHeight="1" x14ac:dyDescent="0.2">
      <c r="A441" s="14">
        <v>45963</v>
      </c>
      <c r="B441" s="4" t="s">
        <v>59</v>
      </c>
      <c r="C441" s="5">
        <v>64190</v>
      </c>
      <c r="D441" s="5">
        <f t="shared" si="14"/>
        <v>58534.571428571428</v>
      </c>
      <c r="E441" s="5">
        <f t="shared" si="15"/>
        <v>56961.333333333336</v>
      </c>
      <c r="F441" s="4" t="s">
        <v>57</v>
      </c>
    </row>
    <row r="442" spans="1:6" ht="15" customHeight="1" x14ac:dyDescent="0.2">
      <c r="A442" s="14">
        <v>45964</v>
      </c>
      <c r="B442" s="4" t="s">
        <v>55</v>
      </c>
      <c r="C442" s="5">
        <v>65894</v>
      </c>
      <c r="D442" s="5">
        <f t="shared" si="14"/>
        <v>58096.857142857145</v>
      </c>
      <c r="E442" s="5">
        <f t="shared" si="15"/>
        <v>58147.833333333336</v>
      </c>
      <c r="F442" s="4" t="s">
        <v>50</v>
      </c>
    </row>
    <row r="443" spans="1:6" ht="15" customHeight="1" x14ac:dyDescent="0.2">
      <c r="A443" s="14">
        <v>45965</v>
      </c>
      <c r="B443" s="4" t="s">
        <v>58</v>
      </c>
      <c r="C443" s="5">
        <v>68921</v>
      </c>
      <c r="D443" s="5">
        <f t="shared" si="14"/>
        <v>57919.285714285717</v>
      </c>
      <c r="E443" s="5">
        <f t="shared" si="15"/>
        <v>58448.566666666666</v>
      </c>
      <c r="F443" s="4" t="s">
        <v>50</v>
      </c>
    </row>
    <row r="444" spans="1:6" ht="15" customHeight="1" x14ac:dyDescent="0.2">
      <c r="A444" s="14">
        <v>45966</v>
      </c>
      <c r="B444" s="4" t="s">
        <v>60</v>
      </c>
      <c r="C444" s="5">
        <v>63263</v>
      </c>
      <c r="D444" s="5">
        <f t="shared" si="14"/>
        <v>56045.571428571428</v>
      </c>
      <c r="E444" s="5">
        <f t="shared" si="15"/>
        <v>58429.866666666669</v>
      </c>
      <c r="F444" s="4" t="s">
        <v>50</v>
      </c>
    </row>
    <row r="445" spans="1:6" ht="15" customHeight="1" x14ac:dyDescent="0.2">
      <c r="A445" s="14">
        <v>45967</v>
      </c>
      <c r="B445" s="4" t="s">
        <v>49</v>
      </c>
      <c r="C445" s="5">
        <v>69626</v>
      </c>
      <c r="D445" s="5">
        <f t="shared" si="14"/>
        <v>56790.142857142855</v>
      </c>
      <c r="E445" s="5">
        <f t="shared" si="15"/>
        <v>58369.333333333336</v>
      </c>
      <c r="F445" s="4" t="s">
        <v>50</v>
      </c>
    </row>
    <row r="446" spans="1:6" ht="15" customHeight="1" x14ac:dyDescent="0.2">
      <c r="A446" s="14">
        <v>45968</v>
      </c>
      <c r="B446" s="4" t="s">
        <v>54</v>
      </c>
      <c r="C446" s="5">
        <v>59377</v>
      </c>
      <c r="D446" s="5">
        <f t="shared" si="14"/>
        <v>59902.428571428572</v>
      </c>
      <c r="E446" s="5">
        <f t="shared" si="15"/>
        <v>57905.966666666667</v>
      </c>
      <c r="F446" s="4" t="s">
        <v>50</v>
      </c>
    </row>
    <row r="447" spans="1:6" ht="15" customHeight="1" x14ac:dyDescent="0.2">
      <c r="A447" s="14">
        <v>45969</v>
      </c>
      <c r="B447" s="4" t="s">
        <v>56</v>
      </c>
      <c r="C447" s="5">
        <v>31024</v>
      </c>
      <c r="D447" s="5">
        <f t="shared" si="14"/>
        <v>60327.857142857145</v>
      </c>
      <c r="E447" s="5">
        <f t="shared" si="15"/>
        <v>56674.6</v>
      </c>
      <c r="F447" s="4" t="s">
        <v>57</v>
      </c>
    </row>
    <row r="448" spans="1:6" ht="15" customHeight="1" x14ac:dyDescent="0.2">
      <c r="A448" s="14">
        <v>45970</v>
      </c>
      <c r="B448" s="4" t="s">
        <v>59</v>
      </c>
      <c r="C448" s="5">
        <v>66344</v>
      </c>
      <c r="D448" s="5">
        <f t="shared" si="14"/>
        <v>60635.571428571428</v>
      </c>
      <c r="E448" s="5">
        <f t="shared" si="15"/>
        <v>57865.566666666666</v>
      </c>
      <c r="F448" s="4" t="s">
        <v>57</v>
      </c>
    </row>
    <row r="449" spans="1:6" ht="15" customHeight="1" x14ac:dyDescent="0.2">
      <c r="A449" s="14">
        <v>45971</v>
      </c>
      <c r="B449" s="4" t="s">
        <v>55</v>
      </c>
      <c r="C449" s="5">
        <v>64853</v>
      </c>
      <c r="D449" s="5">
        <f t="shared" si="14"/>
        <v>60486.857142857145</v>
      </c>
      <c r="E449" s="5">
        <f t="shared" si="15"/>
        <v>58981.833333333336</v>
      </c>
      <c r="F449" s="4" t="s">
        <v>50</v>
      </c>
    </row>
    <row r="450" spans="1:6" ht="15" customHeight="1" x14ac:dyDescent="0.2">
      <c r="A450" s="14">
        <v>45972</v>
      </c>
      <c r="B450" s="4" t="s">
        <v>58</v>
      </c>
      <c r="C450" s="5">
        <v>59778</v>
      </c>
      <c r="D450" s="5">
        <f t="shared" si="14"/>
        <v>59180.714285714283</v>
      </c>
      <c r="E450" s="5">
        <f t="shared" si="15"/>
        <v>58980.166666666664</v>
      </c>
      <c r="F450" s="4" t="s">
        <v>50</v>
      </c>
    </row>
    <row r="451" spans="1:6" ht="15" customHeight="1" x14ac:dyDescent="0.2">
      <c r="A451" s="14">
        <v>45973</v>
      </c>
      <c r="B451" s="4" t="s">
        <v>60</v>
      </c>
      <c r="C451" s="5">
        <v>56405</v>
      </c>
      <c r="D451" s="5">
        <f t="shared" si="14"/>
        <v>58201</v>
      </c>
      <c r="E451" s="5">
        <f t="shared" si="15"/>
        <v>58567.76666666667</v>
      </c>
      <c r="F451" s="4" t="s">
        <v>50</v>
      </c>
    </row>
    <row r="452" spans="1:6" ht="15" customHeight="1" x14ac:dyDescent="0.2">
      <c r="A452" s="14">
        <v>45974</v>
      </c>
      <c r="B452" s="4" t="s">
        <v>49</v>
      </c>
      <c r="C452" s="5">
        <v>67437</v>
      </c>
      <c r="D452" s="5">
        <f t="shared" si="14"/>
        <v>57888.285714285717</v>
      </c>
      <c r="E452" s="5">
        <f t="shared" si="15"/>
        <v>58503.3</v>
      </c>
      <c r="F452" s="4" t="s">
        <v>50</v>
      </c>
    </row>
    <row r="453" spans="1:6" ht="15" customHeight="1" x14ac:dyDescent="0.2">
      <c r="A453" s="14">
        <v>45975</v>
      </c>
      <c r="B453" s="4" t="s">
        <v>54</v>
      </c>
      <c r="C453" s="5">
        <v>58960</v>
      </c>
      <c r="D453" s="5">
        <f t="shared" si="14"/>
        <v>57828.714285714283</v>
      </c>
      <c r="E453" s="5">
        <f t="shared" si="15"/>
        <v>58221.5</v>
      </c>
      <c r="F453" s="4" t="s">
        <v>50</v>
      </c>
    </row>
    <row r="454" spans="1:6" ht="15" customHeight="1" x14ac:dyDescent="0.2">
      <c r="A454" s="14">
        <v>45976</v>
      </c>
      <c r="B454" s="4" t="s">
        <v>56</v>
      </c>
      <c r="C454" s="5">
        <v>32637</v>
      </c>
      <c r="D454" s="5">
        <f t="shared" si="14"/>
        <v>58059.142857142855</v>
      </c>
      <c r="E454" s="5">
        <f t="shared" si="15"/>
        <v>56760.633333333331</v>
      </c>
      <c r="F454" s="4" t="s">
        <v>57</v>
      </c>
    </row>
    <row r="455" spans="1:6" ht="15" customHeight="1" x14ac:dyDescent="0.2">
      <c r="A455" s="14">
        <v>45977</v>
      </c>
      <c r="B455" s="4" t="s">
        <v>59</v>
      </c>
      <c r="C455" s="5">
        <v>71703</v>
      </c>
      <c r="D455" s="5">
        <f t="shared" si="14"/>
        <v>58824.714285714283</v>
      </c>
      <c r="E455" s="5">
        <f t="shared" si="15"/>
        <v>58142.966666666667</v>
      </c>
      <c r="F455" s="4" t="s">
        <v>57</v>
      </c>
    </row>
    <row r="456" spans="1:6" ht="15" customHeight="1" x14ac:dyDescent="0.2">
      <c r="A456" s="14">
        <v>45978</v>
      </c>
      <c r="B456" s="4" t="s">
        <v>55</v>
      </c>
      <c r="C456" s="5">
        <v>72619</v>
      </c>
      <c r="D456" s="5">
        <f t="shared" si="14"/>
        <v>59934.142857142855</v>
      </c>
      <c r="E456" s="5">
        <f t="shared" si="15"/>
        <v>59717.333333333336</v>
      </c>
      <c r="F456" s="4" t="s">
        <v>50</v>
      </c>
    </row>
    <row r="457" spans="1:6" ht="15" customHeight="1" x14ac:dyDescent="0.2">
      <c r="A457" s="14">
        <v>45979</v>
      </c>
      <c r="B457" s="4" t="s">
        <v>58</v>
      </c>
      <c r="C457" s="5">
        <v>73305</v>
      </c>
      <c r="D457" s="5">
        <f t="shared" si="14"/>
        <v>61866.571428571428</v>
      </c>
      <c r="E457" s="5">
        <f t="shared" si="15"/>
        <v>60038.366666666669</v>
      </c>
      <c r="F457" s="4" t="s">
        <v>50</v>
      </c>
    </row>
    <row r="458" spans="1:6" ht="15" customHeight="1" x14ac:dyDescent="0.2">
      <c r="A458" s="14">
        <v>45980</v>
      </c>
      <c r="B458" s="4" t="s">
        <v>60</v>
      </c>
      <c r="C458" s="5">
        <v>72056</v>
      </c>
      <c r="D458" s="5">
        <f t="shared" ref="D458:D521" si="16">AVERAGE(C452:C458)</f>
        <v>64102.428571428572</v>
      </c>
      <c r="E458" s="5">
        <f t="shared" si="15"/>
        <v>60259.333333333336</v>
      </c>
      <c r="F458" s="4" t="s">
        <v>50</v>
      </c>
    </row>
    <row r="459" spans="1:6" ht="15" customHeight="1" x14ac:dyDescent="0.2">
      <c r="A459" s="14">
        <v>45981</v>
      </c>
      <c r="B459" s="4" t="s">
        <v>49</v>
      </c>
      <c r="C459" s="5">
        <v>65504</v>
      </c>
      <c r="D459" s="5">
        <f t="shared" si="16"/>
        <v>63826.285714285717</v>
      </c>
      <c r="E459" s="5">
        <f t="shared" si="15"/>
        <v>60167.366666666669</v>
      </c>
      <c r="F459" s="4" t="s">
        <v>50</v>
      </c>
    </row>
    <row r="460" spans="1:6" ht="15" customHeight="1" x14ac:dyDescent="0.2">
      <c r="A460" s="14">
        <v>45982</v>
      </c>
      <c r="B460" s="4" t="s">
        <v>54</v>
      </c>
      <c r="C460" s="5">
        <v>47149</v>
      </c>
      <c r="D460" s="5">
        <f t="shared" si="16"/>
        <v>62139</v>
      </c>
      <c r="E460" s="5">
        <f t="shared" si="15"/>
        <v>59154.2</v>
      </c>
      <c r="F460" s="4" t="s">
        <v>50</v>
      </c>
    </row>
    <row r="461" spans="1:6" ht="15" customHeight="1" x14ac:dyDescent="0.2">
      <c r="A461" s="14">
        <v>45983</v>
      </c>
      <c r="B461" s="4" t="s">
        <v>56</v>
      </c>
      <c r="C461" s="5">
        <v>29932</v>
      </c>
      <c r="D461" s="5">
        <f t="shared" si="16"/>
        <v>61752.571428571428</v>
      </c>
      <c r="E461" s="5">
        <f t="shared" si="15"/>
        <v>57877</v>
      </c>
      <c r="F461" s="4" t="s">
        <v>57</v>
      </c>
    </row>
    <row r="462" spans="1:6" ht="15" customHeight="1" x14ac:dyDescent="0.2">
      <c r="A462" s="14">
        <v>45984</v>
      </c>
      <c r="B462" s="4" t="s">
        <v>59</v>
      </c>
      <c r="C462" s="5">
        <v>56264</v>
      </c>
      <c r="D462" s="5">
        <f t="shared" si="16"/>
        <v>59547</v>
      </c>
      <c r="E462" s="5">
        <f t="shared" si="15"/>
        <v>58393.23333333333</v>
      </c>
      <c r="F462" s="4" t="s">
        <v>57</v>
      </c>
    </row>
    <row r="463" spans="1:6" ht="15" customHeight="1" x14ac:dyDescent="0.2">
      <c r="A463" s="14">
        <v>45985</v>
      </c>
      <c r="B463" s="4" t="s">
        <v>55</v>
      </c>
      <c r="C463" s="5">
        <v>63525</v>
      </c>
      <c r="D463" s="5">
        <f t="shared" si="16"/>
        <v>58247.857142857145</v>
      </c>
      <c r="E463" s="5">
        <f t="shared" si="15"/>
        <v>59527.633333333331</v>
      </c>
      <c r="F463" s="4" t="s">
        <v>50</v>
      </c>
    </row>
    <row r="464" spans="1:6" ht="15" customHeight="1" x14ac:dyDescent="0.2">
      <c r="A464" s="14">
        <v>45986</v>
      </c>
      <c r="B464" s="4" t="s">
        <v>58</v>
      </c>
      <c r="C464" s="5">
        <v>63968</v>
      </c>
      <c r="D464" s="5">
        <f t="shared" si="16"/>
        <v>56914</v>
      </c>
      <c r="E464" s="5">
        <f t="shared" si="15"/>
        <v>59676.2</v>
      </c>
      <c r="F464" s="4" t="s">
        <v>50</v>
      </c>
    </row>
    <row r="465" spans="1:6" ht="15" customHeight="1" x14ac:dyDescent="0.2">
      <c r="A465" s="14">
        <v>45987</v>
      </c>
      <c r="B465" s="4" t="s">
        <v>60</v>
      </c>
      <c r="C465" s="5">
        <v>66484</v>
      </c>
      <c r="D465" s="5">
        <f t="shared" si="16"/>
        <v>56118</v>
      </c>
      <c r="E465" s="5">
        <f t="shared" si="15"/>
        <v>59593.73333333333</v>
      </c>
      <c r="F465" s="4" t="s">
        <v>50</v>
      </c>
    </row>
    <row r="466" spans="1:6" ht="15" customHeight="1" x14ac:dyDescent="0.2">
      <c r="A466" s="14">
        <v>45988</v>
      </c>
      <c r="B466" s="4" t="s">
        <v>49</v>
      </c>
      <c r="C466" s="5">
        <v>42020</v>
      </c>
      <c r="D466" s="5">
        <f t="shared" si="16"/>
        <v>52763.142857142855</v>
      </c>
      <c r="E466" s="5">
        <f t="shared" si="15"/>
        <v>58655.6</v>
      </c>
      <c r="F466" s="4" t="s">
        <v>50</v>
      </c>
    </row>
    <row r="467" spans="1:6" ht="15" customHeight="1" x14ac:dyDescent="0.2">
      <c r="A467" s="14">
        <v>45989</v>
      </c>
      <c r="B467" s="4" t="s">
        <v>54</v>
      </c>
      <c r="C467" s="5">
        <v>18247</v>
      </c>
      <c r="D467" s="5">
        <f t="shared" si="16"/>
        <v>48634.285714285717</v>
      </c>
      <c r="E467" s="5">
        <f t="shared" si="15"/>
        <v>56717.866666666669</v>
      </c>
      <c r="F467" s="4" t="s">
        <v>50</v>
      </c>
    </row>
    <row r="468" spans="1:6" ht="15" customHeight="1" x14ac:dyDescent="0.2">
      <c r="A468" s="14">
        <v>45990</v>
      </c>
      <c r="B468" s="4" t="s">
        <v>56</v>
      </c>
      <c r="C468" s="5">
        <v>28868</v>
      </c>
      <c r="D468" s="5">
        <f t="shared" si="16"/>
        <v>48482.285714285717</v>
      </c>
      <c r="E468" s="5">
        <f t="shared" si="15"/>
        <v>55533</v>
      </c>
      <c r="F468" s="4" t="s">
        <v>57</v>
      </c>
    </row>
    <row r="469" spans="1:6" ht="15" customHeight="1" x14ac:dyDescent="0.2">
      <c r="A469" s="14">
        <v>45991</v>
      </c>
      <c r="B469" s="4" t="s">
        <v>59</v>
      </c>
      <c r="C469" s="5">
        <v>58130</v>
      </c>
      <c r="D469" s="5">
        <f t="shared" si="16"/>
        <v>48748.857142857145</v>
      </c>
      <c r="E469" s="5">
        <f t="shared" si="15"/>
        <v>56217.633333333331</v>
      </c>
      <c r="F469" s="4" t="s">
        <v>57</v>
      </c>
    </row>
    <row r="470" spans="1:6" ht="15" customHeight="1" x14ac:dyDescent="0.2">
      <c r="A470" s="14">
        <v>45992</v>
      </c>
      <c r="B470" s="4" t="s">
        <v>55</v>
      </c>
      <c r="C470" s="5">
        <v>57720</v>
      </c>
      <c r="D470" s="5">
        <f t="shared" si="16"/>
        <v>47919.571428571428</v>
      </c>
      <c r="E470" s="5">
        <f t="shared" si="15"/>
        <v>57206.76666666667</v>
      </c>
      <c r="F470" s="4" t="s">
        <v>50</v>
      </c>
    </row>
    <row r="471" spans="1:6" ht="15" customHeight="1" x14ac:dyDescent="0.2">
      <c r="A471" s="14">
        <v>45993</v>
      </c>
      <c r="B471" s="4" t="s">
        <v>58</v>
      </c>
      <c r="C471" s="5">
        <v>71381</v>
      </c>
      <c r="D471" s="5">
        <f t="shared" si="16"/>
        <v>48978.571428571428</v>
      </c>
      <c r="E471" s="5">
        <f t="shared" si="15"/>
        <v>57446.466666666667</v>
      </c>
      <c r="F471" s="4" t="s">
        <v>50</v>
      </c>
    </row>
    <row r="472" spans="1:6" ht="15" customHeight="1" x14ac:dyDescent="0.2">
      <c r="A472" s="14">
        <v>45994</v>
      </c>
      <c r="B472" s="4" t="s">
        <v>60</v>
      </c>
      <c r="C472" s="5">
        <v>73857</v>
      </c>
      <c r="D472" s="5">
        <f t="shared" si="16"/>
        <v>50031.857142857145</v>
      </c>
      <c r="E472" s="5">
        <f t="shared" si="15"/>
        <v>57711.9</v>
      </c>
      <c r="F472" s="4" t="s">
        <v>50</v>
      </c>
    </row>
    <row r="473" spans="1:6" ht="15" customHeight="1" x14ac:dyDescent="0.2">
      <c r="A473" s="14">
        <v>45995</v>
      </c>
      <c r="B473" s="4" t="s">
        <v>49</v>
      </c>
      <c r="C473" s="5">
        <v>76912</v>
      </c>
      <c r="D473" s="5">
        <f t="shared" si="16"/>
        <v>55016.428571428572</v>
      </c>
      <c r="E473" s="5">
        <f t="shared" si="15"/>
        <v>57978.26666666667</v>
      </c>
      <c r="F473" s="4" t="s">
        <v>50</v>
      </c>
    </row>
    <row r="474" spans="1:6" ht="15" customHeight="1" x14ac:dyDescent="0.2">
      <c r="A474" s="14">
        <v>45996</v>
      </c>
      <c r="B474" s="4" t="s">
        <v>54</v>
      </c>
      <c r="C474" s="5">
        <v>37654</v>
      </c>
      <c r="D474" s="5">
        <f t="shared" si="16"/>
        <v>57788.857142857145</v>
      </c>
      <c r="E474" s="5">
        <f t="shared" si="15"/>
        <v>57124.633333333331</v>
      </c>
      <c r="F474" s="4" t="s">
        <v>50</v>
      </c>
    </row>
    <row r="475" spans="1:6" ht="15" customHeight="1" x14ac:dyDescent="0.2">
      <c r="A475" s="14">
        <v>45997</v>
      </c>
      <c r="B475" s="4" t="s">
        <v>56</v>
      </c>
      <c r="C475" s="5">
        <v>27990</v>
      </c>
      <c r="D475" s="5">
        <f t="shared" si="16"/>
        <v>57663.428571428572</v>
      </c>
      <c r="E475" s="5">
        <f t="shared" si="15"/>
        <v>55736.76666666667</v>
      </c>
      <c r="F475" s="4" t="s">
        <v>57</v>
      </c>
    </row>
    <row r="476" spans="1:6" ht="15" customHeight="1" x14ac:dyDescent="0.2">
      <c r="A476" s="14">
        <v>45998</v>
      </c>
      <c r="B476" s="4" t="s">
        <v>59</v>
      </c>
      <c r="C476" s="5">
        <v>64043</v>
      </c>
      <c r="D476" s="5">
        <f t="shared" si="16"/>
        <v>58508.142857142855</v>
      </c>
      <c r="E476" s="5">
        <f t="shared" si="15"/>
        <v>55892.3</v>
      </c>
      <c r="F476" s="4" t="s">
        <v>57</v>
      </c>
    </row>
    <row r="477" spans="1:6" ht="15" customHeight="1" x14ac:dyDescent="0.2">
      <c r="A477" s="14">
        <v>45999</v>
      </c>
      <c r="B477" s="4" t="s">
        <v>55</v>
      </c>
      <c r="C477" s="5">
        <v>78333</v>
      </c>
      <c r="D477" s="5">
        <f t="shared" si="16"/>
        <v>61452.857142857145</v>
      </c>
      <c r="E477" s="5">
        <f t="shared" si="15"/>
        <v>57469.26666666667</v>
      </c>
      <c r="F477" s="4" t="s">
        <v>50</v>
      </c>
    </row>
    <row r="478" spans="1:6" ht="15" customHeight="1" x14ac:dyDescent="0.2">
      <c r="A478" s="14">
        <v>46000</v>
      </c>
      <c r="B478" s="4" t="s">
        <v>58</v>
      </c>
      <c r="C478" s="5">
        <v>77882</v>
      </c>
      <c r="D478" s="5">
        <f t="shared" si="16"/>
        <v>62381.571428571428</v>
      </c>
      <c r="E478" s="5">
        <f t="shared" si="15"/>
        <v>57853.866666666669</v>
      </c>
      <c r="F478" s="4" t="s">
        <v>50</v>
      </c>
    </row>
    <row r="479" spans="1:6" ht="15" customHeight="1" x14ac:dyDescent="0.2">
      <c r="A479" s="14">
        <v>46001</v>
      </c>
      <c r="B479" s="4" t="s">
        <v>60</v>
      </c>
      <c r="C479" s="5">
        <v>72595</v>
      </c>
      <c r="D479" s="5">
        <f t="shared" si="16"/>
        <v>62201.285714285717</v>
      </c>
      <c r="E479" s="5">
        <f t="shared" si="15"/>
        <v>58111.933333333334</v>
      </c>
      <c r="F479" s="4" t="s">
        <v>50</v>
      </c>
    </row>
    <row r="480" spans="1:6" ht="15" customHeight="1" x14ac:dyDescent="0.2">
      <c r="A480" s="14">
        <v>46002</v>
      </c>
      <c r="B480" s="4" t="s">
        <v>49</v>
      </c>
      <c r="C480" s="5">
        <v>71837</v>
      </c>
      <c r="D480" s="5">
        <f t="shared" si="16"/>
        <v>61476.285714285717</v>
      </c>
      <c r="E480" s="5">
        <f t="shared" si="15"/>
        <v>58513.9</v>
      </c>
      <c r="F480" s="4" t="s">
        <v>50</v>
      </c>
    </row>
    <row r="481" spans="1:6" ht="15" customHeight="1" x14ac:dyDescent="0.2">
      <c r="A481" s="14">
        <v>46003</v>
      </c>
      <c r="B481" s="4" t="s">
        <v>54</v>
      </c>
      <c r="C481" s="5">
        <v>37342</v>
      </c>
      <c r="D481" s="5">
        <f t="shared" si="16"/>
        <v>61431.714285714283</v>
      </c>
      <c r="E481" s="5">
        <f t="shared" ref="E481:E544" si="17">AVERAGE(C452:C481)</f>
        <v>57878.466666666667</v>
      </c>
      <c r="F481" s="4" t="s">
        <v>50</v>
      </c>
    </row>
    <row r="482" spans="1:6" ht="15" customHeight="1" x14ac:dyDescent="0.2">
      <c r="A482" s="14">
        <v>46004</v>
      </c>
      <c r="B482" s="4" t="s">
        <v>56</v>
      </c>
      <c r="C482" s="5">
        <v>26928</v>
      </c>
      <c r="D482" s="5">
        <f t="shared" si="16"/>
        <v>61280</v>
      </c>
      <c r="E482" s="5">
        <f t="shared" si="17"/>
        <v>56528.166666666664</v>
      </c>
      <c r="F482" s="4" t="s">
        <v>57</v>
      </c>
    </row>
    <row r="483" spans="1:6" ht="15" customHeight="1" x14ac:dyDescent="0.2">
      <c r="A483" s="14">
        <v>46005</v>
      </c>
      <c r="B483" s="4" t="s">
        <v>59</v>
      </c>
      <c r="C483" s="5">
        <v>70183</v>
      </c>
      <c r="D483" s="5">
        <f t="shared" si="16"/>
        <v>62157.142857142855</v>
      </c>
      <c r="E483" s="5">
        <f t="shared" si="17"/>
        <v>56902.26666666667</v>
      </c>
      <c r="F483" s="4" t="s">
        <v>57</v>
      </c>
    </row>
    <row r="484" spans="1:6" ht="15" customHeight="1" x14ac:dyDescent="0.2">
      <c r="A484" s="14">
        <v>46006</v>
      </c>
      <c r="B484" s="4" t="s">
        <v>55</v>
      </c>
      <c r="C484" s="5">
        <v>70557</v>
      </c>
      <c r="D484" s="5">
        <f t="shared" si="16"/>
        <v>61046.285714285717</v>
      </c>
      <c r="E484" s="5">
        <f t="shared" si="17"/>
        <v>58166.26666666667</v>
      </c>
      <c r="F484" s="4" t="s">
        <v>50</v>
      </c>
    </row>
    <row r="485" spans="1:6" ht="15" customHeight="1" x14ac:dyDescent="0.2">
      <c r="A485" s="14">
        <v>46007</v>
      </c>
      <c r="B485" s="4" t="s">
        <v>58</v>
      </c>
      <c r="C485" s="5">
        <v>73993</v>
      </c>
      <c r="D485" s="5">
        <f t="shared" si="16"/>
        <v>60490.714285714283</v>
      </c>
      <c r="E485" s="5">
        <f t="shared" si="17"/>
        <v>58242.6</v>
      </c>
      <c r="F485" s="4" t="s">
        <v>50</v>
      </c>
    </row>
    <row r="486" spans="1:6" ht="15" customHeight="1" x14ac:dyDescent="0.2">
      <c r="A486" s="14">
        <v>46008</v>
      </c>
      <c r="B486" s="4" t="s">
        <v>60</v>
      </c>
      <c r="C486" s="5">
        <v>74220</v>
      </c>
      <c r="D486" s="5">
        <f t="shared" si="16"/>
        <v>60722.857142857145</v>
      </c>
      <c r="E486" s="5">
        <f t="shared" si="17"/>
        <v>58295.966666666667</v>
      </c>
      <c r="F486" s="4" t="s">
        <v>50</v>
      </c>
    </row>
    <row r="487" spans="1:6" ht="15" customHeight="1" x14ac:dyDescent="0.2">
      <c r="A487" s="14">
        <v>46009</v>
      </c>
      <c r="B487" s="4" t="s">
        <v>49</v>
      </c>
      <c r="C487" s="5">
        <v>76819</v>
      </c>
      <c r="D487" s="5">
        <f t="shared" si="16"/>
        <v>61434.571428571428</v>
      </c>
      <c r="E487" s="5">
        <f t="shared" si="17"/>
        <v>58413.1</v>
      </c>
      <c r="F487" s="4" t="s">
        <v>50</v>
      </c>
    </row>
    <row r="488" spans="1:6" ht="15" customHeight="1" x14ac:dyDescent="0.2">
      <c r="A488" s="14">
        <v>46010</v>
      </c>
      <c r="B488" s="4" t="s">
        <v>54</v>
      </c>
      <c r="C488" s="5">
        <v>31186</v>
      </c>
      <c r="D488" s="5">
        <f t="shared" si="16"/>
        <v>60555.142857142855</v>
      </c>
      <c r="E488" s="5">
        <f t="shared" si="17"/>
        <v>57050.76666666667</v>
      </c>
      <c r="F488" s="4" t="s">
        <v>50</v>
      </c>
    </row>
    <row r="489" spans="1:6" ht="15" customHeight="1" x14ac:dyDescent="0.2">
      <c r="A489" s="14">
        <v>46011</v>
      </c>
      <c r="B489" s="4" t="s">
        <v>56</v>
      </c>
      <c r="C489" s="5">
        <v>32886</v>
      </c>
      <c r="D489" s="5">
        <f t="shared" si="16"/>
        <v>61406.285714285717</v>
      </c>
      <c r="E489" s="5">
        <f t="shared" si="17"/>
        <v>55963.5</v>
      </c>
      <c r="F489" s="4" t="s">
        <v>57</v>
      </c>
    </row>
    <row r="490" spans="1:6" ht="15" customHeight="1" x14ac:dyDescent="0.2">
      <c r="A490" s="14">
        <v>46012</v>
      </c>
      <c r="B490" s="4" t="s">
        <v>59</v>
      </c>
      <c r="C490" s="5">
        <v>61629</v>
      </c>
      <c r="D490" s="5">
        <f t="shared" si="16"/>
        <v>60184.285714285717</v>
      </c>
      <c r="E490" s="5">
        <f t="shared" si="17"/>
        <v>56446.166666666664</v>
      </c>
      <c r="F490" s="4" t="s">
        <v>57</v>
      </c>
    </row>
    <row r="491" spans="1:6" ht="15" customHeight="1" x14ac:dyDescent="0.2">
      <c r="A491" s="14">
        <v>46013</v>
      </c>
      <c r="B491" s="4" t="s">
        <v>55</v>
      </c>
      <c r="C491" s="5">
        <v>68192</v>
      </c>
      <c r="D491" s="5">
        <f t="shared" si="16"/>
        <v>59846.428571428572</v>
      </c>
      <c r="E491" s="5">
        <f t="shared" si="17"/>
        <v>57721.5</v>
      </c>
      <c r="F491" s="4" t="s">
        <v>50</v>
      </c>
    </row>
    <row r="492" spans="1:6" ht="15" customHeight="1" x14ac:dyDescent="0.2">
      <c r="A492" s="14">
        <v>46014</v>
      </c>
      <c r="B492" s="4" t="s">
        <v>58</v>
      </c>
      <c r="C492" s="5">
        <v>67726</v>
      </c>
      <c r="D492" s="5">
        <f t="shared" si="16"/>
        <v>58951.142857142855</v>
      </c>
      <c r="E492" s="5">
        <f t="shared" si="17"/>
        <v>58103.566666666666</v>
      </c>
      <c r="F492" s="4" t="s">
        <v>50</v>
      </c>
    </row>
    <row r="493" spans="1:6" ht="15" customHeight="1" x14ac:dyDescent="0.2">
      <c r="A493" s="14">
        <v>46015</v>
      </c>
      <c r="B493" s="4" t="s">
        <v>60</v>
      </c>
      <c r="C493" s="5">
        <v>34493</v>
      </c>
      <c r="D493" s="5">
        <f t="shared" si="16"/>
        <v>53275.857142857145</v>
      </c>
      <c r="E493" s="5">
        <f t="shared" si="17"/>
        <v>57135.833333333336</v>
      </c>
      <c r="F493" s="4" t="s">
        <v>50</v>
      </c>
    </row>
    <row r="494" spans="1:6" ht="15" customHeight="1" x14ac:dyDescent="0.2">
      <c r="A494" s="14">
        <v>46016</v>
      </c>
      <c r="B494" s="4" t="s">
        <v>49</v>
      </c>
      <c r="C494" s="5">
        <v>34937</v>
      </c>
      <c r="D494" s="5">
        <f t="shared" si="16"/>
        <v>47292.714285714283</v>
      </c>
      <c r="E494" s="5">
        <f t="shared" si="17"/>
        <v>56168.133333333331</v>
      </c>
      <c r="F494" s="4" t="s">
        <v>50</v>
      </c>
    </row>
    <row r="495" spans="1:6" ht="15" customHeight="1" x14ac:dyDescent="0.2">
      <c r="A495" s="14">
        <v>46017</v>
      </c>
      <c r="B495" s="4" t="s">
        <v>54</v>
      </c>
      <c r="C495" s="5">
        <v>27962</v>
      </c>
      <c r="D495" s="5">
        <f t="shared" si="16"/>
        <v>46832.142857142855</v>
      </c>
      <c r="E495" s="5">
        <f t="shared" si="17"/>
        <v>54884.066666666666</v>
      </c>
      <c r="F495" s="4" t="s">
        <v>50</v>
      </c>
    </row>
    <row r="496" spans="1:6" ht="15" customHeight="1" x14ac:dyDescent="0.2">
      <c r="A496" s="14">
        <v>46018</v>
      </c>
      <c r="B496" s="4" t="s">
        <v>56</v>
      </c>
      <c r="C496" s="5">
        <v>31815</v>
      </c>
      <c r="D496" s="5">
        <f t="shared" si="16"/>
        <v>46679.142857142855</v>
      </c>
      <c r="E496" s="5">
        <f t="shared" si="17"/>
        <v>54543.9</v>
      </c>
      <c r="F496" s="4" t="s">
        <v>57</v>
      </c>
    </row>
    <row r="497" spans="1:6" ht="15" customHeight="1" x14ac:dyDescent="0.2">
      <c r="A497" s="14">
        <v>46019</v>
      </c>
      <c r="B497" s="4" t="s">
        <v>59</v>
      </c>
      <c r="C497" s="5">
        <v>71077</v>
      </c>
      <c r="D497" s="5">
        <f t="shared" si="16"/>
        <v>48028.857142857145</v>
      </c>
      <c r="E497" s="5">
        <f t="shared" si="17"/>
        <v>56304.9</v>
      </c>
      <c r="F497" s="4" t="s">
        <v>57</v>
      </c>
    </row>
    <row r="498" spans="1:6" ht="15" customHeight="1" x14ac:dyDescent="0.2">
      <c r="A498" s="14">
        <v>46020</v>
      </c>
      <c r="B498" s="4" t="s">
        <v>55</v>
      </c>
      <c r="C498" s="5">
        <v>65790</v>
      </c>
      <c r="D498" s="5">
        <f t="shared" si="16"/>
        <v>47685.714285714283</v>
      </c>
      <c r="E498" s="5">
        <f t="shared" si="17"/>
        <v>57535.633333333331</v>
      </c>
      <c r="F498" s="4" t="s">
        <v>50</v>
      </c>
    </row>
    <row r="499" spans="1:6" ht="15" customHeight="1" x14ac:dyDescent="0.2">
      <c r="A499" s="14">
        <v>46021</v>
      </c>
      <c r="B499" s="4" t="s">
        <v>58</v>
      </c>
      <c r="C499" s="5">
        <v>72383</v>
      </c>
      <c r="D499" s="5">
        <f t="shared" si="16"/>
        <v>48351</v>
      </c>
      <c r="E499" s="5">
        <f t="shared" si="17"/>
        <v>58010.73333333333</v>
      </c>
      <c r="F499" s="4" t="s">
        <v>50</v>
      </c>
    </row>
    <row r="500" spans="1:6" ht="15" customHeight="1" x14ac:dyDescent="0.2">
      <c r="A500" s="14">
        <v>46022</v>
      </c>
      <c r="B500" s="4" t="s">
        <v>60</v>
      </c>
      <c r="C500" s="5">
        <v>33118</v>
      </c>
      <c r="D500" s="5">
        <f t="shared" si="16"/>
        <v>48154.571428571428</v>
      </c>
      <c r="E500" s="5">
        <f t="shared" si="17"/>
        <v>57190.666666666664</v>
      </c>
      <c r="F500" s="4" t="s">
        <v>50</v>
      </c>
    </row>
    <row r="501" spans="1:6" ht="15" customHeight="1" x14ac:dyDescent="0.2">
      <c r="A501" s="14">
        <v>46023</v>
      </c>
      <c r="B501" s="4" t="s">
        <v>49</v>
      </c>
      <c r="C501" s="5">
        <v>37015</v>
      </c>
      <c r="D501" s="5">
        <f t="shared" si="16"/>
        <v>48451.428571428572</v>
      </c>
      <c r="E501" s="5">
        <f t="shared" si="17"/>
        <v>56045.133333333331</v>
      </c>
      <c r="F501" s="4" t="s">
        <v>50</v>
      </c>
    </row>
    <row r="502" spans="1:6" ht="15" customHeight="1" x14ac:dyDescent="0.2">
      <c r="A502" s="14">
        <v>46024</v>
      </c>
      <c r="B502" s="4" t="s">
        <v>54</v>
      </c>
      <c r="C502" s="5">
        <v>42507</v>
      </c>
      <c r="D502" s="5">
        <f t="shared" si="16"/>
        <v>50529.285714285717</v>
      </c>
      <c r="E502" s="5">
        <f t="shared" si="17"/>
        <v>55000.133333333331</v>
      </c>
      <c r="F502" s="4" t="s">
        <v>50</v>
      </c>
    </row>
    <row r="503" spans="1:6" ht="15" customHeight="1" x14ac:dyDescent="0.2">
      <c r="A503" s="14">
        <v>46025</v>
      </c>
      <c r="B503" s="4" t="s">
        <v>56</v>
      </c>
      <c r="C503" s="5">
        <v>28874</v>
      </c>
      <c r="D503" s="5">
        <f t="shared" si="16"/>
        <v>50109.142857142855</v>
      </c>
      <c r="E503" s="5">
        <f t="shared" si="17"/>
        <v>53398.866666666669</v>
      </c>
      <c r="F503" s="4" t="s">
        <v>57</v>
      </c>
    </row>
    <row r="504" spans="1:6" ht="15" customHeight="1" x14ac:dyDescent="0.2">
      <c r="A504" s="14">
        <v>46026</v>
      </c>
      <c r="B504" s="4" t="s">
        <v>59</v>
      </c>
      <c r="C504" s="5">
        <v>67069</v>
      </c>
      <c r="D504" s="5">
        <f t="shared" si="16"/>
        <v>49536.571428571428</v>
      </c>
      <c r="E504" s="5">
        <f t="shared" si="17"/>
        <v>54379.366666666669</v>
      </c>
      <c r="F504" s="4" t="s">
        <v>57</v>
      </c>
    </row>
    <row r="505" spans="1:6" ht="15" customHeight="1" x14ac:dyDescent="0.2">
      <c r="A505" s="14">
        <v>46027</v>
      </c>
      <c r="B505" s="4" t="s">
        <v>55</v>
      </c>
      <c r="C505" s="5">
        <v>77350</v>
      </c>
      <c r="D505" s="5">
        <f t="shared" si="16"/>
        <v>51188</v>
      </c>
      <c r="E505" s="5">
        <f t="shared" si="17"/>
        <v>56024.7</v>
      </c>
      <c r="F505" s="4" t="s">
        <v>50</v>
      </c>
    </row>
    <row r="506" spans="1:6" ht="15" customHeight="1" x14ac:dyDescent="0.2">
      <c r="A506" s="14">
        <v>46028</v>
      </c>
      <c r="B506" s="4" t="s">
        <v>58</v>
      </c>
      <c r="C506" s="5">
        <v>79484</v>
      </c>
      <c r="D506" s="5">
        <f t="shared" si="16"/>
        <v>52202.428571428572</v>
      </c>
      <c r="E506" s="5">
        <f t="shared" si="17"/>
        <v>56539.4</v>
      </c>
      <c r="F506" s="4" t="s">
        <v>50</v>
      </c>
    </row>
    <row r="507" spans="1:6" ht="15" customHeight="1" x14ac:dyDescent="0.2">
      <c r="A507" s="14">
        <v>46029</v>
      </c>
      <c r="B507" s="4" t="s">
        <v>60</v>
      </c>
      <c r="C507" s="5">
        <v>78536</v>
      </c>
      <c r="D507" s="5">
        <f t="shared" si="16"/>
        <v>58690.714285714283</v>
      </c>
      <c r="E507" s="5">
        <f t="shared" si="17"/>
        <v>56546.166666666664</v>
      </c>
      <c r="F507" s="4" t="s">
        <v>50</v>
      </c>
    </row>
    <row r="508" spans="1:6" ht="15" customHeight="1" x14ac:dyDescent="0.2">
      <c r="A508" s="14">
        <v>46030</v>
      </c>
      <c r="B508" s="4" t="s">
        <v>49</v>
      </c>
      <c r="C508" s="5">
        <v>75586</v>
      </c>
      <c r="D508" s="5">
        <f t="shared" si="16"/>
        <v>64200.857142857145</v>
      </c>
      <c r="E508" s="5">
        <f t="shared" si="17"/>
        <v>56469.633333333331</v>
      </c>
      <c r="F508" s="4" t="s">
        <v>50</v>
      </c>
    </row>
    <row r="509" spans="1:6" ht="15" customHeight="1" x14ac:dyDescent="0.2">
      <c r="A509" s="14">
        <v>46031</v>
      </c>
      <c r="B509" s="4" t="s">
        <v>54</v>
      </c>
      <c r="C509" s="5">
        <v>50607</v>
      </c>
      <c r="D509" s="5">
        <f t="shared" si="16"/>
        <v>65358</v>
      </c>
      <c r="E509" s="5">
        <f t="shared" si="17"/>
        <v>55736.7</v>
      </c>
      <c r="F509" s="4" t="s">
        <v>50</v>
      </c>
    </row>
    <row r="510" spans="1:6" ht="15" customHeight="1" x14ac:dyDescent="0.2">
      <c r="A510" s="14">
        <v>46032</v>
      </c>
      <c r="B510" s="4" t="s">
        <v>56</v>
      </c>
      <c r="C510" s="5">
        <v>25103</v>
      </c>
      <c r="D510" s="5">
        <f t="shared" si="16"/>
        <v>64819.285714285717</v>
      </c>
      <c r="E510" s="5">
        <f t="shared" si="17"/>
        <v>54178.9</v>
      </c>
      <c r="F510" s="4" t="s">
        <v>57</v>
      </c>
    </row>
    <row r="511" spans="1:6" ht="15" customHeight="1" x14ac:dyDescent="0.2">
      <c r="A511" s="14">
        <v>46033</v>
      </c>
      <c r="B511" s="4" t="s">
        <v>59</v>
      </c>
      <c r="C511" s="5">
        <v>67585</v>
      </c>
      <c r="D511" s="5">
        <f t="shared" si="16"/>
        <v>64893</v>
      </c>
      <c r="E511" s="5">
        <f t="shared" si="17"/>
        <v>55187</v>
      </c>
      <c r="F511" s="4" t="s">
        <v>57</v>
      </c>
    </row>
    <row r="512" spans="1:6" ht="15" customHeight="1" x14ac:dyDescent="0.2">
      <c r="A512" s="14">
        <v>46034</v>
      </c>
      <c r="B512" s="4" t="s">
        <v>55</v>
      </c>
      <c r="C512" s="5">
        <v>67282</v>
      </c>
      <c r="D512" s="5">
        <f t="shared" si="16"/>
        <v>63454.714285714283</v>
      </c>
      <c r="E512" s="5">
        <f t="shared" si="17"/>
        <v>56532.133333333331</v>
      </c>
      <c r="F512" s="4" t="s">
        <v>50</v>
      </c>
    </row>
    <row r="513" spans="1:6" ht="15" customHeight="1" x14ac:dyDescent="0.2">
      <c r="A513" s="14">
        <v>46035</v>
      </c>
      <c r="B513" s="4" t="s">
        <v>58</v>
      </c>
      <c r="C513" s="5">
        <v>77192</v>
      </c>
      <c r="D513" s="5">
        <f t="shared" si="16"/>
        <v>63127.285714285717</v>
      </c>
      <c r="E513" s="5">
        <f t="shared" si="17"/>
        <v>56765.76666666667</v>
      </c>
      <c r="F513" s="4" t="s">
        <v>50</v>
      </c>
    </row>
    <row r="514" spans="1:6" ht="15" customHeight="1" x14ac:dyDescent="0.2">
      <c r="A514" s="14">
        <v>46036</v>
      </c>
      <c r="B514" s="4" t="s">
        <v>60</v>
      </c>
      <c r="C514" s="5">
        <v>71509</v>
      </c>
      <c r="D514" s="5">
        <f t="shared" si="16"/>
        <v>62123.428571428572</v>
      </c>
      <c r="E514" s="5">
        <f t="shared" si="17"/>
        <v>56797.5</v>
      </c>
      <c r="F514" s="4" t="s">
        <v>50</v>
      </c>
    </row>
    <row r="515" spans="1:6" ht="15" customHeight="1" x14ac:dyDescent="0.2">
      <c r="A515" s="14">
        <v>46037</v>
      </c>
      <c r="B515" s="4" t="s">
        <v>49</v>
      </c>
      <c r="C515" s="5">
        <v>73171</v>
      </c>
      <c r="D515" s="5">
        <f t="shared" si="16"/>
        <v>61778.428571428572</v>
      </c>
      <c r="E515" s="5">
        <f t="shared" si="17"/>
        <v>56770.1</v>
      </c>
      <c r="F515" s="4" t="s">
        <v>50</v>
      </c>
    </row>
    <row r="516" spans="1:6" ht="15" customHeight="1" x14ac:dyDescent="0.2">
      <c r="A516" s="14">
        <v>46038</v>
      </c>
      <c r="B516" s="4" t="s">
        <v>54</v>
      </c>
      <c r="C516" s="5">
        <v>36542</v>
      </c>
      <c r="D516" s="5">
        <f t="shared" si="16"/>
        <v>59769.142857142855</v>
      </c>
      <c r="E516" s="5">
        <f t="shared" si="17"/>
        <v>55514.166666666664</v>
      </c>
      <c r="F516" s="4" t="s">
        <v>50</v>
      </c>
    </row>
    <row r="517" spans="1:6" ht="15" customHeight="1" x14ac:dyDescent="0.2">
      <c r="A517" s="14">
        <v>46039</v>
      </c>
      <c r="B517" s="4" t="s">
        <v>56</v>
      </c>
      <c r="C517" s="5">
        <v>34056</v>
      </c>
      <c r="D517" s="5">
        <f t="shared" si="16"/>
        <v>61048.142857142855</v>
      </c>
      <c r="E517" s="5">
        <f t="shared" si="17"/>
        <v>54088.73333333333</v>
      </c>
      <c r="F517" s="4" t="s">
        <v>57</v>
      </c>
    </row>
    <row r="518" spans="1:6" ht="15" customHeight="1" x14ac:dyDescent="0.2">
      <c r="A518" s="14">
        <v>46040</v>
      </c>
      <c r="B518" s="4" t="s">
        <v>59</v>
      </c>
      <c r="C518" s="5">
        <v>65670</v>
      </c>
      <c r="D518" s="5">
        <f t="shared" si="16"/>
        <v>60774.571428571428</v>
      </c>
      <c r="E518" s="5">
        <f t="shared" si="17"/>
        <v>55238.2</v>
      </c>
      <c r="F518" s="4" t="s">
        <v>57</v>
      </c>
    </row>
    <row r="519" spans="1:6" ht="15" customHeight="1" x14ac:dyDescent="0.2">
      <c r="A519" s="14">
        <v>46041</v>
      </c>
      <c r="B519" s="4" t="s">
        <v>55</v>
      </c>
      <c r="C519" s="5">
        <v>69985</v>
      </c>
      <c r="D519" s="5">
        <f t="shared" si="16"/>
        <v>61160.714285714283</v>
      </c>
      <c r="E519" s="5">
        <f t="shared" si="17"/>
        <v>56474.833333333336</v>
      </c>
      <c r="F519" s="4" t="s">
        <v>50</v>
      </c>
    </row>
    <row r="520" spans="1:6" ht="15" customHeight="1" x14ac:dyDescent="0.2">
      <c r="A520" s="14">
        <v>46042</v>
      </c>
      <c r="B520" s="4" t="s">
        <v>58</v>
      </c>
      <c r="C520" s="5">
        <v>74652</v>
      </c>
      <c r="D520" s="5">
        <f t="shared" si="16"/>
        <v>60797.857142857145</v>
      </c>
      <c r="E520" s="5">
        <f t="shared" si="17"/>
        <v>56908.933333333334</v>
      </c>
      <c r="F520" s="4" t="s">
        <v>50</v>
      </c>
    </row>
    <row r="521" spans="1:6" ht="15" customHeight="1" x14ac:dyDescent="0.2">
      <c r="A521" s="14">
        <v>46043</v>
      </c>
      <c r="B521" s="4" t="s">
        <v>60</v>
      </c>
      <c r="C521" s="5">
        <v>68766</v>
      </c>
      <c r="D521" s="5">
        <f t="shared" si="16"/>
        <v>60406</v>
      </c>
      <c r="E521" s="5">
        <f t="shared" si="17"/>
        <v>56928.066666666666</v>
      </c>
      <c r="F521" s="4" t="s">
        <v>50</v>
      </c>
    </row>
    <row r="522" spans="1:6" ht="15" customHeight="1" x14ac:dyDescent="0.2">
      <c r="A522" s="14">
        <v>46044</v>
      </c>
      <c r="B522" s="4" t="s">
        <v>49</v>
      </c>
      <c r="C522" s="5">
        <v>71955</v>
      </c>
      <c r="D522" s="5">
        <f t="shared" ref="D522:D585" si="18">AVERAGE(C516:C522)</f>
        <v>60232.285714285717</v>
      </c>
      <c r="E522" s="5">
        <f t="shared" si="17"/>
        <v>57069.033333333333</v>
      </c>
      <c r="F522" s="4" t="s">
        <v>50</v>
      </c>
    </row>
    <row r="523" spans="1:6" ht="15" customHeight="1" x14ac:dyDescent="0.2">
      <c r="A523" s="14">
        <v>46045</v>
      </c>
      <c r="B523" s="4" t="s">
        <v>54</v>
      </c>
      <c r="C523" s="5">
        <v>34038</v>
      </c>
      <c r="D523" s="5">
        <f t="shared" si="18"/>
        <v>59874.571428571428</v>
      </c>
      <c r="E523" s="5">
        <f t="shared" si="17"/>
        <v>57053.866666666669</v>
      </c>
      <c r="F523" s="4" t="s">
        <v>50</v>
      </c>
    </row>
    <row r="524" spans="1:6" ht="15" customHeight="1" x14ac:dyDescent="0.2">
      <c r="A524" s="14">
        <v>46046</v>
      </c>
      <c r="B524" s="4" t="s">
        <v>56</v>
      </c>
      <c r="C524" s="5">
        <v>30881</v>
      </c>
      <c r="D524" s="5">
        <f t="shared" si="18"/>
        <v>59421</v>
      </c>
      <c r="E524" s="5">
        <f t="shared" si="17"/>
        <v>56918.666666666664</v>
      </c>
      <c r="F524" s="4" t="s">
        <v>57</v>
      </c>
    </row>
    <row r="525" spans="1:6" ht="15" customHeight="1" x14ac:dyDescent="0.2">
      <c r="A525" s="14">
        <v>46047</v>
      </c>
      <c r="B525" s="4" t="s">
        <v>59</v>
      </c>
      <c r="C525" s="5">
        <v>62701</v>
      </c>
      <c r="D525" s="5">
        <f t="shared" si="18"/>
        <v>58996.857142857145</v>
      </c>
      <c r="E525" s="5">
        <f t="shared" si="17"/>
        <v>58076.633333333331</v>
      </c>
      <c r="F525" s="4" t="s">
        <v>57</v>
      </c>
    </row>
    <row r="526" spans="1:6" ht="15" customHeight="1" x14ac:dyDescent="0.2">
      <c r="A526" s="14">
        <v>46048</v>
      </c>
      <c r="B526" s="4" t="s">
        <v>55</v>
      </c>
      <c r="C526" s="5">
        <v>67022</v>
      </c>
      <c r="D526" s="5">
        <f t="shared" si="18"/>
        <v>58573.571428571428</v>
      </c>
      <c r="E526" s="5">
        <f t="shared" si="17"/>
        <v>59250.2</v>
      </c>
      <c r="F526" s="4" t="s">
        <v>50</v>
      </c>
    </row>
    <row r="527" spans="1:6" ht="15" customHeight="1" x14ac:dyDescent="0.2">
      <c r="A527" s="14">
        <v>46049</v>
      </c>
      <c r="B527" s="4" t="s">
        <v>58</v>
      </c>
      <c r="C527" s="5">
        <v>71355</v>
      </c>
      <c r="D527" s="5">
        <f t="shared" si="18"/>
        <v>58102.571428571428</v>
      </c>
      <c r="E527" s="5">
        <f t="shared" si="17"/>
        <v>59259.466666666667</v>
      </c>
      <c r="F527" s="4" t="s">
        <v>50</v>
      </c>
    </row>
    <row r="528" spans="1:6" ht="15" customHeight="1" x14ac:dyDescent="0.2">
      <c r="A528" s="14">
        <v>46050</v>
      </c>
      <c r="B528" s="4" t="s">
        <v>60</v>
      </c>
      <c r="C528" s="5">
        <v>69509</v>
      </c>
      <c r="D528" s="5">
        <f t="shared" si="18"/>
        <v>58208.714285714283</v>
      </c>
      <c r="E528" s="5">
        <f t="shared" si="17"/>
        <v>59383.433333333334</v>
      </c>
      <c r="F528" s="4" t="s">
        <v>50</v>
      </c>
    </row>
    <row r="529" spans="1:6" ht="15" customHeight="1" x14ac:dyDescent="0.2">
      <c r="A529" s="14">
        <v>46051</v>
      </c>
      <c r="B529" s="4" t="s">
        <v>49</v>
      </c>
      <c r="C529" s="5">
        <v>71767</v>
      </c>
      <c r="D529" s="5">
        <f t="shared" si="18"/>
        <v>58181.857142857145</v>
      </c>
      <c r="E529" s="5">
        <f t="shared" si="17"/>
        <v>59362.9</v>
      </c>
      <c r="F529" s="4" t="s">
        <v>50</v>
      </c>
    </row>
    <row r="530" spans="1:6" ht="15" customHeight="1" x14ac:dyDescent="0.2">
      <c r="A530" s="14">
        <v>46052</v>
      </c>
      <c r="B530" s="4" t="s">
        <v>54</v>
      </c>
      <c r="C530" s="5">
        <v>31467</v>
      </c>
      <c r="D530" s="5">
        <f t="shared" si="18"/>
        <v>57814.571428571428</v>
      </c>
      <c r="E530" s="5">
        <f t="shared" si="17"/>
        <v>59307.866666666669</v>
      </c>
      <c r="F530" s="4" t="s">
        <v>50</v>
      </c>
    </row>
    <row r="531" spans="1:6" ht="15" customHeight="1" x14ac:dyDescent="0.2">
      <c r="A531" s="14">
        <v>46053</v>
      </c>
      <c r="B531" s="4" t="s">
        <v>56</v>
      </c>
      <c r="C531" s="5">
        <v>26887</v>
      </c>
      <c r="D531" s="5">
        <f t="shared" si="18"/>
        <v>57244</v>
      </c>
      <c r="E531" s="5">
        <f t="shared" si="17"/>
        <v>58970.26666666667</v>
      </c>
      <c r="F531" s="4" t="s">
        <v>57</v>
      </c>
    </row>
    <row r="532" spans="1:6" ht="15" customHeight="1" x14ac:dyDescent="0.2">
      <c r="A532" s="14">
        <v>46054</v>
      </c>
      <c r="B532" s="4" t="s">
        <v>59</v>
      </c>
      <c r="C532" s="5">
        <v>68844</v>
      </c>
      <c r="D532" s="5">
        <f t="shared" si="18"/>
        <v>58121.571428571428</v>
      </c>
      <c r="E532" s="5">
        <f t="shared" si="17"/>
        <v>59848.166666666664</v>
      </c>
      <c r="F532" s="4" t="s">
        <v>57</v>
      </c>
    </row>
    <row r="533" spans="1:6" ht="15" customHeight="1" x14ac:dyDescent="0.2">
      <c r="A533" s="14">
        <v>46055</v>
      </c>
      <c r="B533" s="4" t="s">
        <v>55</v>
      </c>
      <c r="C533" s="5">
        <v>71944</v>
      </c>
      <c r="D533" s="5">
        <f t="shared" si="18"/>
        <v>58824.714285714283</v>
      </c>
      <c r="E533" s="5">
        <f t="shared" si="17"/>
        <v>61283.833333333336</v>
      </c>
      <c r="F533" s="4" t="s">
        <v>50</v>
      </c>
    </row>
    <row r="534" spans="1:6" ht="15" customHeight="1" x14ac:dyDescent="0.2">
      <c r="A534" s="14">
        <v>46056</v>
      </c>
      <c r="B534" s="4" t="s">
        <v>58</v>
      </c>
      <c r="C534" s="5">
        <v>75521</v>
      </c>
      <c r="D534" s="5">
        <f t="shared" si="18"/>
        <v>59419.857142857145</v>
      </c>
      <c r="E534" s="5">
        <f t="shared" si="17"/>
        <v>61565.566666666666</v>
      </c>
      <c r="F534" s="4" t="s">
        <v>50</v>
      </c>
    </row>
    <row r="535" spans="1:6" ht="15" customHeight="1" x14ac:dyDescent="0.2">
      <c r="A535" s="14">
        <v>46057</v>
      </c>
      <c r="B535" s="4" t="s">
        <v>60</v>
      </c>
      <c r="C535" s="5">
        <v>71633</v>
      </c>
      <c r="D535" s="5">
        <f t="shared" si="18"/>
        <v>59723.285714285717</v>
      </c>
      <c r="E535" s="5">
        <f t="shared" si="17"/>
        <v>61375</v>
      </c>
      <c r="F535" s="4" t="s">
        <v>50</v>
      </c>
    </row>
    <row r="536" spans="1:6" ht="15" customHeight="1" x14ac:dyDescent="0.2">
      <c r="A536" s="14">
        <v>46058</v>
      </c>
      <c r="B536" s="4" t="s">
        <v>49</v>
      </c>
      <c r="C536" s="5">
        <v>76031</v>
      </c>
      <c r="D536" s="5">
        <f t="shared" si="18"/>
        <v>60332.428571428572</v>
      </c>
      <c r="E536" s="5">
        <f t="shared" si="17"/>
        <v>61259.9</v>
      </c>
      <c r="F536" s="4" t="s">
        <v>50</v>
      </c>
    </row>
    <row r="537" spans="1:6" ht="15" customHeight="1" x14ac:dyDescent="0.2">
      <c r="A537" s="14">
        <v>46059</v>
      </c>
      <c r="B537" s="4" t="s">
        <v>54</v>
      </c>
      <c r="C537" s="5">
        <v>31769</v>
      </c>
      <c r="D537" s="5">
        <f t="shared" si="18"/>
        <v>60375.571428571428</v>
      </c>
      <c r="E537" s="5">
        <f t="shared" si="17"/>
        <v>59701</v>
      </c>
      <c r="F537" s="4" t="s">
        <v>50</v>
      </c>
    </row>
    <row r="538" spans="1:6" ht="15" customHeight="1" x14ac:dyDescent="0.2">
      <c r="A538" s="14">
        <v>46060</v>
      </c>
      <c r="B538" s="4" t="s">
        <v>56</v>
      </c>
      <c r="C538" s="5">
        <v>31743</v>
      </c>
      <c r="D538" s="5">
        <f t="shared" si="18"/>
        <v>61069.285714285717</v>
      </c>
      <c r="E538" s="5">
        <f t="shared" si="17"/>
        <v>58239.566666666666</v>
      </c>
      <c r="F538" s="4" t="s">
        <v>57</v>
      </c>
    </row>
    <row r="539" spans="1:6" ht="15" customHeight="1" x14ac:dyDescent="0.2">
      <c r="A539" s="14">
        <v>46061</v>
      </c>
      <c r="B539" s="4" t="s">
        <v>59</v>
      </c>
      <c r="C539" s="5">
        <v>63628</v>
      </c>
      <c r="D539" s="5">
        <f t="shared" si="18"/>
        <v>60324.142857142855</v>
      </c>
      <c r="E539" s="5">
        <f t="shared" si="17"/>
        <v>58673.599999999999</v>
      </c>
      <c r="F539" s="4" t="s">
        <v>57</v>
      </c>
    </row>
    <row r="540" spans="1:6" ht="15" customHeight="1" x14ac:dyDescent="0.2">
      <c r="A540" s="14">
        <v>46062</v>
      </c>
      <c r="B540" s="4" t="s">
        <v>55</v>
      </c>
      <c r="C540" s="5">
        <v>62893</v>
      </c>
      <c r="D540" s="5">
        <f t="shared" si="18"/>
        <v>59031.142857142855</v>
      </c>
      <c r="E540" s="5">
        <f t="shared" si="17"/>
        <v>59933.26666666667</v>
      </c>
      <c r="F540" s="4" t="s">
        <v>50</v>
      </c>
    </row>
    <row r="541" spans="1:6" ht="15" customHeight="1" x14ac:dyDescent="0.2">
      <c r="A541" s="14">
        <v>46063</v>
      </c>
      <c r="B541" s="4" t="s">
        <v>58</v>
      </c>
      <c r="C541" s="5">
        <v>73885</v>
      </c>
      <c r="D541" s="5">
        <f t="shared" si="18"/>
        <v>58797.428571428572</v>
      </c>
      <c r="E541" s="5">
        <f t="shared" si="17"/>
        <v>60143.26666666667</v>
      </c>
      <c r="F541" s="4" t="s">
        <v>50</v>
      </c>
    </row>
    <row r="542" spans="1:6" ht="15" customHeight="1" x14ac:dyDescent="0.2">
      <c r="A542" s="14">
        <v>46064</v>
      </c>
      <c r="B542" s="4" t="s">
        <v>60</v>
      </c>
      <c r="C542" s="5">
        <v>75022</v>
      </c>
      <c r="D542" s="5">
        <f t="shared" si="18"/>
        <v>59281.571428571428</v>
      </c>
      <c r="E542" s="5">
        <f t="shared" si="17"/>
        <v>60401.26666666667</v>
      </c>
      <c r="F542" s="4" t="s">
        <v>50</v>
      </c>
    </row>
    <row r="543" spans="1:6" ht="15" customHeight="1" x14ac:dyDescent="0.2">
      <c r="A543" s="14">
        <v>46065</v>
      </c>
      <c r="B543" s="4" t="s">
        <v>49</v>
      </c>
      <c r="C543" s="5">
        <v>69036</v>
      </c>
      <c r="D543" s="5">
        <f t="shared" si="18"/>
        <v>58282.285714285717</v>
      </c>
      <c r="E543" s="5">
        <f t="shared" si="17"/>
        <v>60129.4</v>
      </c>
      <c r="F543" s="4" t="s">
        <v>50</v>
      </c>
    </row>
    <row r="544" spans="1:6" ht="15" customHeight="1" x14ac:dyDescent="0.2">
      <c r="A544" s="14">
        <v>46066</v>
      </c>
      <c r="B544" s="4" t="s">
        <v>54</v>
      </c>
      <c r="C544" s="5">
        <v>36409</v>
      </c>
      <c r="D544" s="5">
        <f t="shared" si="18"/>
        <v>58945.142857142855</v>
      </c>
      <c r="E544" s="5">
        <f t="shared" si="17"/>
        <v>58959.4</v>
      </c>
      <c r="F544" s="4" t="s">
        <v>50</v>
      </c>
    </row>
    <row r="545" spans="1:6" ht="15" customHeight="1" x14ac:dyDescent="0.2">
      <c r="A545" s="14">
        <v>46067</v>
      </c>
      <c r="B545" s="4" t="s">
        <v>56</v>
      </c>
      <c r="C545" s="5">
        <v>29966</v>
      </c>
      <c r="D545" s="5">
        <f t="shared" si="18"/>
        <v>58691.285714285717</v>
      </c>
      <c r="E545" s="5">
        <f t="shared" ref="E545:E608" si="19">AVERAGE(C516:C545)</f>
        <v>57519.23333333333</v>
      </c>
      <c r="F545" s="4" t="s">
        <v>57</v>
      </c>
    </row>
    <row r="546" spans="1:6" ht="15" customHeight="1" x14ac:dyDescent="0.2">
      <c r="A546" s="14">
        <v>46068</v>
      </c>
      <c r="B546" s="4" t="s">
        <v>59</v>
      </c>
      <c r="C546" s="5">
        <v>62788</v>
      </c>
      <c r="D546" s="5">
        <f t="shared" si="18"/>
        <v>58571.285714285717</v>
      </c>
      <c r="E546" s="5">
        <f t="shared" si="19"/>
        <v>58394.1</v>
      </c>
      <c r="F546" s="4" t="s">
        <v>57</v>
      </c>
    </row>
    <row r="547" spans="1:6" ht="15" customHeight="1" x14ac:dyDescent="0.2">
      <c r="A547" s="14">
        <v>46069</v>
      </c>
      <c r="B547" s="4" t="s">
        <v>55</v>
      </c>
      <c r="C547" s="5">
        <v>67373</v>
      </c>
      <c r="D547" s="5">
        <f t="shared" si="18"/>
        <v>59211.285714285717</v>
      </c>
      <c r="E547" s="5">
        <f t="shared" si="19"/>
        <v>59504.666666666664</v>
      </c>
      <c r="F547" s="4" t="s">
        <v>50</v>
      </c>
    </row>
    <row r="548" spans="1:6" ht="15" customHeight="1" x14ac:dyDescent="0.2">
      <c r="A548" s="14">
        <v>46070</v>
      </c>
      <c r="B548" s="4" t="s">
        <v>58</v>
      </c>
      <c r="C548" s="5">
        <v>75221</v>
      </c>
      <c r="D548" s="5">
        <f t="shared" si="18"/>
        <v>59402.142857142855</v>
      </c>
      <c r="E548" s="5">
        <f t="shared" si="19"/>
        <v>59823.033333333333</v>
      </c>
      <c r="F548" s="4" t="s">
        <v>50</v>
      </c>
    </row>
    <row r="549" spans="1:6" ht="15" customHeight="1" x14ac:dyDescent="0.2">
      <c r="A549" s="14">
        <v>46071</v>
      </c>
      <c r="B549" s="4" t="s">
        <v>60</v>
      </c>
      <c r="C549" s="5">
        <v>71394</v>
      </c>
      <c r="D549" s="5">
        <f t="shared" si="18"/>
        <v>58883.857142857145</v>
      </c>
      <c r="E549" s="5">
        <f t="shared" si="19"/>
        <v>59870</v>
      </c>
      <c r="F549" s="4" t="s">
        <v>50</v>
      </c>
    </row>
    <row r="550" spans="1:6" ht="15" customHeight="1" x14ac:dyDescent="0.2">
      <c r="A550" s="14">
        <v>46072</v>
      </c>
      <c r="B550" s="4" t="s">
        <v>49</v>
      </c>
      <c r="C550" s="5">
        <v>71867</v>
      </c>
      <c r="D550" s="5">
        <f t="shared" si="18"/>
        <v>59288.285714285717</v>
      </c>
      <c r="E550" s="5">
        <f t="shared" si="19"/>
        <v>59777.166666666664</v>
      </c>
      <c r="F550" s="4" t="s">
        <v>50</v>
      </c>
    </row>
    <row r="551" spans="1:6" ht="15" customHeight="1" x14ac:dyDescent="0.2">
      <c r="A551" s="14">
        <v>46073</v>
      </c>
      <c r="B551" s="4" t="s">
        <v>54</v>
      </c>
      <c r="C551" s="5">
        <v>35705</v>
      </c>
      <c r="D551" s="5">
        <f t="shared" si="18"/>
        <v>59187.714285714283</v>
      </c>
      <c r="E551" s="5">
        <f t="shared" si="19"/>
        <v>58675.133333333331</v>
      </c>
      <c r="F551" s="4" t="s">
        <v>50</v>
      </c>
    </row>
    <row r="552" spans="1:6" ht="15" customHeight="1" x14ac:dyDescent="0.2">
      <c r="A552" s="14">
        <v>46074</v>
      </c>
      <c r="B552" s="4" t="s">
        <v>56</v>
      </c>
      <c r="C552" s="5">
        <v>30952</v>
      </c>
      <c r="D552" s="5">
        <f t="shared" si="18"/>
        <v>59328.571428571428</v>
      </c>
      <c r="E552" s="5">
        <f t="shared" si="19"/>
        <v>57308.366666666669</v>
      </c>
      <c r="F552" s="4" t="s">
        <v>57</v>
      </c>
    </row>
    <row r="553" spans="1:6" ht="15" customHeight="1" x14ac:dyDescent="0.2">
      <c r="A553" s="14">
        <v>46075</v>
      </c>
      <c r="B553" s="4" t="s">
        <v>59</v>
      </c>
      <c r="C553" s="5">
        <v>64483</v>
      </c>
      <c r="D553" s="5">
        <f t="shared" si="18"/>
        <v>59570.714285714283</v>
      </c>
      <c r="E553" s="5">
        <f t="shared" si="19"/>
        <v>58323.199999999997</v>
      </c>
      <c r="F553" s="4" t="s">
        <v>57</v>
      </c>
    </row>
    <row r="554" spans="1:6" ht="15" customHeight="1" x14ac:dyDescent="0.2">
      <c r="A554" s="14">
        <v>46076</v>
      </c>
      <c r="B554" s="4" t="s">
        <v>55</v>
      </c>
      <c r="C554" s="5">
        <v>62945</v>
      </c>
      <c r="D554" s="5">
        <f t="shared" si="18"/>
        <v>58938.142857142855</v>
      </c>
      <c r="E554" s="5">
        <f t="shared" si="19"/>
        <v>59392</v>
      </c>
      <c r="F554" s="4" t="s">
        <v>50</v>
      </c>
    </row>
    <row r="555" spans="1:6" ht="15" customHeight="1" x14ac:dyDescent="0.2">
      <c r="A555" s="14">
        <v>46077</v>
      </c>
      <c r="B555" s="4" t="s">
        <v>58</v>
      </c>
      <c r="C555" s="5">
        <v>75446</v>
      </c>
      <c r="D555" s="5">
        <f t="shared" si="18"/>
        <v>58970.285714285717</v>
      </c>
      <c r="E555" s="5">
        <f t="shared" si="19"/>
        <v>59816.833333333336</v>
      </c>
      <c r="F555" s="4" t="s">
        <v>50</v>
      </c>
    </row>
    <row r="556" spans="1:6" ht="15" customHeight="1" x14ac:dyDescent="0.2">
      <c r="A556" s="14">
        <v>46078</v>
      </c>
      <c r="B556" s="4" t="s">
        <v>60</v>
      </c>
      <c r="C556" s="5">
        <v>72371</v>
      </c>
      <c r="D556" s="5">
        <f t="shared" si="18"/>
        <v>59109.857142857145</v>
      </c>
      <c r="E556" s="5">
        <f t="shared" si="19"/>
        <v>59995.133333333331</v>
      </c>
      <c r="F556" s="4" t="s">
        <v>50</v>
      </c>
    </row>
    <row r="557" spans="1:6" ht="15" customHeight="1" x14ac:dyDescent="0.2">
      <c r="A557" s="14">
        <v>46079</v>
      </c>
      <c r="B557" s="4" t="s">
        <v>49</v>
      </c>
      <c r="C557" s="5">
        <v>17319</v>
      </c>
      <c r="D557" s="5">
        <f t="shared" si="18"/>
        <v>51317.285714285717</v>
      </c>
      <c r="E557" s="5">
        <f t="shared" si="19"/>
        <v>58193.933333333334</v>
      </c>
      <c r="F557" s="4" t="s">
        <v>50</v>
      </c>
    </row>
  </sheetData>
  <mergeCells count="3">
    <mergeCell ref="A1:F1"/>
    <mergeCell ref="H3:J3"/>
    <mergeCell ref="H18:J1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7"/>
  <sheetViews>
    <sheetView tabSelected="1" zoomScaleNormal="100" workbookViewId="0">
      <selection activeCell="E9" sqref="E9"/>
    </sheetView>
  </sheetViews>
  <sheetFormatPr baseColWidth="10" defaultColWidth="8.6640625" defaultRowHeight="15" customHeight="1" x14ac:dyDescent="0.2"/>
  <cols>
    <col min="1" max="1" width="38" customWidth="1"/>
    <col min="2" max="2" width="26" customWidth="1"/>
    <col min="3" max="3" width="22" customWidth="1"/>
    <col min="4" max="4" width="24" customWidth="1"/>
    <col min="5" max="5" width="28" customWidth="1"/>
    <col min="6" max="6" width="22" customWidth="1"/>
    <col min="7" max="7" width="24" customWidth="1"/>
    <col min="8" max="8" width="20" customWidth="1"/>
    <col min="9" max="9" width="14" customWidth="1"/>
  </cols>
  <sheetData>
    <row r="1" spans="1:9" ht="17.25" customHeight="1" x14ac:dyDescent="0.2">
      <c r="A1" s="2" t="s">
        <v>70</v>
      </c>
      <c r="B1" s="2"/>
      <c r="C1" s="2"/>
      <c r="D1" s="2"/>
      <c r="E1" s="2"/>
      <c r="F1" s="2"/>
      <c r="G1" s="2"/>
      <c r="H1" s="2"/>
      <c r="I1" s="2"/>
    </row>
    <row r="3" spans="1:9" ht="15" customHeight="1" x14ac:dyDescent="0.2">
      <c r="A3" s="8" t="s">
        <v>71</v>
      </c>
    </row>
    <row r="4" spans="1:9" ht="15" customHeight="1" x14ac:dyDescent="0.2">
      <c r="A4" s="9" t="s">
        <v>72</v>
      </c>
      <c r="B4" s="15">
        <v>1806123</v>
      </c>
      <c r="C4" s="11"/>
    </row>
    <row r="5" spans="1:9" ht="15" customHeight="1" x14ac:dyDescent="0.2">
      <c r="A5" s="9" t="s">
        <v>73</v>
      </c>
      <c r="B5" s="16">
        <f>'Monthly Summary'!B27</f>
        <v>0.12321695730787388</v>
      </c>
      <c r="C5" s="11"/>
    </row>
    <row r="6" spans="1:9" ht="15" customHeight="1" x14ac:dyDescent="0.2">
      <c r="A6" s="9" t="s">
        <v>74</v>
      </c>
      <c r="B6" s="15">
        <v>28769017</v>
      </c>
      <c r="C6" s="11"/>
    </row>
    <row r="7" spans="1:9" ht="15" customHeight="1" x14ac:dyDescent="0.2">
      <c r="A7" s="9" t="s">
        <v>75</v>
      </c>
      <c r="B7" s="15">
        <v>999</v>
      </c>
      <c r="C7" s="11"/>
    </row>
    <row r="8" spans="1:9" ht="15" customHeight="1" x14ac:dyDescent="0.2">
      <c r="A8" s="9" t="s">
        <v>76</v>
      </c>
      <c r="B8" s="15">
        <v>10000</v>
      </c>
      <c r="C8" s="11"/>
    </row>
    <row r="9" spans="1:9" ht="15" customHeight="1" x14ac:dyDescent="0.2">
      <c r="A9" s="9" t="s">
        <v>77</v>
      </c>
      <c r="B9" s="17">
        <v>3</v>
      </c>
      <c r="C9" s="11"/>
    </row>
    <row r="10" spans="1:9" ht="15" customHeight="1" x14ac:dyDescent="0.2">
      <c r="A10" s="9" t="s">
        <v>78</v>
      </c>
      <c r="B10" s="15">
        <v>365</v>
      </c>
      <c r="C10" s="11"/>
    </row>
    <row r="11" spans="1:9" ht="15" customHeight="1" x14ac:dyDescent="0.2">
      <c r="A11" s="9" t="s">
        <v>79</v>
      </c>
      <c r="B11" s="15">
        <v>20</v>
      </c>
      <c r="C11" s="11"/>
    </row>
    <row r="14" spans="1:9" ht="15" customHeight="1" x14ac:dyDescent="0.2">
      <c r="A14" s="8" t="s">
        <v>80</v>
      </c>
    </row>
    <row r="15" spans="1:9" ht="15" customHeight="1" x14ac:dyDescent="0.2">
      <c r="A15" s="3" t="s">
        <v>6</v>
      </c>
      <c r="B15" s="3" t="s">
        <v>81</v>
      </c>
      <c r="C15" s="3" t="s">
        <v>82</v>
      </c>
      <c r="D15" s="3" t="s">
        <v>83</v>
      </c>
      <c r="E15" s="3" t="s">
        <v>84</v>
      </c>
      <c r="F15" s="3" t="s">
        <v>85</v>
      </c>
      <c r="G15" s="3" t="s">
        <v>86</v>
      </c>
      <c r="H15" s="3" t="s">
        <v>37</v>
      </c>
      <c r="I15" s="3" t="s">
        <v>87</v>
      </c>
    </row>
    <row r="16" spans="1:9" ht="15" customHeight="1" x14ac:dyDescent="0.2">
      <c r="A16" s="4" t="s">
        <v>88</v>
      </c>
      <c r="B16" s="5">
        <f>$B$4*(1+$B$5)^2</f>
        <v>2278634.2765392098</v>
      </c>
      <c r="C16" s="5">
        <f>$B$6+B16</f>
        <v>31047651.27653921</v>
      </c>
      <c r="D16" s="5">
        <f>$B$4*(1+$B$5)^-10</f>
        <v>565081.1352409441</v>
      </c>
      <c r="E16" s="5">
        <f t="shared" ref="E16:E39" si="0">D16*$B$11</f>
        <v>11301622.704818882</v>
      </c>
      <c r="F16" s="5">
        <f t="shared" ref="F16:F39" si="1">CEILING(D16/$B$8,1)</f>
        <v>57</v>
      </c>
      <c r="G16" s="10">
        <f t="shared" ref="G16:G39" si="2">F16*$B$9/3600</f>
        <v>4.7500000000000001E-2</v>
      </c>
      <c r="H16" s="10">
        <f t="shared" ref="H16:H39" si="3">C16*$B$7/1024/1024/1024</f>
        <v>28.886463144107417</v>
      </c>
      <c r="I16" s="4" t="str">
        <f t="shared" ref="I16:I39" si="4">IF(G16&gt;8,"CRITICAL",IF(G16&gt;4,"WARNING","OK"))</f>
        <v>OK</v>
      </c>
    </row>
    <row r="17" spans="1:9" ht="15" customHeight="1" x14ac:dyDescent="0.2">
      <c r="A17" s="4" t="s">
        <v>89</v>
      </c>
      <c r="B17" s="5">
        <f>$B$4*(1+$B$5)^3</f>
        <v>2559400.6589117995</v>
      </c>
      <c r="C17" s="5">
        <f t="shared" ref="C17:C39" si="5">C16+B17</f>
        <v>33607051.935451008</v>
      </c>
      <c r="D17" s="5">
        <f>$B$4*(1+$B$5)^-9</f>
        <v>634708.71335741237</v>
      </c>
      <c r="E17" s="5">
        <f t="shared" si="0"/>
        <v>12694174.267148247</v>
      </c>
      <c r="F17" s="5">
        <f t="shared" si="1"/>
        <v>64</v>
      </c>
      <c r="G17" s="10">
        <f t="shared" si="2"/>
        <v>5.3333333333333337E-2</v>
      </c>
      <c r="H17" s="10">
        <f t="shared" si="3"/>
        <v>31.267707127626572</v>
      </c>
      <c r="I17" s="4" t="str">
        <f t="shared" si="4"/>
        <v>OK</v>
      </c>
    </row>
    <row r="18" spans="1:9" ht="15" customHeight="1" x14ac:dyDescent="0.2">
      <c r="A18" s="4" t="s">
        <v>90</v>
      </c>
      <c r="B18" s="5">
        <f>$B$4*(1+$B$5)^4</f>
        <v>2874762.2206346788</v>
      </c>
      <c r="C18" s="5">
        <f t="shared" si="5"/>
        <v>36481814.156085685</v>
      </c>
      <c r="D18" s="5">
        <f>$B$4*(1+$B$5)^-8</f>
        <v>712915.58979410818</v>
      </c>
      <c r="E18" s="5">
        <f t="shared" si="0"/>
        <v>14258311.795882164</v>
      </c>
      <c r="F18" s="5">
        <f t="shared" si="1"/>
        <v>72</v>
      </c>
      <c r="G18" s="10">
        <f t="shared" si="2"/>
        <v>0.06</v>
      </c>
      <c r="H18" s="10">
        <f t="shared" si="3"/>
        <v>33.942360749402638</v>
      </c>
      <c r="I18" s="4" t="str">
        <f t="shared" si="4"/>
        <v>OK</v>
      </c>
    </row>
    <row r="19" spans="1:9" ht="15" customHeight="1" x14ac:dyDescent="0.2">
      <c r="A19" s="4" t="s">
        <v>91</v>
      </c>
      <c r="B19" s="5">
        <f>$B$4*(1+$B$5)^5</f>
        <v>3228981.6744449106</v>
      </c>
      <c r="C19" s="5">
        <f t="shared" si="5"/>
        <v>39710795.830530599</v>
      </c>
      <c r="D19" s="5">
        <f>$B$4*(1+$B$5)^-7</f>
        <v>800758.87958588637</v>
      </c>
      <c r="E19" s="5">
        <f t="shared" si="0"/>
        <v>16015177.591717727</v>
      </c>
      <c r="F19" s="5">
        <f t="shared" si="1"/>
        <v>81</v>
      </c>
      <c r="G19" s="10">
        <f t="shared" si="2"/>
        <v>6.7500000000000004E-2</v>
      </c>
      <c r="H19" s="10">
        <f t="shared" si="3"/>
        <v>36.946577052306445</v>
      </c>
      <c r="I19" s="4" t="str">
        <f t="shared" si="4"/>
        <v>OK</v>
      </c>
    </row>
    <row r="20" spans="1:9" ht="15" customHeight="1" x14ac:dyDescent="0.2">
      <c r="A20" s="4" t="s">
        <v>92</v>
      </c>
      <c r="B20" s="5">
        <f>$B$4*(1+$B$5)^6</f>
        <v>3626846.9715728965</v>
      </c>
      <c r="C20" s="5">
        <f t="shared" si="5"/>
        <v>43337642.802103497</v>
      </c>
      <c r="D20" s="5">
        <f>$B$4*(1+$B$5)^-6</f>
        <v>899425.9522657214</v>
      </c>
      <c r="E20" s="5">
        <f t="shared" si="0"/>
        <v>17988519.045314427</v>
      </c>
      <c r="F20" s="5">
        <f t="shared" si="1"/>
        <v>90</v>
      </c>
      <c r="G20" s="10">
        <f t="shared" si="2"/>
        <v>7.4999999999999997E-2</v>
      </c>
      <c r="H20" s="10">
        <f t="shared" si="3"/>
        <v>40.320963747148767</v>
      </c>
      <c r="I20" s="4" t="str">
        <f t="shared" si="4"/>
        <v>OK</v>
      </c>
    </row>
    <row r="21" spans="1:9" ht="15" customHeight="1" x14ac:dyDescent="0.2">
      <c r="A21" s="4" t="s">
        <v>93</v>
      </c>
      <c r="B21" s="5">
        <f>$B$4*(1+$B$5)^7</f>
        <v>4073736.0200313851</v>
      </c>
      <c r="C21" s="5">
        <f t="shared" si="5"/>
        <v>47411378.822134882</v>
      </c>
      <c r="D21" s="5">
        <f>$B$4*(1+$B$5)^-5</f>
        <v>1010250.4814276405</v>
      </c>
      <c r="E21" s="5">
        <f t="shared" si="0"/>
        <v>20205009.628552809</v>
      </c>
      <c r="F21" s="5">
        <f t="shared" si="1"/>
        <v>102</v>
      </c>
      <c r="G21" s="10">
        <f t="shared" si="2"/>
        <v>8.5000000000000006E-2</v>
      </c>
      <c r="H21" s="10">
        <f t="shared" si="3"/>
        <v>44.111132103309728</v>
      </c>
      <c r="I21" s="4" t="str">
        <f t="shared" si="4"/>
        <v>OK</v>
      </c>
    </row>
    <row r="22" spans="1:9" ht="15" customHeight="1" x14ac:dyDescent="0.2">
      <c r="A22" s="4" t="s">
        <v>94</v>
      </c>
      <c r="B22" s="5">
        <f>$B$4*(1+$B$5)^8</f>
        <v>4575689.3772951392</v>
      </c>
      <c r="C22" s="5">
        <f t="shared" si="5"/>
        <v>51987068.199430019</v>
      </c>
      <c r="D22" s="5">
        <f>$B$4*(1+$B$5)^-4</f>
        <v>1134730.4718679693</v>
      </c>
      <c r="E22" s="5">
        <f t="shared" si="0"/>
        <v>22694609.437359385</v>
      </c>
      <c r="F22" s="5">
        <f t="shared" si="1"/>
        <v>114</v>
      </c>
      <c r="G22" s="10">
        <f t="shared" si="2"/>
        <v>9.5000000000000001E-2</v>
      </c>
      <c r="H22" s="10">
        <f t="shared" si="3"/>
        <v>48.368313472001432</v>
      </c>
      <c r="I22" s="4" t="str">
        <f t="shared" si="4"/>
        <v>OK</v>
      </c>
    </row>
    <row r="23" spans="1:9" ht="15" customHeight="1" x14ac:dyDescent="0.2">
      <c r="A23" s="4" t="s">
        <v>95</v>
      </c>
      <c r="B23" s="5">
        <f>$B$4*(1+$B$5)^9</f>
        <v>5139491.8999514068</v>
      </c>
      <c r="C23" s="5">
        <f t="shared" si="5"/>
        <v>57126560.099381424</v>
      </c>
      <c r="D23" s="5">
        <f>$B$4*(1+$B$5)^-3</f>
        <v>1274548.5079760682</v>
      </c>
      <c r="E23" s="5">
        <f t="shared" si="0"/>
        <v>25490970.159521364</v>
      </c>
      <c r="F23" s="5">
        <f t="shared" si="1"/>
        <v>128</v>
      </c>
      <c r="G23" s="10">
        <f t="shared" si="2"/>
        <v>0.10666666666666667</v>
      </c>
      <c r="H23" s="10">
        <f t="shared" si="3"/>
        <v>53.150051775651093</v>
      </c>
      <c r="I23" s="4" t="str">
        <f t="shared" si="4"/>
        <v>OK</v>
      </c>
    </row>
    <row r="24" spans="1:9" ht="15" customHeight="1" x14ac:dyDescent="0.2">
      <c r="A24" s="4" t="s">
        <v>96</v>
      </c>
      <c r="B24" s="5">
        <f>$B$4*(1+$B$5)^10</f>
        <v>5772764.4539718824</v>
      </c>
      <c r="C24" s="5">
        <f t="shared" si="5"/>
        <v>62899324.55335331</v>
      </c>
      <c r="D24" s="5">
        <f>$B$4*(1+$B$5)^-2</f>
        <v>1431594.4970701695</v>
      </c>
      <c r="E24" s="5">
        <f t="shared" si="0"/>
        <v>28631889.941403389</v>
      </c>
      <c r="F24" s="5">
        <f t="shared" si="1"/>
        <v>144</v>
      </c>
      <c r="G24" s="10">
        <f t="shared" si="2"/>
        <v>0.12</v>
      </c>
      <c r="H24" s="10">
        <f t="shared" si="3"/>
        <v>58.520981323718985</v>
      </c>
      <c r="I24" s="4" t="str">
        <f t="shared" si="4"/>
        <v>OK</v>
      </c>
    </row>
    <row r="25" spans="1:9" ht="15" customHeight="1" x14ac:dyDescent="0.2">
      <c r="A25" s="4" t="s">
        <v>97</v>
      </c>
      <c r="B25" s="5">
        <f>$B$4*(1+$B$5)^11</f>
        <v>6484066.9252453474</v>
      </c>
      <c r="C25" s="5">
        <f t="shared" si="5"/>
        <v>69383391.478598654</v>
      </c>
      <c r="D25" s="5">
        <f>$B$4*(1+$B$5)^-1</f>
        <v>1607991.2150978516</v>
      </c>
      <c r="E25" s="5">
        <f t="shared" si="0"/>
        <v>32159824.301957034</v>
      </c>
      <c r="F25" s="5">
        <f t="shared" si="1"/>
        <v>161</v>
      </c>
      <c r="G25" s="10">
        <f t="shared" si="2"/>
        <v>0.13416666666666666</v>
      </c>
      <c r="H25" s="10">
        <f t="shared" si="3"/>
        <v>64.55370046861475</v>
      </c>
      <c r="I25" s="4" t="str">
        <f t="shared" si="4"/>
        <v>OK</v>
      </c>
    </row>
    <row r="26" spans="1:9" ht="15" customHeight="1" x14ac:dyDescent="0.2">
      <c r="A26" s="4" t="s">
        <v>98</v>
      </c>
      <c r="B26" s="5">
        <f>$B$4*(1+$B$5)^12</f>
        <v>7283013.9227546994</v>
      </c>
      <c r="C26" s="5">
        <f t="shared" si="5"/>
        <v>76666405.401353359</v>
      </c>
      <c r="D26" s="5">
        <f>$B$4*(1+$B$5)^0</f>
        <v>1806123</v>
      </c>
      <c r="E26" s="5">
        <f t="shared" si="0"/>
        <v>36122460</v>
      </c>
      <c r="F26" s="5">
        <f t="shared" si="1"/>
        <v>181</v>
      </c>
      <c r="G26" s="10">
        <f t="shared" si="2"/>
        <v>0.15083333333333335</v>
      </c>
      <c r="H26" s="10">
        <f t="shared" si="3"/>
        <v>71.329752910837541</v>
      </c>
      <c r="I26" s="4" t="str">
        <f t="shared" si="4"/>
        <v>OK</v>
      </c>
    </row>
    <row r="27" spans="1:9" ht="15" customHeight="1" x14ac:dyDescent="0.2">
      <c r="A27" s="4" t="s">
        <v>99</v>
      </c>
      <c r="B27" s="5">
        <f>$B$4*(1+$B$5)^13</f>
        <v>8180404.7383474158</v>
      </c>
      <c r="C27" s="5">
        <f t="shared" si="5"/>
        <v>84846810.13970077</v>
      </c>
      <c r="D27" s="5">
        <f>$B$4*(1+$B$5)^1</f>
        <v>2028667.980583769</v>
      </c>
      <c r="E27" s="5">
        <f t="shared" si="0"/>
        <v>40573359.611675382</v>
      </c>
      <c r="F27" s="5">
        <f t="shared" si="1"/>
        <v>203</v>
      </c>
      <c r="G27" s="10">
        <f t="shared" si="2"/>
        <v>0.16916666666666666</v>
      </c>
      <c r="H27" s="10">
        <f t="shared" si="3"/>
        <v>78.940729917549589</v>
      </c>
      <c r="I27" s="4" t="str">
        <f t="shared" si="4"/>
        <v>OK</v>
      </c>
    </row>
    <row r="28" spans="1:9" ht="15" customHeight="1" x14ac:dyDescent="0.2">
      <c r="A28" s="4" t="s">
        <v>100</v>
      </c>
      <c r="B28" s="5">
        <f>$B$4*(1+$B$5)^14</f>
        <v>9188369.3197534978</v>
      </c>
      <c r="C28" s="5">
        <f t="shared" si="5"/>
        <v>94035179.459454268</v>
      </c>
      <c r="D28" s="5">
        <f>$B$4*(1+$B$5)^2</f>
        <v>2278634.2765392098</v>
      </c>
      <c r="E28" s="5">
        <f t="shared" si="0"/>
        <v>45572685.530784197</v>
      </c>
      <c r="F28" s="5">
        <f t="shared" si="1"/>
        <v>228</v>
      </c>
      <c r="G28" s="10">
        <f t="shared" si="2"/>
        <v>0.19</v>
      </c>
      <c r="H28" s="10">
        <f t="shared" si="3"/>
        <v>87.489508353168901</v>
      </c>
      <c r="I28" s="4" t="str">
        <f t="shared" si="4"/>
        <v>OK</v>
      </c>
    </row>
    <row r="29" spans="1:9" ht="15" customHeight="1" x14ac:dyDescent="0.2">
      <c r="A29" s="4" t="s">
        <v>101</v>
      </c>
      <c r="B29" s="5">
        <f>$B$4*(1+$B$5)^15</f>
        <v>10320532.229954544</v>
      </c>
      <c r="C29" s="5">
        <f t="shared" si="5"/>
        <v>104355711.68940881</v>
      </c>
      <c r="D29" s="5">
        <f>$B$4*(1+$B$5)^3</f>
        <v>2559400.6589117995</v>
      </c>
      <c r="E29" s="5">
        <f t="shared" si="0"/>
        <v>51188013.178235993</v>
      </c>
      <c r="F29" s="5">
        <f t="shared" si="1"/>
        <v>256</v>
      </c>
      <c r="G29" s="10">
        <f t="shared" si="2"/>
        <v>0.21333333333333335</v>
      </c>
      <c r="H29" s="10">
        <f t="shared" si="3"/>
        <v>97.091641256324394</v>
      </c>
      <c r="I29" s="4" t="str">
        <f t="shared" si="4"/>
        <v>OK</v>
      </c>
    </row>
    <row r="30" spans="1:9" ht="15" customHeight="1" x14ac:dyDescent="0.2">
      <c r="A30" s="4" t="s">
        <v>102</v>
      </c>
      <c r="B30" s="5">
        <f>$B$4*(1+$B$5)^16</f>
        <v>11592196.809127387</v>
      </c>
      <c r="C30" s="5">
        <f t="shared" si="5"/>
        <v>115947908.4985362</v>
      </c>
      <c r="D30" s="5">
        <f>$B$4*(1+$B$5)^4</f>
        <v>2874762.2206346788</v>
      </c>
      <c r="E30" s="5">
        <f t="shared" si="0"/>
        <v>57495244.412693575</v>
      </c>
      <c r="F30" s="5">
        <f t="shared" si="1"/>
        <v>288</v>
      </c>
      <c r="G30" s="10">
        <f t="shared" si="2"/>
        <v>0.24</v>
      </c>
      <c r="H30" s="10">
        <f t="shared" si="3"/>
        <v>107.87691975947251</v>
      </c>
      <c r="I30" s="4" t="str">
        <f t="shared" si="4"/>
        <v>OK</v>
      </c>
    </row>
    <row r="31" spans="1:9" ht="15" customHeight="1" x14ac:dyDescent="0.2">
      <c r="A31" s="4" t="s">
        <v>103</v>
      </c>
      <c r="B31" s="5">
        <f>$B$4*(1+$B$5)^17</f>
        <v>13020552.028462108</v>
      </c>
      <c r="C31" s="5">
        <f t="shared" si="5"/>
        <v>128968460.52699831</v>
      </c>
      <c r="D31" s="5">
        <f>$B$4*(1+$B$5)^5</f>
        <v>3228981.6744449106</v>
      </c>
      <c r="E31" s="5">
        <f t="shared" si="0"/>
        <v>64579633.48889821</v>
      </c>
      <c r="F31" s="5">
        <f t="shared" si="1"/>
        <v>323</v>
      </c>
      <c r="G31" s="10">
        <f t="shared" si="2"/>
        <v>0.26916666666666667</v>
      </c>
      <c r="H31" s="10">
        <f t="shared" si="3"/>
        <v>119.99112746349658</v>
      </c>
      <c r="I31" s="4" t="str">
        <f t="shared" si="4"/>
        <v>OK</v>
      </c>
    </row>
    <row r="32" spans="1:9" ht="15" customHeight="1" x14ac:dyDescent="0.2">
      <c r="A32" s="4" t="s">
        <v>104</v>
      </c>
      <c r="B32" s="5">
        <f>$B$4*(1+$B$5)^18</f>
        <v>14624904.831878074</v>
      </c>
      <c r="C32" s="5">
        <f t="shared" si="5"/>
        <v>143593365.35887638</v>
      </c>
      <c r="D32" s="5">
        <f>$B$4*(1+$B$5)^6</f>
        <v>3626846.9715728965</v>
      </c>
      <c r="E32" s="5">
        <f t="shared" si="0"/>
        <v>72536939.431457937</v>
      </c>
      <c r="F32" s="5">
        <f t="shared" si="1"/>
        <v>363</v>
      </c>
      <c r="G32" s="10">
        <f t="shared" si="2"/>
        <v>0.30249999999999999</v>
      </c>
      <c r="H32" s="10">
        <f t="shared" si="3"/>
        <v>133.59801098100607</v>
      </c>
      <c r="I32" s="4" t="str">
        <f t="shared" si="4"/>
        <v>OK</v>
      </c>
    </row>
    <row r="33" spans="1:9" ht="15" customHeight="1" x14ac:dyDescent="0.2">
      <c r="A33" s="4" t="s">
        <v>105</v>
      </c>
      <c r="B33" s="5">
        <f>$B$4*(1+$B$5)^19</f>
        <v>16426941.106179312</v>
      </c>
      <c r="C33" s="5">
        <f t="shared" si="5"/>
        <v>160020306.4650557</v>
      </c>
      <c r="D33" s="5">
        <f>$B$4*(1+$B$5)^7</f>
        <v>4073736.0200313851</v>
      </c>
      <c r="E33" s="5">
        <f t="shared" si="0"/>
        <v>81474720.400627702</v>
      </c>
      <c r="F33" s="5">
        <f t="shared" si="1"/>
        <v>408</v>
      </c>
      <c r="G33" s="10">
        <f t="shared" si="2"/>
        <v>0.34</v>
      </c>
      <c r="H33" s="10">
        <f t="shared" si="3"/>
        <v>148.88149328398578</v>
      </c>
      <c r="I33" s="4" t="str">
        <f t="shared" si="4"/>
        <v>OK</v>
      </c>
    </row>
    <row r="34" spans="1:9" ht="15" customHeight="1" x14ac:dyDescent="0.2">
      <c r="A34" s="4" t="s">
        <v>106</v>
      </c>
      <c r="B34" s="5">
        <f>$B$4*(1+$B$5)^20</f>
        <v>18451018.807158366</v>
      </c>
      <c r="C34" s="5">
        <f t="shared" si="5"/>
        <v>178471325.27221406</v>
      </c>
      <c r="D34" s="5">
        <f>$B$4*(1+$B$5)^8</f>
        <v>4575689.3772951392</v>
      </c>
      <c r="E34" s="5">
        <f t="shared" si="0"/>
        <v>91513787.545902789</v>
      </c>
      <c r="F34" s="5">
        <f t="shared" si="1"/>
        <v>458</v>
      </c>
      <c r="G34" s="10">
        <f t="shared" si="2"/>
        <v>0.38166666666666665</v>
      </c>
      <c r="H34" s="10">
        <f t="shared" si="3"/>
        <v>166.04815977340735</v>
      </c>
      <c r="I34" s="4" t="str">
        <f t="shared" si="4"/>
        <v>OK</v>
      </c>
    </row>
    <row r="35" spans="1:9" ht="15" customHeight="1" x14ac:dyDescent="0.2">
      <c r="A35" s="4" t="s">
        <v>107</v>
      </c>
      <c r="B35" s="5">
        <f>$B$4*(1+$B$5)^21</f>
        <v>20724497.203806773</v>
      </c>
      <c r="C35" s="5">
        <f t="shared" si="5"/>
        <v>199195822.47602081</v>
      </c>
      <c r="D35" s="5">
        <f>$B$4*(1+$B$5)^9</f>
        <v>5139491.8999514068</v>
      </c>
      <c r="E35" s="5">
        <f t="shared" si="0"/>
        <v>102789837.99902813</v>
      </c>
      <c r="F35" s="5">
        <f t="shared" si="1"/>
        <v>514</v>
      </c>
      <c r="G35" s="10">
        <f t="shared" si="2"/>
        <v>0.42833333333333334</v>
      </c>
      <c r="H35" s="10">
        <f t="shared" si="3"/>
        <v>185.3300506747745</v>
      </c>
      <c r="I35" s="4" t="str">
        <f t="shared" si="4"/>
        <v>OK</v>
      </c>
    </row>
    <row r="36" spans="1:9" ht="15" customHeight="1" x14ac:dyDescent="0.2">
      <c r="A36" s="4" t="s">
        <v>108</v>
      </c>
      <c r="B36" s="5">
        <f>$B$4*(1+$B$5)^22</f>
        <v>23278106.690995384</v>
      </c>
      <c r="C36" s="5">
        <f t="shared" si="5"/>
        <v>222473929.16701621</v>
      </c>
      <c r="D36" s="5">
        <f>$B$4*(1+$B$5)^10</f>
        <v>5772764.4539718824</v>
      </c>
      <c r="E36" s="5">
        <f t="shared" si="0"/>
        <v>115455289.07943764</v>
      </c>
      <c r="F36" s="5">
        <f t="shared" si="1"/>
        <v>578</v>
      </c>
      <c r="G36" s="10">
        <f t="shared" si="2"/>
        <v>0.48166666666666669</v>
      </c>
      <c r="H36" s="10">
        <f t="shared" si="3"/>
        <v>206.98779750415048</v>
      </c>
      <c r="I36" s="4" t="str">
        <f t="shared" si="4"/>
        <v>OK</v>
      </c>
    </row>
    <row r="37" spans="1:9" ht="15" customHeight="1" x14ac:dyDescent="0.2">
      <c r="A37" s="4" t="s">
        <v>109</v>
      </c>
      <c r="B37" s="5">
        <f>$B$4*(1+$B$5)^23</f>
        <v>26146364.169347893</v>
      </c>
      <c r="C37" s="5">
        <f t="shared" si="5"/>
        <v>248620293.33636409</v>
      </c>
      <c r="D37" s="5">
        <f>$B$4*(1+$B$5)^11</f>
        <v>6484066.9252453474</v>
      </c>
      <c r="E37" s="5">
        <f t="shared" si="0"/>
        <v>129681338.50490695</v>
      </c>
      <c r="F37" s="5">
        <f t="shared" si="1"/>
        <v>649</v>
      </c>
      <c r="G37" s="10">
        <f t="shared" si="2"/>
        <v>0.54083333333333339</v>
      </c>
      <c r="H37" s="10">
        <f t="shared" si="3"/>
        <v>231.31414599998644</v>
      </c>
      <c r="I37" s="4" t="str">
        <f t="shared" si="4"/>
        <v>OK</v>
      </c>
    </row>
    <row r="38" spans="1:9" ht="15" customHeight="1" x14ac:dyDescent="0.2">
      <c r="A38" s="4" t="s">
        <v>110</v>
      </c>
      <c r="B38" s="5">
        <f>$B$4*(1+$B$5)^24</f>
        <v>29368039.606958553</v>
      </c>
      <c r="C38" s="5">
        <f t="shared" si="5"/>
        <v>277988332.94332266</v>
      </c>
      <c r="D38" s="5">
        <f>$B$4*(1+$B$5)^12</f>
        <v>7283013.9227546994</v>
      </c>
      <c r="E38" s="5">
        <f t="shared" si="0"/>
        <v>145660278.45509398</v>
      </c>
      <c r="F38" s="5">
        <f t="shared" si="1"/>
        <v>729</v>
      </c>
      <c r="G38" s="10">
        <f t="shared" si="2"/>
        <v>0.60750000000000004</v>
      </c>
      <c r="H38" s="10">
        <f t="shared" si="3"/>
        <v>258.63791313989026</v>
      </c>
      <c r="I38" s="4" t="str">
        <f t="shared" si="4"/>
        <v>OK</v>
      </c>
    </row>
    <row r="39" spans="1:9" ht="15" customHeight="1" x14ac:dyDescent="0.2">
      <c r="A39" s="4" t="s">
        <v>111</v>
      </c>
      <c r="B39" s="5">
        <f>$B$4*(1+$B$5)^25</f>
        <v>32986680.089425109</v>
      </c>
      <c r="C39" s="5">
        <f t="shared" si="5"/>
        <v>310975013.03274775</v>
      </c>
      <c r="D39" s="5">
        <f>$B$4*(1+$B$5)^13</f>
        <v>8180404.7383474158</v>
      </c>
      <c r="E39" s="5">
        <f t="shared" si="0"/>
        <v>163608094.76694831</v>
      </c>
      <c r="F39" s="5">
        <f t="shared" si="1"/>
        <v>819</v>
      </c>
      <c r="G39" s="10">
        <f t="shared" si="2"/>
        <v>0.6825</v>
      </c>
      <c r="H39" s="10">
        <f t="shared" si="3"/>
        <v>289.3284317289619</v>
      </c>
      <c r="I39" s="4" t="str">
        <f t="shared" si="4"/>
        <v>OK</v>
      </c>
    </row>
    <row r="41" spans="1:9" ht="15" customHeight="1" x14ac:dyDescent="0.2">
      <c r="A41" s="9" t="s">
        <v>112</v>
      </c>
      <c r="B41" s="18" t="s">
        <v>113</v>
      </c>
    </row>
    <row r="42" spans="1:9" ht="15" customHeight="1" x14ac:dyDescent="0.2">
      <c r="B42" s="19" t="s">
        <v>114</v>
      </c>
    </row>
    <row r="43" spans="1:9" ht="15" customHeight="1" x14ac:dyDescent="0.2">
      <c r="B43" s="20" t="s">
        <v>115</v>
      </c>
    </row>
    <row r="45" spans="1:9" ht="15" customHeight="1" x14ac:dyDescent="0.2">
      <c r="A45" s="11" t="s">
        <v>116</v>
      </c>
    </row>
    <row r="46" spans="1:9" ht="15" customHeight="1" x14ac:dyDescent="0.2">
      <c r="A46" s="11" t="s">
        <v>117</v>
      </c>
    </row>
    <row r="47" spans="1:9" ht="15" customHeight="1" x14ac:dyDescent="0.2">
      <c r="A47" s="11" t="s">
        <v>118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zoomScaleNormal="100" workbookViewId="0">
      <selection sqref="A1:F1"/>
    </sheetView>
  </sheetViews>
  <sheetFormatPr baseColWidth="10" defaultColWidth="8.6640625" defaultRowHeight="15" customHeight="1" x14ac:dyDescent="0.2"/>
  <cols>
    <col min="1" max="1" width="36" customWidth="1"/>
    <col min="2" max="2" width="24" customWidth="1"/>
  </cols>
  <sheetData>
    <row r="1" spans="1:6" ht="17.25" customHeight="1" x14ac:dyDescent="0.2">
      <c r="A1" s="2" t="s">
        <v>119</v>
      </c>
      <c r="B1" s="2"/>
      <c r="C1" s="2"/>
      <c r="D1" s="2"/>
      <c r="E1" s="2"/>
      <c r="F1" s="2"/>
    </row>
    <row r="3" spans="1:6" ht="15" customHeight="1" x14ac:dyDescent="0.2">
      <c r="A3" s="8" t="s">
        <v>120</v>
      </c>
    </row>
    <row r="4" spans="1:6" ht="15" customHeight="1" x14ac:dyDescent="0.2">
      <c r="A4" s="9" t="s">
        <v>121</v>
      </c>
      <c r="B4" s="21"/>
    </row>
    <row r="5" spans="1:6" ht="15" customHeight="1" x14ac:dyDescent="0.2">
      <c r="A5" s="9" t="s">
        <v>122</v>
      </c>
      <c r="B5" s="21"/>
    </row>
    <row r="6" spans="1:6" ht="15" customHeight="1" x14ac:dyDescent="0.2">
      <c r="A6" s="9" t="s">
        <v>123</v>
      </c>
      <c r="B6" s="21"/>
    </row>
    <row r="7" spans="1:6" ht="15" customHeight="1" x14ac:dyDescent="0.2">
      <c r="A7" s="9" t="s">
        <v>124</v>
      </c>
      <c r="B7" s="21"/>
    </row>
    <row r="8" spans="1:6" ht="15" customHeight="1" x14ac:dyDescent="0.2">
      <c r="A8" s="9" t="s">
        <v>125</v>
      </c>
      <c r="B8" s="21"/>
    </row>
    <row r="9" spans="1:6" ht="15" customHeight="1" x14ac:dyDescent="0.2">
      <c r="A9" s="9" t="s">
        <v>126</v>
      </c>
      <c r="B9" s="21"/>
    </row>
    <row r="10" spans="1:6" ht="15" customHeight="1" x14ac:dyDescent="0.2">
      <c r="A10" s="9" t="s">
        <v>127</v>
      </c>
      <c r="B10" s="21"/>
    </row>
    <row r="11" spans="1:6" ht="15" customHeight="1" x14ac:dyDescent="0.2">
      <c r="A11" s="9" t="s">
        <v>128</v>
      </c>
      <c r="B11" s="21"/>
    </row>
    <row r="12" spans="1:6" ht="15" customHeight="1" x14ac:dyDescent="0.2">
      <c r="A12" s="9" t="s">
        <v>129</v>
      </c>
      <c r="B12" s="21"/>
    </row>
    <row r="13" spans="1:6" ht="15" customHeight="1" x14ac:dyDescent="0.2">
      <c r="A13" s="9" t="s">
        <v>130</v>
      </c>
      <c r="B13" s="21"/>
    </row>
    <row r="15" spans="1:6" ht="15" customHeight="1" x14ac:dyDescent="0.2">
      <c r="A15" s="11" t="s">
        <v>131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8"/>
  <sheetViews>
    <sheetView zoomScaleNormal="100" workbookViewId="0"/>
  </sheetViews>
  <sheetFormatPr baseColWidth="10" defaultColWidth="8.6640625" defaultRowHeight="15" customHeight="1" x14ac:dyDescent="0.2"/>
  <cols>
    <col min="1" max="4" width="8" customWidth="1"/>
  </cols>
  <sheetData>
    <row r="1" spans="1:4" ht="15" customHeight="1" x14ac:dyDescent="0.2">
      <c r="A1" t="s">
        <v>0</v>
      </c>
      <c r="B1" t="s">
        <v>1</v>
      </c>
      <c r="C1" t="s">
        <v>2</v>
      </c>
      <c r="D1" t="s">
        <v>3</v>
      </c>
    </row>
    <row r="2" spans="1:4" ht="15" customHeight="1" x14ac:dyDescent="0.2">
      <c r="A2">
        <v>2026</v>
      </c>
      <c r="B2">
        <v>2</v>
      </c>
      <c r="C2">
        <v>26</v>
      </c>
      <c r="D2">
        <v>17319</v>
      </c>
    </row>
    <row r="3" spans="1:4" ht="15" customHeight="1" x14ac:dyDescent="0.2">
      <c r="A3">
        <v>2026</v>
      </c>
      <c r="B3">
        <v>2</v>
      </c>
      <c r="C3">
        <v>25</v>
      </c>
      <c r="D3">
        <v>72371</v>
      </c>
    </row>
    <row r="4" spans="1:4" ht="15" customHeight="1" x14ac:dyDescent="0.2">
      <c r="A4">
        <v>2026</v>
      </c>
      <c r="B4">
        <v>2</v>
      </c>
      <c r="C4">
        <v>24</v>
      </c>
      <c r="D4">
        <v>75446</v>
      </c>
    </row>
    <row r="5" spans="1:4" ht="15" customHeight="1" x14ac:dyDescent="0.2">
      <c r="A5">
        <v>2026</v>
      </c>
      <c r="B5">
        <v>2</v>
      </c>
      <c r="C5">
        <v>23</v>
      </c>
      <c r="D5">
        <v>62945</v>
      </c>
    </row>
    <row r="6" spans="1:4" ht="15" customHeight="1" x14ac:dyDescent="0.2">
      <c r="A6">
        <v>2026</v>
      </c>
      <c r="B6">
        <v>2</v>
      </c>
      <c r="C6">
        <v>22</v>
      </c>
      <c r="D6">
        <v>64483</v>
      </c>
    </row>
    <row r="7" spans="1:4" ht="15" customHeight="1" x14ac:dyDescent="0.2">
      <c r="A7">
        <v>2026</v>
      </c>
      <c r="B7">
        <v>2</v>
      </c>
      <c r="C7">
        <v>21</v>
      </c>
      <c r="D7">
        <v>30952</v>
      </c>
    </row>
    <row r="8" spans="1:4" ht="15" customHeight="1" x14ac:dyDescent="0.2">
      <c r="A8">
        <v>2026</v>
      </c>
      <c r="B8">
        <v>2</v>
      </c>
      <c r="C8">
        <v>20</v>
      </c>
      <c r="D8">
        <v>35705</v>
      </c>
    </row>
    <row r="9" spans="1:4" ht="15" customHeight="1" x14ac:dyDescent="0.2">
      <c r="A9">
        <v>2026</v>
      </c>
      <c r="B9">
        <v>2</v>
      </c>
      <c r="C9">
        <v>19</v>
      </c>
      <c r="D9">
        <v>71867</v>
      </c>
    </row>
    <row r="10" spans="1:4" ht="15" customHeight="1" x14ac:dyDescent="0.2">
      <c r="A10">
        <v>2026</v>
      </c>
      <c r="B10">
        <v>2</v>
      </c>
      <c r="C10">
        <v>18</v>
      </c>
      <c r="D10">
        <v>71394</v>
      </c>
    </row>
    <row r="11" spans="1:4" ht="15" customHeight="1" x14ac:dyDescent="0.2">
      <c r="A11">
        <v>2026</v>
      </c>
      <c r="B11">
        <v>2</v>
      </c>
      <c r="C11">
        <v>17</v>
      </c>
      <c r="D11">
        <v>75221</v>
      </c>
    </row>
    <row r="12" spans="1:4" ht="15" customHeight="1" x14ac:dyDescent="0.2">
      <c r="A12">
        <v>2026</v>
      </c>
      <c r="B12">
        <v>2</v>
      </c>
      <c r="C12">
        <v>16</v>
      </c>
      <c r="D12">
        <v>67373</v>
      </c>
    </row>
    <row r="13" spans="1:4" ht="15" customHeight="1" x14ac:dyDescent="0.2">
      <c r="A13">
        <v>2026</v>
      </c>
      <c r="B13">
        <v>2</v>
      </c>
      <c r="C13">
        <v>15</v>
      </c>
      <c r="D13">
        <v>62788</v>
      </c>
    </row>
    <row r="14" spans="1:4" ht="15" customHeight="1" x14ac:dyDescent="0.2">
      <c r="A14">
        <v>2026</v>
      </c>
      <c r="B14">
        <v>2</v>
      </c>
      <c r="C14">
        <v>14</v>
      </c>
      <c r="D14">
        <v>29966</v>
      </c>
    </row>
    <row r="15" spans="1:4" ht="15" customHeight="1" x14ac:dyDescent="0.2">
      <c r="A15">
        <v>2026</v>
      </c>
      <c r="B15">
        <v>2</v>
      </c>
      <c r="C15">
        <v>13</v>
      </c>
      <c r="D15">
        <v>36409</v>
      </c>
    </row>
    <row r="16" spans="1:4" ht="15" customHeight="1" x14ac:dyDescent="0.2">
      <c r="A16">
        <v>2026</v>
      </c>
      <c r="B16">
        <v>2</v>
      </c>
      <c r="C16">
        <v>12</v>
      </c>
      <c r="D16">
        <v>69036</v>
      </c>
    </row>
    <row r="17" spans="1:4" ht="15" customHeight="1" x14ac:dyDescent="0.2">
      <c r="A17">
        <v>2026</v>
      </c>
      <c r="B17">
        <v>2</v>
      </c>
      <c r="C17">
        <v>11</v>
      </c>
      <c r="D17">
        <v>75022</v>
      </c>
    </row>
    <row r="18" spans="1:4" ht="15" customHeight="1" x14ac:dyDescent="0.2">
      <c r="A18">
        <v>2026</v>
      </c>
      <c r="B18">
        <v>2</v>
      </c>
      <c r="C18">
        <v>10</v>
      </c>
      <c r="D18">
        <v>73885</v>
      </c>
    </row>
    <row r="19" spans="1:4" ht="15" customHeight="1" x14ac:dyDescent="0.2">
      <c r="A19">
        <v>2026</v>
      </c>
      <c r="B19">
        <v>2</v>
      </c>
      <c r="C19">
        <v>9</v>
      </c>
      <c r="D19">
        <v>62893</v>
      </c>
    </row>
    <row r="20" spans="1:4" ht="15" customHeight="1" x14ac:dyDescent="0.2">
      <c r="A20">
        <v>2026</v>
      </c>
      <c r="B20">
        <v>2</v>
      </c>
      <c r="C20">
        <v>8</v>
      </c>
      <c r="D20">
        <v>63628</v>
      </c>
    </row>
    <row r="21" spans="1:4" ht="15" customHeight="1" x14ac:dyDescent="0.2">
      <c r="A21">
        <v>2026</v>
      </c>
      <c r="B21">
        <v>2</v>
      </c>
      <c r="C21">
        <v>7</v>
      </c>
      <c r="D21">
        <v>31743</v>
      </c>
    </row>
    <row r="22" spans="1:4" ht="15" customHeight="1" x14ac:dyDescent="0.2">
      <c r="A22">
        <v>2026</v>
      </c>
      <c r="B22">
        <v>2</v>
      </c>
      <c r="C22">
        <v>6</v>
      </c>
      <c r="D22">
        <v>31769</v>
      </c>
    </row>
    <row r="23" spans="1:4" ht="15" customHeight="1" x14ac:dyDescent="0.2">
      <c r="A23">
        <v>2026</v>
      </c>
      <c r="B23">
        <v>2</v>
      </c>
      <c r="C23">
        <v>5</v>
      </c>
      <c r="D23">
        <v>76031</v>
      </c>
    </row>
    <row r="24" spans="1:4" ht="15" customHeight="1" x14ac:dyDescent="0.2">
      <c r="A24">
        <v>2026</v>
      </c>
      <c r="B24">
        <v>2</v>
      </c>
      <c r="C24">
        <v>4</v>
      </c>
      <c r="D24">
        <v>71633</v>
      </c>
    </row>
    <row r="25" spans="1:4" ht="15" customHeight="1" x14ac:dyDescent="0.2">
      <c r="A25">
        <v>2026</v>
      </c>
      <c r="B25">
        <v>2</v>
      </c>
      <c r="C25">
        <v>3</v>
      </c>
      <c r="D25">
        <v>75521</v>
      </c>
    </row>
    <row r="26" spans="1:4" ht="15" customHeight="1" x14ac:dyDescent="0.2">
      <c r="A26">
        <v>2026</v>
      </c>
      <c r="B26">
        <v>2</v>
      </c>
      <c r="C26">
        <v>2</v>
      </c>
      <c r="D26">
        <v>71944</v>
      </c>
    </row>
    <row r="27" spans="1:4" ht="15" customHeight="1" x14ac:dyDescent="0.2">
      <c r="A27">
        <v>2026</v>
      </c>
      <c r="B27">
        <v>2</v>
      </c>
      <c r="C27">
        <v>1</v>
      </c>
      <c r="D27">
        <v>68844</v>
      </c>
    </row>
    <row r="28" spans="1:4" ht="15" customHeight="1" x14ac:dyDescent="0.2">
      <c r="A28">
        <v>2026</v>
      </c>
      <c r="B28">
        <v>2</v>
      </c>
      <c r="C28" t="s">
        <v>4</v>
      </c>
      <c r="D28">
        <v>1546188</v>
      </c>
    </row>
    <row r="29" spans="1:4" ht="15" customHeight="1" x14ac:dyDescent="0.2">
      <c r="A29">
        <v>2026</v>
      </c>
      <c r="B29">
        <v>1</v>
      </c>
      <c r="C29">
        <v>31</v>
      </c>
      <c r="D29">
        <v>26887</v>
      </c>
    </row>
    <row r="30" spans="1:4" ht="15" customHeight="1" x14ac:dyDescent="0.2">
      <c r="A30">
        <v>2026</v>
      </c>
      <c r="B30">
        <v>1</v>
      </c>
      <c r="C30">
        <v>30</v>
      </c>
      <c r="D30">
        <v>31467</v>
      </c>
    </row>
    <row r="31" spans="1:4" ht="15" customHeight="1" x14ac:dyDescent="0.2">
      <c r="A31">
        <v>2026</v>
      </c>
      <c r="B31">
        <v>1</v>
      </c>
      <c r="C31">
        <v>29</v>
      </c>
      <c r="D31">
        <v>71767</v>
      </c>
    </row>
    <row r="32" spans="1:4" ht="15" customHeight="1" x14ac:dyDescent="0.2">
      <c r="A32">
        <v>2026</v>
      </c>
      <c r="B32">
        <v>1</v>
      </c>
      <c r="C32">
        <v>28</v>
      </c>
      <c r="D32">
        <v>69509</v>
      </c>
    </row>
    <row r="33" spans="1:4" ht="15" customHeight="1" x14ac:dyDescent="0.2">
      <c r="A33">
        <v>2026</v>
      </c>
      <c r="B33">
        <v>1</v>
      </c>
      <c r="C33">
        <v>27</v>
      </c>
      <c r="D33">
        <v>71355</v>
      </c>
    </row>
    <row r="34" spans="1:4" ht="15" customHeight="1" x14ac:dyDescent="0.2">
      <c r="A34">
        <v>2026</v>
      </c>
      <c r="B34">
        <v>1</v>
      </c>
      <c r="C34">
        <v>26</v>
      </c>
      <c r="D34">
        <v>67022</v>
      </c>
    </row>
    <row r="35" spans="1:4" ht="15" customHeight="1" x14ac:dyDescent="0.2">
      <c r="A35">
        <v>2026</v>
      </c>
      <c r="B35">
        <v>1</v>
      </c>
      <c r="C35">
        <v>25</v>
      </c>
      <c r="D35">
        <v>62701</v>
      </c>
    </row>
    <row r="36" spans="1:4" ht="15" customHeight="1" x14ac:dyDescent="0.2">
      <c r="A36">
        <v>2026</v>
      </c>
      <c r="B36">
        <v>1</v>
      </c>
      <c r="C36">
        <v>24</v>
      </c>
      <c r="D36">
        <v>30881</v>
      </c>
    </row>
    <row r="37" spans="1:4" ht="15" customHeight="1" x14ac:dyDescent="0.2">
      <c r="A37">
        <v>2026</v>
      </c>
      <c r="B37">
        <v>1</v>
      </c>
      <c r="C37">
        <v>23</v>
      </c>
      <c r="D37">
        <v>34038</v>
      </c>
    </row>
    <row r="38" spans="1:4" ht="15" customHeight="1" x14ac:dyDescent="0.2">
      <c r="A38">
        <v>2026</v>
      </c>
      <c r="B38">
        <v>1</v>
      </c>
      <c r="C38">
        <v>22</v>
      </c>
      <c r="D38">
        <v>71955</v>
      </c>
    </row>
    <row r="39" spans="1:4" ht="15" customHeight="1" x14ac:dyDescent="0.2">
      <c r="A39">
        <v>2026</v>
      </c>
      <c r="B39">
        <v>1</v>
      </c>
      <c r="C39">
        <v>21</v>
      </c>
      <c r="D39">
        <v>68766</v>
      </c>
    </row>
    <row r="40" spans="1:4" ht="15" customHeight="1" x14ac:dyDescent="0.2">
      <c r="A40">
        <v>2026</v>
      </c>
      <c r="B40">
        <v>1</v>
      </c>
      <c r="C40">
        <v>20</v>
      </c>
      <c r="D40">
        <v>74652</v>
      </c>
    </row>
    <row r="41" spans="1:4" ht="15" customHeight="1" x14ac:dyDescent="0.2">
      <c r="A41">
        <v>2026</v>
      </c>
      <c r="B41">
        <v>1</v>
      </c>
      <c r="C41">
        <v>19</v>
      </c>
      <c r="D41">
        <v>69985</v>
      </c>
    </row>
    <row r="42" spans="1:4" ht="15" customHeight="1" x14ac:dyDescent="0.2">
      <c r="A42">
        <v>2026</v>
      </c>
      <c r="B42">
        <v>1</v>
      </c>
      <c r="C42">
        <v>18</v>
      </c>
      <c r="D42">
        <v>65670</v>
      </c>
    </row>
    <row r="43" spans="1:4" ht="15" customHeight="1" x14ac:dyDescent="0.2">
      <c r="A43">
        <v>2026</v>
      </c>
      <c r="B43">
        <v>1</v>
      </c>
      <c r="C43">
        <v>17</v>
      </c>
      <c r="D43">
        <v>34056</v>
      </c>
    </row>
    <row r="44" spans="1:4" ht="15" customHeight="1" x14ac:dyDescent="0.2">
      <c r="A44">
        <v>2026</v>
      </c>
      <c r="B44">
        <v>1</v>
      </c>
      <c r="C44">
        <v>16</v>
      </c>
      <c r="D44">
        <v>36542</v>
      </c>
    </row>
    <row r="45" spans="1:4" ht="15" customHeight="1" x14ac:dyDescent="0.2">
      <c r="A45">
        <v>2026</v>
      </c>
      <c r="B45">
        <v>1</v>
      </c>
      <c r="C45">
        <v>15</v>
      </c>
      <c r="D45">
        <v>73171</v>
      </c>
    </row>
    <row r="46" spans="1:4" ht="15" customHeight="1" x14ac:dyDescent="0.2">
      <c r="A46">
        <v>2026</v>
      </c>
      <c r="B46">
        <v>1</v>
      </c>
      <c r="C46">
        <v>14</v>
      </c>
      <c r="D46">
        <v>71509</v>
      </c>
    </row>
    <row r="47" spans="1:4" ht="15" customHeight="1" x14ac:dyDescent="0.2">
      <c r="A47">
        <v>2026</v>
      </c>
      <c r="B47">
        <v>1</v>
      </c>
      <c r="C47">
        <v>13</v>
      </c>
      <c r="D47">
        <v>77192</v>
      </c>
    </row>
    <row r="48" spans="1:4" ht="15" customHeight="1" x14ac:dyDescent="0.2">
      <c r="A48">
        <v>2026</v>
      </c>
      <c r="B48">
        <v>1</v>
      </c>
      <c r="C48">
        <v>12</v>
      </c>
      <c r="D48">
        <v>67282</v>
      </c>
    </row>
    <row r="49" spans="1:4" ht="15" customHeight="1" x14ac:dyDescent="0.2">
      <c r="A49">
        <v>2026</v>
      </c>
      <c r="B49">
        <v>1</v>
      </c>
      <c r="C49">
        <v>11</v>
      </c>
      <c r="D49">
        <v>67585</v>
      </c>
    </row>
    <row r="50" spans="1:4" ht="15" customHeight="1" x14ac:dyDescent="0.2">
      <c r="A50">
        <v>2026</v>
      </c>
      <c r="B50">
        <v>1</v>
      </c>
      <c r="C50">
        <v>10</v>
      </c>
      <c r="D50">
        <v>25103</v>
      </c>
    </row>
    <row r="51" spans="1:4" ht="15" customHeight="1" x14ac:dyDescent="0.2">
      <c r="A51">
        <v>2026</v>
      </c>
      <c r="B51">
        <v>1</v>
      </c>
      <c r="C51">
        <v>9</v>
      </c>
      <c r="D51">
        <v>50607</v>
      </c>
    </row>
    <row r="52" spans="1:4" ht="15" customHeight="1" x14ac:dyDescent="0.2">
      <c r="A52">
        <v>2026</v>
      </c>
      <c r="B52">
        <v>1</v>
      </c>
      <c r="C52">
        <v>8</v>
      </c>
      <c r="D52">
        <v>75586</v>
      </c>
    </row>
    <row r="53" spans="1:4" ht="15" customHeight="1" x14ac:dyDescent="0.2">
      <c r="A53">
        <v>2026</v>
      </c>
      <c r="B53">
        <v>1</v>
      </c>
      <c r="C53">
        <v>7</v>
      </c>
      <c r="D53">
        <v>78536</v>
      </c>
    </row>
    <row r="54" spans="1:4" ht="15" customHeight="1" x14ac:dyDescent="0.2">
      <c r="A54">
        <v>2026</v>
      </c>
      <c r="B54">
        <v>1</v>
      </c>
      <c r="C54">
        <v>6</v>
      </c>
      <c r="D54">
        <v>79484</v>
      </c>
    </row>
    <row r="55" spans="1:4" ht="15" customHeight="1" x14ac:dyDescent="0.2">
      <c r="A55">
        <v>2026</v>
      </c>
      <c r="B55">
        <v>1</v>
      </c>
      <c r="C55">
        <v>5</v>
      </c>
      <c r="D55">
        <v>77350</v>
      </c>
    </row>
    <row r="56" spans="1:4" ht="15" customHeight="1" x14ac:dyDescent="0.2">
      <c r="A56">
        <v>2026</v>
      </c>
      <c r="B56">
        <v>1</v>
      </c>
      <c r="C56">
        <v>4</v>
      </c>
      <c r="D56">
        <v>67069</v>
      </c>
    </row>
    <row r="57" spans="1:4" ht="15" customHeight="1" x14ac:dyDescent="0.2">
      <c r="A57">
        <v>2026</v>
      </c>
      <c r="B57">
        <v>1</v>
      </c>
      <c r="C57">
        <v>3</v>
      </c>
      <c r="D57">
        <v>28874</v>
      </c>
    </row>
    <row r="58" spans="1:4" ht="15" customHeight="1" x14ac:dyDescent="0.2">
      <c r="A58">
        <v>2026</v>
      </c>
      <c r="B58">
        <v>1</v>
      </c>
      <c r="C58">
        <v>2</v>
      </c>
      <c r="D58">
        <v>42507</v>
      </c>
    </row>
    <row r="59" spans="1:4" ht="15" customHeight="1" x14ac:dyDescent="0.2">
      <c r="A59">
        <v>2026</v>
      </c>
      <c r="B59">
        <v>1</v>
      </c>
      <c r="C59">
        <v>1</v>
      </c>
      <c r="D59">
        <v>37015</v>
      </c>
    </row>
    <row r="60" spans="1:4" ht="15" customHeight="1" x14ac:dyDescent="0.2">
      <c r="A60">
        <v>2026</v>
      </c>
      <c r="B60">
        <v>1</v>
      </c>
      <c r="C60" t="s">
        <v>4</v>
      </c>
      <c r="D60">
        <v>1806123</v>
      </c>
    </row>
    <row r="61" spans="1:4" ht="15" customHeight="1" x14ac:dyDescent="0.2">
      <c r="A61">
        <v>2026</v>
      </c>
      <c r="B61" t="s">
        <v>4</v>
      </c>
      <c r="C61" t="s">
        <v>4</v>
      </c>
      <c r="D61">
        <v>3352311</v>
      </c>
    </row>
    <row r="62" spans="1:4" ht="15" customHeight="1" x14ac:dyDescent="0.2">
      <c r="A62">
        <v>2025</v>
      </c>
      <c r="B62">
        <v>12</v>
      </c>
      <c r="C62">
        <v>31</v>
      </c>
      <c r="D62">
        <v>33118</v>
      </c>
    </row>
    <row r="63" spans="1:4" ht="15" customHeight="1" x14ac:dyDescent="0.2">
      <c r="A63">
        <v>2025</v>
      </c>
      <c r="B63">
        <v>12</v>
      </c>
      <c r="C63">
        <v>30</v>
      </c>
      <c r="D63">
        <v>72383</v>
      </c>
    </row>
    <row r="64" spans="1:4" ht="15" customHeight="1" x14ac:dyDescent="0.2">
      <c r="A64">
        <v>2025</v>
      </c>
      <c r="B64">
        <v>12</v>
      </c>
      <c r="C64">
        <v>29</v>
      </c>
      <c r="D64">
        <v>65790</v>
      </c>
    </row>
    <row r="65" spans="1:4" ht="15" customHeight="1" x14ac:dyDescent="0.2">
      <c r="A65">
        <v>2025</v>
      </c>
      <c r="B65">
        <v>12</v>
      </c>
      <c r="C65">
        <v>28</v>
      </c>
      <c r="D65">
        <v>71077</v>
      </c>
    </row>
    <row r="66" spans="1:4" ht="15" customHeight="1" x14ac:dyDescent="0.2">
      <c r="A66">
        <v>2025</v>
      </c>
      <c r="B66">
        <v>12</v>
      </c>
      <c r="C66">
        <v>27</v>
      </c>
      <c r="D66">
        <v>31815</v>
      </c>
    </row>
    <row r="67" spans="1:4" ht="15" customHeight="1" x14ac:dyDescent="0.2">
      <c r="A67">
        <v>2025</v>
      </c>
      <c r="B67">
        <v>12</v>
      </c>
      <c r="C67">
        <v>26</v>
      </c>
      <c r="D67">
        <v>27962</v>
      </c>
    </row>
    <row r="68" spans="1:4" ht="15" customHeight="1" x14ac:dyDescent="0.2">
      <c r="A68">
        <v>2025</v>
      </c>
      <c r="B68">
        <v>12</v>
      </c>
      <c r="C68">
        <v>25</v>
      </c>
      <c r="D68">
        <v>34937</v>
      </c>
    </row>
    <row r="69" spans="1:4" ht="15" customHeight="1" x14ac:dyDescent="0.2">
      <c r="A69">
        <v>2025</v>
      </c>
      <c r="B69">
        <v>12</v>
      </c>
      <c r="C69">
        <v>24</v>
      </c>
      <c r="D69">
        <v>34493</v>
      </c>
    </row>
    <row r="70" spans="1:4" ht="15" customHeight="1" x14ac:dyDescent="0.2">
      <c r="A70">
        <v>2025</v>
      </c>
      <c r="B70">
        <v>12</v>
      </c>
      <c r="C70">
        <v>23</v>
      </c>
      <c r="D70">
        <v>67726</v>
      </c>
    </row>
    <row r="71" spans="1:4" ht="15" customHeight="1" x14ac:dyDescent="0.2">
      <c r="A71">
        <v>2025</v>
      </c>
      <c r="B71">
        <v>12</v>
      </c>
      <c r="C71">
        <v>22</v>
      </c>
      <c r="D71">
        <v>68192</v>
      </c>
    </row>
    <row r="72" spans="1:4" ht="15" customHeight="1" x14ac:dyDescent="0.2">
      <c r="A72">
        <v>2025</v>
      </c>
      <c r="B72">
        <v>12</v>
      </c>
      <c r="C72">
        <v>21</v>
      </c>
      <c r="D72">
        <v>61629</v>
      </c>
    </row>
    <row r="73" spans="1:4" ht="15" customHeight="1" x14ac:dyDescent="0.2">
      <c r="A73">
        <v>2025</v>
      </c>
      <c r="B73">
        <v>12</v>
      </c>
      <c r="C73">
        <v>20</v>
      </c>
      <c r="D73">
        <v>32886</v>
      </c>
    </row>
    <row r="74" spans="1:4" ht="15" customHeight="1" x14ac:dyDescent="0.2">
      <c r="A74">
        <v>2025</v>
      </c>
      <c r="B74">
        <v>12</v>
      </c>
      <c r="C74">
        <v>19</v>
      </c>
      <c r="D74">
        <v>31186</v>
      </c>
    </row>
    <row r="75" spans="1:4" ht="15" customHeight="1" x14ac:dyDescent="0.2">
      <c r="A75">
        <v>2025</v>
      </c>
      <c r="B75">
        <v>12</v>
      </c>
      <c r="C75">
        <v>18</v>
      </c>
      <c r="D75">
        <v>76819</v>
      </c>
    </row>
    <row r="76" spans="1:4" ht="15" customHeight="1" x14ac:dyDescent="0.2">
      <c r="A76">
        <v>2025</v>
      </c>
      <c r="B76">
        <v>12</v>
      </c>
      <c r="C76">
        <v>17</v>
      </c>
      <c r="D76">
        <v>74220</v>
      </c>
    </row>
    <row r="77" spans="1:4" ht="15" customHeight="1" x14ac:dyDescent="0.2">
      <c r="A77">
        <v>2025</v>
      </c>
      <c r="B77">
        <v>12</v>
      </c>
      <c r="C77">
        <v>16</v>
      </c>
      <c r="D77">
        <v>73993</v>
      </c>
    </row>
    <row r="78" spans="1:4" ht="15" customHeight="1" x14ac:dyDescent="0.2">
      <c r="A78">
        <v>2025</v>
      </c>
      <c r="B78">
        <v>12</v>
      </c>
      <c r="C78">
        <v>15</v>
      </c>
      <c r="D78">
        <v>70557</v>
      </c>
    </row>
    <row r="79" spans="1:4" ht="15" customHeight="1" x14ac:dyDescent="0.2">
      <c r="A79">
        <v>2025</v>
      </c>
      <c r="B79">
        <v>12</v>
      </c>
      <c r="C79">
        <v>14</v>
      </c>
      <c r="D79">
        <v>70183</v>
      </c>
    </row>
    <row r="80" spans="1:4" ht="15" customHeight="1" x14ac:dyDescent="0.2">
      <c r="A80">
        <v>2025</v>
      </c>
      <c r="B80">
        <v>12</v>
      </c>
      <c r="C80">
        <v>13</v>
      </c>
      <c r="D80">
        <v>26928</v>
      </c>
    </row>
    <row r="81" spans="1:4" ht="15" customHeight="1" x14ac:dyDescent="0.2">
      <c r="A81">
        <v>2025</v>
      </c>
      <c r="B81">
        <v>12</v>
      </c>
      <c r="C81">
        <v>12</v>
      </c>
      <c r="D81">
        <v>37342</v>
      </c>
    </row>
    <row r="82" spans="1:4" ht="15" customHeight="1" x14ac:dyDescent="0.2">
      <c r="A82">
        <v>2025</v>
      </c>
      <c r="B82">
        <v>12</v>
      </c>
      <c r="C82">
        <v>11</v>
      </c>
      <c r="D82">
        <v>71837</v>
      </c>
    </row>
    <row r="83" spans="1:4" ht="15" customHeight="1" x14ac:dyDescent="0.2">
      <c r="A83">
        <v>2025</v>
      </c>
      <c r="B83">
        <v>12</v>
      </c>
      <c r="C83">
        <v>10</v>
      </c>
      <c r="D83">
        <v>72595</v>
      </c>
    </row>
    <row r="84" spans="1:4" ht="15" customHeight="1" x14ac:dyDescent="0.2">
      <c r="A84">
        <v>2025</v>
      </c>
      <c r="B84">
        <v>12</v>
      </c>
      <c r="C84">
        <v>9</v>
      </c>
      <c r="D84">
        <v>77882</v>
      </c>
    </row>
    <row r="85" spans="1:4" ht="15" customHeight="1" x14ac:dyDescent="0.2">
      <c r="A85">
        <v>2025</v>
      </c>
      <c r="B85">
        <v>12</v>
      </c>
      <c r="C85">
        <v>8</v>
      </c>
      <c r="D85">
        <v>78333</v>
      </c>
    </row>
    <row r="86" spans="1:4" ht="15" customHeight="1" x14ac:dyDescent="0.2">
      <c r="A86">
        <v>2025</v>
      </c>
      <c r="B86">
        <v>12</v>
      </c>
      <c r="C86">
        <v>7</v>
      </c>
      <c r="D86">
        <v>64043</v>
      </c>
    </row>
    <row r="87" spans="1:4" ht="15" customHeight="1" x14ac:dyDescent="0.2">
      <c r="A87">
        <v>2025</v>
      </c>
      <c r="B87">
        <v>12</v>
      </c>
      <c r="C87">
        <v>6</v>
      </c>
      <c r="D87">
        <v>27990</v>
      </c>
    </row>
    <row r="88" spans="1:4" ht="15" customHeight="1" x14ac:dyDescent="0.2">
      <c r="A88">
        <v>2025</v>
      </c>
      <c r="B88">
        <v>12</v>
      </c>
      <c r="C88">
        <v>5</v>
      </c>
      <c r="D88">
        <v>37654</v>
      </c>
    </row>
    <row r="89" spans="1:4" ht="15" customHeight="1" x14ac:dyDescent="0.2">
      <c r="A89">
        <v>2025</v>
      </c>
      <c r="B89">
        <v>12</v>
      </c>
      <c r="C89">
        <v>4</v>
      </c>
      <c r="D89">
        <v>76912</v>
      </c>
    </row>
    <row r="90" spans="1:4" ht="15" customHeight="1" x14ac:dyDescent="0.2">
      <c r="A90">
        <v>2025</v>
      </c>
      <c r="B90">
        <v>12</v>
      </c>
      <c r="C90">
        <v>3</v>
      </c>
      <c r="D90">
        <v>73857</v>
      </c>
    </row>
    <row r="91" spans="1:4" ht="15" customHeight="1" x14ac:dyDescent="0.2">
      <c r="A91">
        <v>2025</v>
      </c>
      <c r="B91">
        <v>12</v>
      </c>
      <c r="C91">
        <v>2</v>
      </c>
      <c r="D91">
        <v>71381</v>
      </c>
    </row>
    <row r="92" spans="1:4" ht="15" customHeight="1" x14ac:dyDescent="0.2">
      <c r="A92">
        <v>2025</v>
      </c>
      <c r="B92">
        <v>12</v>
      </c>
      <c r="C92">
        <v>1</v>
      </c>
      <c r="D92">
        <v>57720</v>
      </c>
    </row>
    <row r="93" spans="1:4" ht="15" customHeight="1" x14ac:dyDescent="0.2">
      <c r="A93">
        <v>2025</v>
      </c>
      <c r="B93">
        <v>12</v>
      </c>
      <c r="C93" t="s">
        <v>4</v>
      </c>
      <c r="D93">
        <v>1773440</v>
      </c>
    </row>
    <row r="94" spans="1:4" ht="15" customHeight="1" x14ac:dyDescent="0.2">
      <c r="A94">
        <v>2025</v>
      </c>
      <c r="B94">
        <v>11</v>
      </c>
      <c r="C94">
        <v>30</v>
      </c>
      <c r="D94">
        <v>58130</v>
      </c>
    </row>
    <row r="95" spans="1:4" ht="15" customHeight="1" x14ac:dyDescent="0.2">
      <c r="A95">
        <v>2025</v>
      </c>
      <c r="B95">
        <v>11</v>
      </c>
      <c r="C95">
        <v>29</v>
      </c>
      <c r="D95">
        <v>28868</v>
      </c>
    </row>
    <row r="96" spans="1:4" ht="15" customHeight="1" x14ac:dyDescent="0.2">
      <c r="A96">
        <v>2025</v>
      </c>
      <c r="B96">
        <v>11</v>
      </c>
      <c r="C96">
        <v>28</v>
      </c>
      <c r="D96">
        <v>18247</v>
      </c>
    </row>
    <row r="97" spans="1:4" ht="15" customHeight="1" x14ac:dyDescent="0.2">
      <c r="A97">
        <v>2025</v>
      </c>
      <c r="B97">
        <v>11</v>
      </c>
      <c r="C97">
        <v>27</v>
      </c>
      <c r="D97">
        <v>42020</v>
      </c>
    </row>
    <row r="98" spans="1:4" ht="15" customHeight="1" x14ac:dyDescent="0.2">
      <c r="A98">
        <v>2025</v>
      </c>
      <c r="B98">
        <v>11</v>
      </c>
      <c r="C98">
        <v>26</v>
      </c>
      <c r="D98">
        <v>66484</v>
      </c>
    </row>
    <row r="99" spans="1:4" ht="15" customHeight="1" x14ac:dyDescent="0.2">
      <c r="A99">
        <v>2025</v>
      </c>
      <c r="B99">
        <v>11</v>
      </c>
      <c r="C99">
        <v>25</v>
      </c>
      <c r="D99">
        <v>63968</v>
      </c>
    </row>
    <row r="100" spans="1:4" ht="15" customHeight="1" x14ac:dyDescent="0.2">
      <c r="A100">
        <v>2025</v>
      </c>
      <c r="B100">
        <v>11</v>
      </c>
      <c r="C100">
        <v>24</v>
      </c>
      <c r="D100">
        <v>63525</v>
      </c>
    </row>
    <row r="101" spans="1:4" ht="15" customHeight="1" x14ac:dyDescent="0.2">
      <c r="A101">
        <v>2025</v>
      </c>
      <c r="B101">
        <v>11</v>
      </c>
      <c r="C101">
        <v>23</v>
      </c>
      <c r="D101">
        <v>56264</v>
      </c>
    </row>
    <row r="102" spans="1:4" ht="15" customHeight="1" x14ac:dyDescent="0.2">
      <c r="A102">
        <v>2025</v>
      </c>
      <c r="B102">
        <v>11</v>
      </c>
      <c r="C102">
        <v>22</v>
      </c>
      <c r="D102">
        <v>29932</v>
      </c>
    </row>
    <row r="103" spans="1:4" ht="15" customHeight="1" x14ac:dyDescent="0.2">
      <c r="A103">
        <v>2025</v>
      </c>
      <c r="B103">
        <v>11</v>
      </c>
      <c r="C103">
        <v>21</v>
      </c>
      <c r="D103">
        <v>47149</v>
      </c>
    </row>
    <row r="104" spans="1:4" ht="15" customHeight="1" x14ac:dyDescent="0.2">
      <c r="A104">
        <v>2025</v>
      </c>
      <c r="B104">
        <v>11</v>
      </c>
      <c r="C104">
        <v>20</v>
      </c>
      <c r="D104">
        <v>65504</v>
      </c>
    </row>
    <row r="105" spans="1:4" ht="15" customHeight="1" x14ac:dyDescent="0.2">
      <c r="A105">
        <v>2025</v>
      </c>
      <c r="B105">
        <v>11</v>
      </c>
      <c r="C105">
        <v>19</v>
      </c>
      <c r="D105">
        <v>72056</v>
      </c>
    </row>
    <row r="106" spans="1:4" ht="15" customHeight="1" x14ac:dyDescent="0.2">
      <c r="A106">
        <v>2025</v>
      </c>
      <c r="B106">
        <v>11</v>
      </c>
      <c r="C106">
        <v>18</v>
      </c>
      <c r="D106">
        <v>73305</v>
      </c>
    </row>
    <row r="107" spans="1:4" ht="15" customHeight="1" x14ac:dyDescent="0.2">
      <c r="A107">
        <v>2025</v>
      </c>
      <c r="B107">
        <v>11</v>
      </c>
      <c r="C107">
        <v>17</v>
      </c>
      <c r="D107">
        <v>72619</v>
      </c>
    </row>
    <row r="108" spans="1:4" ht="15" customHeight="1" x14ac:dyDescent="0.2">
      <c r="A108">
        <v>2025</v>
      </c>
      <c r="B108">
        <v>11</v>
      </c>
      <c r="C108">
        <v>16</v>
      </c>
      <c r="D108">
        <v>71703</v>
      </c>
    </row>
    <row r="109" spans="1:4" ht="15" customHeight="1" x14ac:dyDescent="0.2">
      <c r="A109">
        <v>2025</v>
      </c>
      <c r="B109">
        <v>11</v>
      </c>
      <c r="C109">
        <v>15</v>
      </c>
      <c r="D109">
        <v>32637</v>
      </c>
    </row>
    <row r="110" spans="1:4" ht="15" customHeight="1" x14ac:dyDescent="0.2">
      <c r="A110">
        <v>2025</v>
      </c>
      <c r="B110">
        <v>11</v>
      </c>
      <c r="C110">
        <v>14</v>
      </c>
      <c r="D110">
        <v>58960</v>
      </c>
    </row>
    <row r="111" spans="1:4" ht="15" customHeight="1" x14ac:dyDescent="0.2">
      <c r="A111">
        <v>2025</v>
      </c>
      <c r="B111">
        <v>11</v>
      </c>
      <c r="C111">
        <v>13</v>
      </c>
      <c r="D111">
        <v>67437</v>
      </c>
    </row>
    <row r="112" spans="1:4" ht="15" customHeight="1" x14ac:dyDescent="0.2">
      <c r="A112">
        <v>2025</v>
      </c>
      <c r="B112">
        <v>11</v>
      </c>
      <c r="C112">
        <v>12</v>
      </c>
      <c r="D112">
        <v>56405</v>
      </c>
    </row>
    <row r="113" spans="1:4" ht="15" customHeight="1" x14ac:dyDescent="0.2">
      <c r="A113">
        <v>2025</v>
      </c>
      <c r="B113">
        <v>11</v>
      </c>
      <c r="C113">
        <v>11</v>
      </c>
      <c r="D113">
        <v>59778</v>
      </c>
    </row>
    <row r="114" spans="1:4" ht="15" customHeight="1" x14ac:dyDescent="0.2">
      <c r="A114">
        <v>2025</v>
      </c>
      <c r="B114">
        <v>11</v>
      </c>
      <c r="C114">
        <v>10</v>
      </c>
      <c r="D114">
        <v>64853</v>
      </c>
    </row>
    <row r="115" spans="1:4" ht="15" customHeight="1" x14ac:dyDescent="0.2">
      <c r="A115">
        <v>2025</v>
      </c>
      <c r="B115">
        <v>11</v>
      </c>
      <c r="C115">
        <v>9</v>
      </c>
      <c r="D115">
        <v>66344</v>
      </c>
    </row>
    <row r="116" spans="1:4" ht="15" customHeight="1" x14ac:dyDescent="0.2">
      <c r="A116">
        <v>2025</v>
      </c>
      <c r="B116">
        <v>11</v>
      </c>
      <c r="C116">
        <v>8</v>
      </c>
      <c r="D116">
        <v>31024</v>
      </c>
    </row>
    <row r="117" spans="1:4" ht="15" customHeight="1" x14ac:dyDescent="0.2">
      <c r="A117">
        <v>2025</v>
      </c>
      <c r="B117">
        <v>11</v>
      </c>
      <c r="C117">
        <v>7</v>
      </c>
      <c r="D117">
        <v>59377</v>
      </c>
    </row>
    <row r="118" spans="1:4" ht="15" customHeight="1" x14ac:dyDescent="0.2">
      <c r="A118">
        <v>2025</v>
      </c>
      <c r="B118">
        <v>11</v>
      </c>
      <c r="C118">
        <v>6</v>
      </c>
      <c r="D118">
        <v>69626</v>
      </c>
    </row>
    <row r="119" spans="1:4" ht="15" customHeight="1" x14ac:dyDescent="0.2">
      <c r="A119">
        <v>2025</v>
      </c>
      <c r="B119">
        <v>11</v>
      </c>
      <c r="C119">
        <v>5</v>
      </c>
      <c r="D119">
        <v>63263</v>
      </c>
    </row>
    <row r="120" spans="1:4" ht="15" customHeight="1" x14ac:dyDescent="0.2">
      <c r="A120">
        <v>2025</v>
      </c>
      <c r="B120">
        <v>11</v>
      </c>
      <c r="C120">
        <v>4</v>
      </c>
      <c r="D120">
        <v>68921</v>
      </c>
    </row>
    <row r="121" spans="1:4" ht="15" customHeight="1" x14ac:dyDescent="0.2">
      <c r="A121">
        <v>2025</v>
      </c>
      <c r="B121">
        <v>11</v>
      </c>
      <c r="C121">
        <v>3</v>
      </c>
      <c r="D121">
        <v>65894</v>
      </c>
    </row>
    <row r="122" spans="1:4" ht="15" customHeight="1" x14ac:dyDescent="0.2">
      <c r="A122">
        <v>2025</v>
      </c>
      <c r="B122">
        <v>11</v>
      </c>
      <c r="C122">
        <v>2</v>
      </c>
      <c r="D122">
        <v>64190</v>
      </c>
    </row>
    <row r="123" spans="1:4" ht="15" customHeight="1" x14ac:dyDescent="0.2">
      <c r="A123">
        <v>2025</v>
      </c>
      <c r="B123">
        <v>11</v>
      </c>
      <c r="C123">
        <v>1</v>
      </c>
      <c r="D123">
        <v>28046</v>
      </c>
    </row>
    <row r="124" spans="1:4" ht="15" customHeight="1" x14ac:dyDescent="0.2">
      <c r="A124">
        <v>2025</v>
      </c>
      <c r="B124">
        <v>11</v>
      </c>
      <c r="C124" t="s">
        <v>4</v>
      </c>
      <c r="D124">
        <v>1686529</v>
      </c>
    </row>
    <row r="125" spans="1:4" ht="15" customHeight="1" x14ac:dyDescent="0.2">
      <c r="A125">
        <v>2025</v>
      </c>
      <c r="B125">
        <v>10</v>
      </c>
      <c r="C125">
        <v>31</v>
      </c>
      <c r="D125">
        <v>37591</v>
      </c>
    </row>
    <row r="126" spans="1:4" ht="15" customHeight="1" x14ac:dyDescent="0.2">
      <c r="A126">
        <v>2025</v>
      </c>
      <c r="B126">
        <v>10</v>
      </c>
      <c r="C126">
        <v>30</v>
      </c>
      <c r="D126">
        <v>64414</v>
      </c>
    </row>
    <row r="127" spans="1:4" ht="15" customHeight="1" x14ac:dyDescent="0.2">
      <c r="A127">
        <v>2025</v>
      </c>
      <c r="B127">
        <v>10</v>
      </c>
      <c r="C127">
        <v>29</v>
      </c>
      <c r="D127">
        <v>76379</v>
      </c>
    </row>
    <row r="128" spans="1:4" ht="15" customHeight="1" x14ac:dyDescent="0.2">
      <c r="A128">
        <v>2025</v>
      </c>
      <c r="B128">
        <v>10</v>
      </c>
      <c r="C128">
        <v>28</v>
      </c>
      <c r="D128">
        <v>70164</v>
      </c>
    </row>
    <row r="129" spans="1:4" ht="15" customHeight="1" x14ac:dyDescent="0.2">
      <c r="A129">
        <v>2025</v>
      </c>
      <c r="B129">
        <v>10</v>
      </c>
      <c r="C129">
        <v>27</v>
      </c>
      <c r="D129">
        <v>68958</v>
      </c>
    </row>
    <row r="130" spans="1:4" ht="15" customHeight="1" x14ac:dyDescent="0.2">
      <c r="A130">
        <v>2025</v>
      </c>
      <c r="B130">
        <v>10</v>
      </c>
      <c r="C130">
        <v>26</v>
      </c>
      <c r="D130">
        <v>59511</v>
      </c>
    </row>
    <row r="131" spans="1:4" ht="15" customHeight="1" x14ac:dyDescent="0.2">
      <c r="A131">
        <v>2025</v>
      </c>
      <c r="B131">
        <v>10</v>
      </c>
      <c r="C131">
        <v>25</v>
      </c>
      <c r="D131">
        <v>29493</v>
      </c>
    </row>
    <row r="132" spans="1:4" ht="15" customHeight="1" x14ac:dyDescent="0.2">
      <c r="A132">
        <v>2025</v>
      </c>
      <c r="B132">
        <v>10</v>
      </c>
      <c r="C132">
        <v>24</v>
      </c>
      <c r="D132">
        <v>40777</v>
      </c>
    </row>
    <row r="133" spans="1:4" ht="15" customHeight="1" x14ac:dyDescent="0.2">
      <c r="A133">
        <v>2025</v>
      </c>
      <c r="B133">
        <v>10</v>
      </c>
      <c r="C133">
        <v>23</v>
      </c>
      <c r="D133">
        <v>68248</v>
      </c>
    </row>
    <row r="134" spans="1:4" ht="15" customHeight="1" x14ac:dyDescent="0.2">
      <c r="A134">
        <v>2025</v>
      </c>
      <c r="B134">
        <v>10</v>
      </c>
      <c r="C134">
        <v>22</v>
      </c>
      <c r="D134">
        <v>77544</v>
      </c>
    </row>
    <row r="135" spans="1:4" ht="15" customHeight="1" x14ac:dyDescent="0.2">
      <c r="A135">
        <v>2025</v>
      </c>
      <c r="B135">
        <v>10</v>
      </c>
      <c r="C135">
        <v>21</v>
      </c>
      <c r="D135">
        <v>68263</v>
      </c>
    </row>
    <row r="136" spans="1:4" ht="15" customHeight="1" x14ac:dyDescent="0.2">
      <c r="A136">
        <v>2025</v>
      </c>
      <c r="B136">
        <v>10</v>
      </c>
      <c r="C136">
        <v>20</v>
      </c>
      <c r="D136">
        <v>65427</v>
      </c>
    </row>
    <row r="137" spans="1:4" ht="15" customHeight="1" x14ac:dyDescent="0.2">
      <c r="A137">
        <v>2025</v>
      </c>
      <c r="B137">
        <v>10</v>
      </c>
      <c r="C137">
        <v>19</v>
      </c>
      <c r="D137">
        <v>63674</v>
      </c>
    </row>
    <row r="138" spans="1:4" ht="15" customHeight="1" x14ac:dyDescent="0.2">
      <c r="A138">
        <v>2025</v>
      </c>
      <c r="B138">
        <v>10</v>
      </c>
      <c r="C138">
        <v>18</v>
      </c>
      <c r="D138">
        <v>25388</v>
      </c>
    </row>
    <row r="139" spans="1:4" ht="15" customHeight="1" x14ac:dyDescent="0.2">
      <c r="A139">
        <v>2025</v>
      </c>
      <c r="B139">
        <v>10</v>
      </c>
      <c r="C139">
        <v>17</v>
      </c>
      <c r="D139">
        <v>30233</v>
      </c>
    </row>
    <row r="140" spans="1:4" ht="15" customHeight="1" x14ac:dyDescent="0.2">
      <c r="A140">
        <v>2025</v>
      </c>
      <c r="B140">
        <v>10</v>
      </c>
      <c r="C140">
        <v>16</v>
      </c>
      <c r="D140">
        <v>76463</v>
      </c>
    </row>
    <row r="141" spans="1:4" ht="15" customHeight="1" x14ac:dyDescent="0.2">
      <c r="A141">
        <v>2025</v>
      </c>
      <c r="B141">
        <v>10</v>
      </c>
      <c r="C141">
        <v>15</v>
      </c>
      <c r="D141">
        <v>67414</v>
      </c>
    </row>
    <row r="142" spans="1:4" ht="15" customHeight="1" x14ac:dyDescent="0.2">
      <c r="A142">
        <v>2025</v>
      </c>
      <c r="B142">
        <v>10</v>
      </c>
      <c r="C142">
        <v>14</v>
      </c>
      <c r="D142">
        <v>69371</v>
      </c>
    </row>
    <row r="143" spans="1:4" ht="15" customHeight="1" x14ac:dyDescent="0.2">
      <c r="A143">
        <v>2025</v>
      </c>
      <c r="B143">
        <v>10</v>
      </c>
      <c r="C143">
        <v>13</v>
      </c>
      <c r="D143">
        <v>68777</v>
      </c>
    </row>
    <row r="144" spans="1:4" ht="15" customHeight="1" x14ac:dyDescent="0.2">
      <c r="A144">
        <v>2025</v>
      </c>
      <c r="B144">
        <v>10</v>
      </c>
      <c r="C144">
        <v>12</v>
      </c>
      <c r="D144">
        <v>59828</v>
      </c>
    </row>
    <row r="145" spans="1:4" ht="15" customHeight="1" x14ac:dyDescent="0.2">
      <c r="A145">
        <v>2025</v>
      </c>
      <c r="B145">
        <v>10</v>
      </c>
      <c r="C145">
        <v>11</v>
      </c>
      <c r="D145">
        <v>31365</v>
      </c>
    </row>
    <row r="146" spans="1:4" ht="15" customHeight="1" x14ac:dyDescent="0.2">
      <c r="A146">
        <v>2025</v>
      </c>
      <c r="B146">
        <v>10</v>
      </c>
      <c r="C146">
        <v>10</v>
      </c>
      <c r="D146">
        <v>30615</v>
      </c>
    </row>
    <row r="147" spans="1:4" ht="15" customHeight="1" x14ac:dyDescent="0.2">
      <c r="A147">
        <v>2025</v>
      </c>
      <c r="B147">
        <v>10</v>
      </c>
      <c r="C147">
        <v>9</v>
      </c>
      <c r="D147">
        <v>67965</v>
      </c>
    </row>
    <row r="148" spans="1:4" ht="15" customHeight="1" x14ac:dyDescent="0.2">
      <c r="A148">
        <v>2025</v>
      </c>
      <c r="B148">
        <v>10</v>
      </c>
      <c r="C148">
        <v>8</v>
      </c>
      <c r="D148">
        <v>73278</v>
      </c>
    </row>
    <row r="149" spans="1:4" ht="15" customHeight="1" x14ac:dyDescent="0.2">
      <c r="A149">
        <v>2025</v>
      </c>
      <c r="B149">
        <v>10</v>
      </c>
      <c r="C149">
        <v>7</v>
      </c>
      <c r="D149">
        <v>71442</v>
      </c>
    </row>
    <row r="150" spans="1:4" ht="15" customHeight="1" x14ac:dyDescent="0.2">
      <c r="A150">
        <v>2025</v>
      </c>
      <c r="B150">
        <v>10</v>
      </c>
      <c r="C150">
        <v>6</v>
      </c>
      <c r="D150">
        <v>63824</v>
      </c>
    </row>
    <row r="151" spans="1:4" ht="15" customHeight="1" x14ac:dyDescent="0.2">
      <c r="A151">
        <v>2025</v>
      </c>
      <c r="B151">
        <v>10</v>
      </c>
      <c r="C151">
        <v>5</v>
      </c>
      <c r="D151">
        <v>59899</v>
      </c>
    </row>
    <row r="152" spans="1:4" ht="15" customHeight="1" x14ac:dyDescent="0.2">
      <c r="A152">
        <v>2025</v>
      </c>
      <c r="B152">
        <v>10</v>
      </c>
      <c r="C152">
        <v>4</v>
      </c>
      <c r="D152">
        <v>30299</v>
      </c>
    </row>
    <row r="153" spans="1:4" ht="15" customHeight="1" x14ac:dyDescent="0.2">
      <c r="A153">
        <v>2025</v>
      </c>
      <c r="B153">
        <v>10</v>
      </c>
      <c r="C153">
        <v>3</v>
      </c>
      <c r="D153">
        <v>27659</v>
      </c>
    </row>
    <row r="154" spans="1:4" ht="15" customHeight="1" x14ac:dyDescent="0.2">
      <c r="A154">
        <v>2025</v>
      </c>
      <c r="B154">
        <v>10</v>
      </c>
      <c r="C154">
        <v>2</v>
      </c>
      <c r="D154">
        <v>63106</v>
      </c>
    </row>
    <row r="155" spans="1:4" ht="15" customHeight="1" x14ac:dyDescent="0.2">
      <c r="A155">
        <v>2025</v>
      </c>
      <c r="B155">
        <v>10</v>
      </c>
      <c r="C155">
        <v>1</v>
      </c>
      <c r="D155">
        <v>68671</v>
      </c>
    </row>
    <row r="156" spans="1:4" ht="15" customHeight="1" x14ac:dyDescent="0.2">
      <c r="A156">
        <v>2025</v>
      </c>
      <c r="B156">
        <v>10</v>
      </c>
      <c r="C156" t="s">
        <v>4</v>
      </c>
      <c r="D156">
        <v>1776040</v>
      </c>
    </row>
    <row r="157" spans="1:4" ht="15" customHeight="1" x14ac:dyDescent="0.2">
      <c r="A157">
        <v>2025</v>
      </c>
      <c r="B157">
        <v>9</v>
      </c>
      <c r="C157">
        <v>30</v>
      </c>
      <c r="D157">
        <v>65903</v>
      </c>
    </row>
    <row r="158" spans="1:4" ht="15" customHeight="1" x14ac:dyDescent="0.2">
      <c r="A158">
        <v>2025</v>
      </c>
      <c r="B158">
        <v>9</v>
      </c>
      <c r="C158">
        <v>29</v>
      </c>
      <c r="D158">
        <v>65104</v>
      </c>
    </row>
    <row r="159" spans="1:4" ht="15" customHeight="1" x14ac:dyDescent="0.2">
      <c r="A159">
        <v>2025</v>
      </c>
      <c r="B159">
        <v>9</v>
      </c>
      <c r="C159">
        <v>28</v>
      </c>
      <c r="D159">
        <v>55154</v>
      </c>
    </row>
    <row r="160" spans="1:4" ht="15" customHeight="1" x14ac:dyDescent="0.2">
      <c r="A160">
        <v>2025</v>
      </c>
      <c r="B160">
        <v>9</v>
      </c>
      <c r="C160">
        <v>27</v>
      </c>
      <c r="D160">
        <v>31123</v>
      </c>
    </row>
    <row r="161" spans="1:4" ht="15" customHeight="1" x14ac:dyDescent="0.2">
      <c r="A161">
        <v>2025</v>
      </c>
      <c r="B161">
        <v>9</v>
      </c>
      <c r="C161">
        <v>26</v>
      </c>
      <c r="D161">
        <v>31816</v>
      </c>
    </row>
    <row r="162" spans="1:4" ht="15" customHeight="1" x14ac:dyDescent="0.2">
      <c r="A162">
        <v>2025</v>
      </c>
      <c r="B162">
        <v>9</v>
      </c>
      <c r="C162">
        <v>25</v>
      </c>
      <c r="D162">
        <v>68228</v>
      </c>
    </row>
    <row r="163" spans="1:4" ht="15" customHeight="1" x14ac:dyDescent="0.2">
      <c r="A163">
        <v>2025</v>
      </c>
      <c r="B163">
        <v>9</v>
      </c>
      <c r="C163">
        <v>24</v>
      </c>
      <c r="D163">
        <v>69033</v>
      </c>
    </row>
    <row r="164" spans="1:4" ht="15" customHeight="1" x14ac:dyDescent="0.2">
      <c r="A164">
        <v>2025</v>
      </c>
      <c r="B164">
        <v>9</v>
      </c>
      <c r="C164">
        <v>23</v>
      </c>
      <c r="D164">
        <v>65687</v>
      </c>
    </row>
    <row r="165" spans="1:4" ht="15" customHeight="1" x14ac:dyDescent="0.2">
      <c r="A165">
        <v>2025</v>
      </c>
      <c r="B165">
        <v>9</v>
      </c>
      <c r="C165">
        <v>22</v>
      </c>
      <c r="D165">
        <v>62633</v>
      </c>
    </row>
    <row r="166" spans="1:4" ht="15" customHeight="1" x14ac:dyDescent="0.2">
      <c r="A166">
        <v>2025</v>
      </c>
      <c r="B166">
        <v>9</v>
      </c>
      <c r="C166">
        <v>21</v>
      </c>
      <c r="D166">
        <v>60975</v>
      </c>
    </row>
    <row r="167" spans="1:4" ht="15" customHeight="1" x14ac:dyDescent="0.2">
      <c r="A167">
        <v>2025</v>
      </c>
      <c r="B167">
        <v>9</v>
      </c>
      <c r="C167">
        <v>20</v>
      </c>
      <c r="D167">
        <v>31262</v>
      </c>
    </row>
    <row r="168" spans="1:4" ht="15" customHeight="1" x14ac:dyDescent="0.2">
      <c r="A168">
        <v>2025</v>
      </c>
      <c r="B168">
        <v>9</v>
      </c>
      <c r="C168">
        <v>19</v>
      </c>
      <c r="D168">
        <v>30442</v>
      </c>
    </row>
    <row r="169" spans="1:4" ht="15" customHeight="1" x14ac:dyDescent="0.2">
      <c r="A169">
        <v>2025</v>
      </c>
      <c r="B169">
        <v>9</v>
      </c>
      <c r="C169">
        <v>18</v>
      </c>
      <c r="D169">
        <v>66919</v>
      </c>
    </row>
    <row r="170" spans="1:4" ht="15" customHeight="1" x14ac:dyDescent="0.2">
      <c r="A170">
        <v>2025</v>
      </c>
      <c r="B170">
        <v>9</v>
      </c>
      <c r="C170">
        <v>17</v>
      </c>
      <c r="D170">
        <v>73252</v>
      </c>
    </row>
    <row r="171" spans="1:4" ht="15" customHeight="1" x14ac:dyDescent="0.2">
      <c r="A171">
        <v>2025</v>
      </c>
      <c r="B171">
        <v>9</v>
      </c>
      <c r="C171">
        <v>16</v>
      </c>
      <c r="D171">
        <v>70230</v>
      </c>
    </row>
    <row r="172" spans="1:4" ht="15" customHeight="1" x14ac:dyDescent="0.2">
      <c r="A172">
        <v>2025</v>
      </c>
      <c r="B172">
        <v>9</v>
      </c>
      <c r="C172">
        <v>15</v>
      </c>
      <c r="D172">
        <v>68161</v>
      </c>
    </row>
    <row r="173" spans="1:4" ht="15" customHeight="1" x14ac:dyDescent="0.2">
      <c r="A173">
        <v>2025</v>
      </c>
      <c r="B173">
        <v>9</v>
      </c>
      <c r="C173">
        <v>14</v>
      </c>
      <c r="D173">
        <v>61359</v>
      </c>
    </row>
    <row r="174" spans="1:4" ht="15" customHeight="1" x14ac:dyDescent="0.2">
      <c r="A174">
        <v>2025</v>
      </c>
      <c r="B174">
        <v>9</v>
      </c>
      <c r="C174">
        <v>13</v>
      </c>
      <c r="D174">
        <v>30838</v>
      </c>
    </row>
    <row r="175" spans="1:4" ht="15" customHeight="1" x14ac:dyDescent="0.2">
      <c r="A175">
        <v>2025</v>
      </c>
      <c r="B175">
        <v>9</v>
      </c>
      <c r="C175">
        <v>12</v>
      </c>
      <c r="D175">
        <v>28848</v>
      </c>
    </row>
    <row r="176" spans="1:4" ht="15" customHeight="1" x14ac:dyDescent="0.2">
      <c r="A176">
        <v>2025</v>
      </c>
      <c r="B176">
        <v>9</v>
      </c>
      <c r="C176">
        <v>11</v>
      </c>
      <c r="D176">
        <v>78956</v>
      </c>
    </row>
    <row r="177" spans="1:4" ht="15" customHeight="1" x14ac:dyDescent="0.2">
      <c r="A177">
        <v>2025</v>
      </c>
      <c r="B177">
        <v>9</v>
      </c>
      <c r="C177">
        <v>10</v>
      </c>
      <c r="D177">
        <v>74482</v>
      </c>
    </row>
    <row r="178" spans="1:4" ht="15" customHeight="1" x14ac:dyDescent="0.2">
      <c r="A178">
        <v>2025</v>
      </c>
      <c r="B178">
        <v>9</v>
      </c>
      <c r="C178">
        <v>9</v>
      </c>
      <c r="D178">
        <v>72604</v>
      </c>
    </row>
    <row r="179" spans="1:4" ht="15" customHeight="1" x14ac:dyDescent="0.2">
      <c r="A179">
        <v>2025</v>
      </c>
      <c r="B179">
        <v>9</v>
      </c>
      <c r="C179">
        <v>8</v>
      </c>
      <c r="D179">
        <v>67697</v>
      </c>
    </row>
    <row r="180" spans="1:4" ht="15" customHeight="1" x14ac:dyDescent="0.2">
      <c r="A180">
        <v>2025</v>
      </c>
      <c r="B180">
        <v>9</v>
      </c>
      <c r="C180">
        <v>7</v>
      </c>
      <c r="D180">
        <v>61250</v>
      </c>
    </row>
    <row r="181" spans="1:4" ht="15" customHeight="1" x14ac:dyDescent="0.2">
      <c r="A181">
        <v>2025</v>
      </c>
      <c r="B181">
        <v>9</v>
      </c>
      <c r="C181">
        <v>6</v>
      </c>
      <c r="D181">
        <v>31963</v>
      </c>
    </row>
    <row r="182" spans="1:4" ht="15" customHeight="1" x14ac:dyDescent="0.2">
      <c r="A182">
        <v>2025</v>
      </c>
      <c r="B182">
        <v>9</v>
      </c>
      <c r="C182">
        <v>5</v>
      </c>
      <c r="D182">
        <v>31464</v>
      </c>
    </row>
    <row r="183" spans="1:4" ht="15" customHeight="1" x14ac:dyDescent="0.2">
      <c r="A183">
        <v>2025</v>
      </c>
      <c r="B183">
        <v>9</v>
      </c>
      <c r="C183">
        <v>4</v>
      </c>
      <c r="D183">
        <v>69266</v>
      </c>
    </row>
    <row r="184" spans="1:4" ht="15" customHeight="1" x14ac:dyDescent="0.2">
      <c r="A184">
        <v>2025</v>
      </c>
      <c r="B184">
        <v>9</v>
      </c>
      <c r="C184">
        <v>3</v>
      </c>
      <c r="D184">
        <v>67060</v>
      </c>
    </row>
    <row r="185" spans="1:4" ht="15" customHeight="1" x14ac:dyDescent="0.2">
      <c r="A185">
        <v>2025</v>
      </c>
      <c r="B185">
        <v>9</v>
      </c>
      <c r="C185">
        <v>2</v>
      </c>
      <c r="D185">
        <v>56400</v>
      </c>
    </row>
    <row r="186" spans="1:4" ht="15" customHeight="1" x14ac:dyDescent="0.2">
      <c r="A186">
        <v>2025</v>
      </c>
      <c r="B186">
        <v>9</v>
      </c>
      <c r="C186">
        <v>1</v>
      </c>
      <c r="D186">
        <v>35831</v>
      </c>
    </row>
    <row r="187" spans="1:4" ht="15" customHeight="1" x14ac:dyDescent="0.2">
      <c r="A187">
        <v>2025</v>
      </c>
      <c r="B187">
        <v>9</v>
      </c>
      <c r="C187" t="s">
        <v>4</v>
      </c>
      <c r="D187">
        <v>1683940</v>
      </c>
    </row>
    <row r="188" spans="1:4" ht="15" customHeight="1" x14ac:dyDescent="0.2">
      <c r="A188">
        <v>2025</v>
      </c>
      <c r="B188">
        <v>8</v>
      </c>
      <c r="C188">
        <v>31</v>
      </c>
      <c r="D188">
        <v>55448</v>
      </c>
    </row>
    <row r="189" spans="1:4" ht="15" customHeight="1" x14ac:dyDescent="0.2">
      <c r="A189">
        <v>2025</v>
      </c>
      <c r="B189">
        <v>8</v>
      </c>
      <c r="C189">
        <v>30</v>
      </c>
      <c r="D189">
        <v>27007</v>
      </c>
    </row>
    <row r="190" spans="1:4" ht="15" customHeight="1" x14ac:dyDescent="0.2">
      <c r="A190">
        <v>2025</v>
      </c>
      <c r="B190">
        <v>8</v>
      </c>
      <c r="C190">
        <v>29</v>
      </c>
      <c r="D190">
        <v>35610</v>
      </c>
    </row>
    <row r="191" spans="1:4" ht="15" customHeight="1" x14ac:dyDescent="0.2">
      <c r="A191">
        <v>2025</v>
      </c>
      <c r="B191">
        <v>8</v>
      </c>
      <c r="C191">
        <v>28</v>
      </c>
      <c r="D191">
        <v>67583</v>
      </c>
    </row>
    <row r="192" spans="1:4" ht="15" customHeight="1" x14ac:dyDescent="0.2">
      <c r="A192">
        <v>2025</v>
      </c>
      <c r="B192">
        <v>8</v>
      </c>
      <c r="C192">
        <v>27</v>
      </c>
      <c r="D192">
        <v>64329</v>
      </c>
    </row>
    <row r="193" spans="1:4" ht="15" customHeight="1" x14ac:dyDescent="0.2">
      <c r="A193">
        <v>2025</v>
      </c>
      <c r="B193">
        <v>8</v>
      </c>
      <c r="C193">
        <v>26</v>
      </c>
      <c r="D193">
        <v>66029</v>
      </c>
    </row>
    <row r="194" spans="1:4" ht="15" customHeight="1" x14ac:dyDescent="0.2">
      <c r="A194">
        <v>2025</v>
      </c>
      <c r="B194">
        <v>8</v>
      </c>
      <c r="C194">
        <v>25</v>
      </c>
      <c r="D194">
        <v>67958</v>
      </c>
    </row>
    <row r="195" spans="1:4" ht="15" customHeight="1" x14ac:dyDescent="0.2">
      <c r="A195">
        <v>2025</v>
      </c>
      <c r="B195">
        <v>8</v>
      </c>
      <c r="C195">
        <v>24</v>
      </c>
      <c r="D195">
        <v>58417</v>
      </c>
    </row>
    <row r="196" spans="1:4" ht="15" customHeight="1" x14ac:dyDescent="0.2">
      <c r="A196">
        <v>2025</v>
      </c>
      <c r="B196">
        <v>8</v>
      </c>
      <c r="C196">
        <v>23</v>
      </c>
      <c r="D196">
        <v>30808</v>
      </c>
    </row>
    <row r="197" spans="1:4" ht="15" customHeight="1" x14ac:dyDescent="0.2">
      <c r="A197">
        <v>2025</v>
      </c>
      <c r="B197">
        <v>8</v>
      </c>
      <c r="C197">
        <v>22</v>
      </c>
      <c r="D197">
        <v>30341</v>
      </c>
    </row>
    <row r="198" spans="1:4" ht="15" customHeight="1" x14ac:dyDescent="0.2">
      <c r="A198">
        <v>2025</v>
      </c>
      <c r="B198">
        <v>8</v>
      </c>
      <c r="C198">
        <v>21</v>
      </c>
      <c r="D198">
        <v>63929</v>
      </c>
    </row>
    <row r="199" spans="1:4" ht="15" customHeight="1" x14ac:dyDescent="0.2">
      <c r="A199">
        <v>2025</v>
      </c>
      <c r="B199">
        <v>8</v>
      </c>
      <c r="C199">
        <v>20</v>
      </c>
      <c r="D199">
        <v>64399</v>
      </c>
    </row>
    <row r="200" spans="1:4" ht="15" customHeight="1" x14ac:dyDescent="0.2">
      <c r="A200">
        <v>2025</v>
      </c>
      <c r="B200">
        <v>8</v>
      </c>
      <c r="C200">
        <v>19</v>
      </c>
      <c r="D200">
        <v>65172</v>
      </c>
    </row>
    <row r="201" spans="1:4" ht="15" customHeight="1" x14ac:dyDescent="0.2">
      <c r="A201">
        <v>2025</v>
      </c>
      <c r="B201">
        <v>8</v>
      </c>
      <c r="C201">
        <v>18</v>
      </c>
      <c r="D201">
        <v>67499</v>
      </c>
    </row>
    <row r="202" spans="1:4" ht="15" customHeight="1" x14ac:dyDescent="0.2">
      <c r="A202">
        <v>2025</v>
      </c>
      <c r="B202">
        <v>8</v>
      </c>
      <c r="C202">
        <v>17</v>
      </c>
      <c r="D202">
        <v>59307</v>
      </c>
    </row>
    <row r="203" spans="1:4" ht="15" customHeight="1" x14ac:dyDescent="0.2">
      <c r="A203">
        <v>2025</v>
      </c>
      <c r="B203">
        <v>8</v>
      </c>
      <c r="C203">
        <v>16</v>
      </c>
      <c r="D203">
        <v>32052</v>
      </c>
    </row>
    <row r="204" spans="1:4" ht="15" customHeight="1" x14ac:dyDescent="0.2">
      <c r="A204">
        <v>2025</v>
      </c>
      <c r="B204">
        <v>8</v>
      </c>
      <c r="C204">
        <v>15</v>
      </c>
      <c r="D204">
        <v>35942</v>
      </c>
    </row>
    <row r="205" spans="1:4" ht="15" customHeight="1" x14ac:dyDescent="0.2">
      <c r="A205">
        <v>2025</v>
      </c>
      <c r="B205">
        <v>8</v>
      </c>
      <c r="C205">
        <v>14</v>
      </c>
      <c r="D205">
        <v>70755</v>
      </c>
    </row>
    <row r="206" spans="1:4" ht="15" customHeight="1" x14ac:dyDescent="0.2">
      <c r="A206">
        <v>2025</v>
      </c>
      <c r="B206">
        <v>8</v>
      </c>
      <c r="C206">
        <v>13</v>
      </c>
      <c r="D206">
        <v>62300</v>
      </c>
    </row>
    <row r="207" spans="1:4" ht="15" customHeight="1" x14ac:dyDescent="0.2">
      <c r="A207">
        <v>2025</v>
      </c>
      <c r="B207">
        <v>8</v>
      </c>
      <c r="C207">
        <v>12</v>
      </c>
      <c r="D207">
        <v>68780</v>
      </c>
    </row>
    <row r="208" spans="1:4" ht="15" customHeight="1" x14ac:dyDescent="0.2">
      <c r="A208">
        <v>2025</v>
      </c>
      <c r="B208">
        <v>8</v>
      </c>
      <c r="C208">
        <v>11</v>
      </c>
      <c r="D208">
        <v>65163</v>
      </c>
    </row>
    <row r="209" spans="1:4" ht="15" customHeight="1" x14ac:dyDescent="0.2">
      <c r="A209">
        <v>2025</v>
      </c>
      <c r="B209">
        <v>8</v>
      </c>
      <c r="C209">
        <v>10</v>
      </c>
      <c r="D209">
        <v>60118</v>
      </c>
    </row>
    <row r="210" spans="1:4" ht="15" customHeight="1" x14ac:dyDescent="0.2">
      <c r="A210">
        <v>2025</v>
      </c>
      <c r="B210">
        <v>8</v>
      </c>
      <c r="C210">
        <v>9</v>
      </c>
      <c r="D210">
        <v>31732</v>
      </c>
    </row>
    <row r="211" spans="1:4" ht="15" customHeight="1" x14ac:dyDescent="0.2">
      <c r="A211">
        <v>2025</v>
      </c>
      <c r="B211">
        <v>8</v>
      </c>
      <c r="C211">
        <v>8</v>
      </c>
      <c r="D211">
        <v>33385</v>
      </c>
    </row>
    <row r="212" spans="1:4" ht="15" customHeight="1" x14ac:dyDescent="0.2">
      <c r="A212">
        <v>2025</v>
      </c>
      <c r="B212">
        <v>8</v>
      </c>
      <c r="C212">
        <v>7</v>
      </c>
      <c r="D212">
        <v>70044</v>
      </c>
    </row>
    <row r="213" spans="1:4" ht="15" customHeight="1" x14ac:dyDescent="0.2">
      <c r="A213">
        <v>2025</v>
      </c>
      <c r="B213">
        <v>8</v>
      </c>
      <c r="C213">
        <v>6</v>
      </c>
      <c r="D213">
        <v>65749</v>
      </c>
    </row>
    <row r="214" spans="1:4" ht="15" customHeight="1" x14ac:dyDescent="0.2">
      <c r="A214">
        <v>2025</v>
      </c>
      <c r="B214">
        <v>8</v>
      </c>
      <c r="C214">
        <v>5</v>
      </c>
      <c r="D214">
        <v>64748</v>
      </c>
    </row>
    <row r="215" spans="1:4" ht="15" customHeight="1" x14ac:dyDescent="0.2">
      <c r="A215">
        <v>2025</v>
      </c>
      <c r="B215">
        <v>8</v>
      </c>
      <c r="C215">
        <v>4</v>
      </c>
      <c r="D215">
        <v>64543</v>
      </c>
    </row>
    <row r="216" spans="1:4" ht="15" customHeight="1" x14ac:dyDescent="0.2">
      <c r="A216">
        <v>2025</v>
      </c>
      <c r="B216">
        <v>8</v>
      </c>
      <c r="C216">
        <v>3</v>
      </c>
      <c r="D216">
        <v>57787</v>
      </c>
    </row>
    <row r="217" spans="1:4" ht="15" customHeight="1" x14ac:dyDescent="0.2">
      <c r="A217">
        <v>2025</v>
      </c>
      <c r="B217">
        <v>8</v>
      </c>
      <c r="C217">
        <v>2</v>
      </c>
      <c r="D217">
        <v>28577</v>
      </c>
    </row>
    <row r="218" spans="1:4" ht="15" customHeight="1" x14ac:dyDescent="0.2">
      <c r="A218">
        <v>2025</v>
      </c>
      <c r="B218">
        <v>8</v>
      </c>
      <c r="C218">
        <v>1</v>
      </c>
      <c r="D218">
        <v>34623</v>
      </c>
    </row>
    <row r="219" spans="1:4" ht="15" customHeight="1" x14ac:dyDescent="0.2">
      <c r="A219">
        <v>2025</v>
      </c>
      <c r="B219">
        <v>8</v>
      </c>
      <c r="C219" t="s">
        <v>4</v>
      </c>
      <c r="D219">
        <v>1670134</v>
      </c>
    </row>
    <row r="220" spans="1:4" ht="15" customHeight="1" x14ac:dyDescent="0.2">
      <c r="A220">
        <v>2025</v>
      </c>
      <c r="B220">
        <v>7</v>
      </c>
      <c r="C220">
        <v>31</v>
      </c>
      <c r="D220">
        <v>66272</v>
      </c>
    </row>
    <row r="221" spans="1:4" ht="15" customHeight="1" x14ac:dyDescent="0.2">
      <c r="A221">
        <v>2025</v>
      </c>
      <c r="B221">
        <v>7</v>
      </c>
      <c r="C221">
        <v>30</v>
      </c>
      <c r="D221">
        <v>63472</v>
      </c>
    </row>
    <row r="222" spans="1:4" ht="15" customHeight="1" x14ac:dyDescent="0.2">
      <c r="A222">
        <v>2025</v>
      </c>
      <c r="B222">
        <v>7</v>
      </c>
      <c r="C222">
        <v>29</v>
      </c>
      <c r="D222">
        <v>65713</v>
      </c>
    </row>
    <row r="223" spans="1:4" ht="15" customHeight="1" x14ac:dyDescent="0.2">
      <c r="A223">
        <v>2025</v>
      </c>
      <c r="B223">
        <v>7</v>
      </c>
      <c r="C223">
        <v>28</v>
      </c>
      <c r="D223">
        <v>65004</v>
      </c>
    </row>
    <row r="224" spans="1:4" ht="15" customHeight="1" x14ac:dyDescent="0.2">
      <c r="A224">
        <v>2025</v>
      </c>
      <c r="B224">
        <v>7</v>
      </c>
      <c r="C224">
        <v>27</v>
      </c>
      <c r="D224">
        <v>60132</v>
      </c>
    </row>
    <row r="225" spans="1:4" ht="15" customHeight="1" x14ac:dyDescent="0.2">
      <c r="A225">
        <v>2025</v>
      </c>
      <c r="B225">
        <v>7</v>
      </c>
      <c r="C225">
        <v>26</v>
      </c>
      <c r="D225">
        <v>28438</v>
      </c>
    </row>
    <row r="226" spans="1:4" ht="15" customHeight="1" x14ac:dyDescent="0.2">
      <c r="A226">
        <v>2025</v>
      </c>
      <c r="B226">
        <v>7</v>
      </c>
      <c r="C226">
        <v>25</v>
      </c>
      <c r="D226">
        <v>30859</v>
      </c>
    </row>
    <row r="227" spans="1:4" ht="15" customHeight="1" x14ac:dyDescent="0.2">
      <c r="A227">
        <v>2025</v>
      </c>
      <c r="B227">
        <v>7</v>
      </c>
      <c r="C227">
        <v>24</v>
      </c>
      <c r="D227">
        <v>62776</v>
      </c>
    </row>
    <row r="228" spans="1:4" ht="15" customHeight="1" x14ac:dyDescent="0.2">
      <c r="A228">
        <v>2025</v>
      </c>
      <c r="B228">
        <v>7</v>
      </c>
      <c r="C228">
        <v>23</v>
      </c>
      <c r="D228">
        <v>66997</v>
      </c>
    </row>
    <row r="229" spans="1:4" ht="15" customHeight="1" x14ac:dyDescent="0.2">
      <c r="A229">
        <v>2025</v>
      </c>
      <c r="B229">
        <v>7</v>
      </c>
      <c r="C229">
        <v>22</v>
      </c>
      <c r="D229">
        <v>61692</v>
      </c>
    </row>
    <row r="230" spans="1:4" ht="15" customHeight="1" x14ac:dyDescent="0.2">
      <c r="A230">
        <v>2025</v>
      </c>
      <c r="B230">
        <v>7</v>
      </c>
      <c r="C230">
        <v>21</v>
      </c>
      <c r="D230">
        <v>60775</v>
      </c>
    </row>
    <row r="231" spans="1:4" ht="15" customHeight="1" x14ac:dyDescent="0.2">
      <c r="A231">
        <v>2025</v>
      </c>
      <c r="B231">
        <v>7</v>
      </c>
      <c r="C231">
        <v>20</v>
      </c>
      <c r="D231">
        <v>55457</v>
      </c>
    </row>
    <row r="232" spans="1:4" ht="15" customHeight="1" x14ac:dyDescent="0.2">
      <c r="A232">
        <v>2025</v>
      </c>
      <c r="B232">
        <v>7</v>
      </c>
      <c r="C232">
        <v>19</v>
      </c>
      <c r="D232">
        <v>31003</v>
      </c>
    </row>
    <row r="233" spans="1:4" ht="15" customHeight="1" x14ac:dyDescent="0.2">
      <c r="A233">
        <v>2025</v>
      </c>
      <c r="B233">
        <v>7</v>
      </c>
      <c r="C233">
        <v>18</v>
      </c>
      <c r="D233">
        <v>29687</v>
      </c>
    </row>
    <row r="234" spans="1:4" ht="15" customHeight="1" x14ac:dyDescent="0.2">
      <c r="A234">
        <v>2025</v>
      </c>
      <c r="B234">
        <v>7</v>
      </c>
      <c r="C234">
        <v>17</v>
      </c>
      <c r="D234">
        <v>62888</v>
      </c>
    </row>
    <row r="235" spans="1:4" ht="15" customHeight="1" x14ac:dyDescent="0.2">
      <c r="A235">
        <v>2025</v>
      </c>
      <c r="B235">
        <v>7</v>
      </c>
      <c r="C235">
        <v>16</v>
      </c>
      <c r="D235">
        <v>63506</v>
      </c>
    </row>
    <row r="236" spans="1:4" ht="15" customHeight="1" x14ac:dyDescent="0.2">
      <c r="A236">
        <v>2025</v>
      </c>
      <c r="B236">
        <v>7</v>
      </c>
      <c r="C236">
        <v>15</v>
      </c>
      <c r="D236">
        <v>67128</v>
      </c>
    </row>
    <row r="237" spans="1:4" ht="15" customHeight="1" x14ac:dyDescent="0.2">
      <c r="A237">
        <v>2025</v>
      </c>
      <c r="B237">
        <v>7</v>
      </c>
      <c r="C237">
        <v>14</v>
      </c>
      <c r="D237">
        <v>63459</v>
      </c>
    </row>
    <row r="238" spans="1:4" ht="15" customHeight="1" x14ac:dyDescent="0.2">
      <c r="A238">
        <v>2025</v>
      </c>
      <c r="B238">
        <v>7</v>
      </c>
      <c r="C238">
        <v>13</v>
      </c>
      <c r="D238">
        <v>58196</v>
      </c>
    </row>
    <row r="239" spans="1:4" ht="15" customHeight="1" x14ac:dyDescent="0.2">
      <c r="A239">
        <v>2025</v>
      </c>
      <c r="B239">
        <v>7</v>
      </c>
      <c r="C239">
        <v>12</v>
      </c>
      <c r="D239">
        <v>28130</v>
      </c>
    </row>
    <row r="240" spans="1:4" ht="15" customHeight="1" x14ac:dyDescent="0.2">
      <c r="A240">
        <v>2025</v>
      </c>
      <c r="B240">
        <v>7</v>
      </c>
      <c r="C240">
        <v>11</v>
      </c>
      <c r="D240">
        <v>27674</v>
      </c>
    </row>
    <row r="241" spans="1:4" ht="15" customHeight="1" x14ac:dyDescent="0.2">
      <c r="A241">
        <v>2025</v>
      </c>
      <c r="B241">
        <v>7</v>
      </c>
      <c r="C241">
        <v>10</v>
      </c>
      <c r="D241">
        <v>61913</v>
      </c>
    </row>
    <row r="242" spans="1:4" ht="15" customHeight="1" x14ac:dyDescent="0.2">
      <c r="A242">
        <v>2025</v>
      </c>
      <c r="B242">
        <v>7</v>
      </c>
      <c r="C242">
        <v>9</v>
      </c>
      <c r="D242">
        <v>62457</v>
      </c>
    </row>
    <row r="243" spans="1:4" ht="15" customHeight="1" x14ac:dyDescent="0.2">
      <c r="A243">
        <v>2025</v>
      </c>
      <c r="B243">
        <v>7</v>
      </c>
      <c r="C243">
        <v>8</v>
      </c>
      <c r="D243">
        <v>74793</v>
      </c>
    </row>
    <row r="244" spans="1:4" ht="15" customHeight="1" x14ac:dyDescent="0.2">
      <c r="A244">
        <v>2025</v>
      </c>
      <c r="B244">
        <v>7</v>
      </c>
      <c r="C244">
        <v>7</v>
      </c>
      <c r="D244">
        <v>56184</v>
      </c>
    </row>
    <row r="245" spans="1:4" ht="15" customHeight="1" x14ac:dyDescent="0.2">
      <c r="A245">
        <v>2025</v>
      </c>
      <c r="B245">
        <v>7</v>
      </c>
      <c r="C245">
        <v>6</v>
      </c>
      <c r="D245">
        <v>55975</v>
      </c>
    </row>
    <row r="246" spans="1:4" ht="15" customHeight="1" x14ac:dyDescent="0.2">
      <c r="A246">
        <v>2025</v>
      </c>
      <c r="B246">
        <v>7</v>
      </c>
      <c r="C246">
        <v>5</v>
      </c>
      <c r="D246">
        <v>25543</v>
      </c>
    </row>
    <row r="247" spans="1:4" ht="15" customHeight="1" x14ac:dyDescent="0.2">
      <c r="A247">
        <v>2025</v>
      </c>
      <c r="B247">
        <v>7</v>
      </c>
      <c r="C247">
        <v>4</v>
      </c>
      <c r="D247">
        <v>29894</v>
      </c>
    </row>
    <row r="248" spans="1:4" ht="15" customHeight="1" x14ac:dyDescent="0.2">
      <c r="A248">
        <v>2025</v>
      </c>
      <c r="B248">
        <v>7</v>
      </c>
      <c r="C248">
        <v>3</v>
      </c>
      <c r="D248">
        <v>59603</v>
      </c>
    </row>
    <row r="249" spans="1:4" ht="15" customHeight="1" x14ac:dyDescent="0.2">
      <c r="A249">
        <v>2025</v>
      </c>
      <c r="B249">
        <v>7</v>
      </c>
      <c r="C249">
        <v>2</v>
      </c>
      <c r="D249">
        <v>65103</v>
      </c>
    </row>
    <row r="250" spans="1:4" ht="15" customHeight="1" x14ac:dyDescent="0.2">
      <c r="A250">
        <v>2025</v>
      </c>
      <c r="B250">
        <v>7</v>
      </c>
      <c r="C250">
        <v>1</v>
      </c>
      <c r="D250">
        <v>62663</v>
      </c>
    </row>
    <row r="251" spans="1:4" ht="15" customHeight="1" x14ac:dyDescent="0.2">
      <c r="A251">
        <v>2025</v>
      </c>
      <c r="B251">
        <v>7</v>
      </c>
      <c r="C251" t="s">
        <v>4</v>
      </c>
      <c r="D251">
        <v>1673386</v>
      </c>
    </row>
    <row r="252" spans="1:4" ht="15" customHeight="1" x14ac:dyDescent="0.2">
      <c r="A252">
        <v>2025</v>
      </c>
      <c r="B252">
        <v>6</v>
      </c>
      <c r="C252">
        <v>30</v>
      </c>
      <c r="D252">
        <v>62777</v>
      </c>
    </row>
    <row r="253" spans="1:4" ht="15" customHeight="1" x14ac:dyDescent="0.2">
      <c r="A253">
        <v>2025</v>
      </c>
      <c r="B253">
        <v>6</v>
      </c>
      <c r="C253">
        <v>29</v>
      </c>
      <c r="D253">
        <v>59530</v>
      </c>
    </row>
    <row r="254" spans="1:4" ht="15" customHeight="1" x14ac:dyDescent="0.2">
      <c r="A254">
        <v>2025</v>
      </c>
      <c r="B254">
        <v>6</v>
      </c>
      <c r="C254">
        <v>28</v>
      </c>
      <c r="D254">
        <v>31183</v>
      </c>
    </row>
    <row r="255" spans="1:4" ht="15" customHeight="1" x14ac:dyDescent="0.2">
      <c r="A255">
        <v>2025</v>
      </c>
      <c r="B255">
        <v>6</v>
      </c>
      <c r="C255">
        <v>27</v>
      </c>
      <c r="D255">
        <v>28457</v>
      </c>
    </row>
    <row r="256" spans="1:4" ht="15" customHeight="1" x14ac:dyDescent="0.2">
      <c r="A256">
        <v>2025</v>
      </c>
      <c r="B256">
        <v>6</v>
      </c>
      <c r="C256">
        <v>26</v>
      </c>
      <c r="D256">
        <v>64571</v>
      </c>
    </row>
    <row r="257" spans="1:4" ht="15" customHeight="1" x14ac:dyDescent="0.2">
      <c r="A257">
        <v>2025</v>
      </c>
      <c r="B257">
        <v>6</v>
      </c>
      <c r="C257">
        <v>25</v>
      </c>
      <c r="D257">
        <v>64081</v>
      </c>
    </row>
    <row r="258" spans="1:4" ht="15" customHeight="1" x14ac:dyDescent="0.2">
      <c r="A258">
        <v>2025</v>
      </c>
      <c r="B258">
        <v>6</v>
      </c>
      <c r="C258">
        <v>24</v>
      </c>
      <c r="D258">
        <v>62946</v>
      </c>
    </row>
    <row r="259" spans="1:4" ht="15" customHeight="1" x14ac:dyDescent="0.2">
      <c r="A259">
        <v>2025</v>
      </c>
      <c r="B259">
        <v>6</v>
      </c>
      <c r="C259">
        <v>23</v>
      </c>
      <c r="D259">
        <v>63115</v>
      </c>
    </row>
    <row r="260" spans="1:4" ht="15" customHeight="1" x14ac:dyDescent="0.2">
      <c r="A260">
        <v>2025</v>
      </c>
      <c r="B260">
        <v>6</v>
      </c>
      <c r="C260">
        <v>22</v>
      </c>
      <c r="D260">
        <v>58076</v>
      </c>
    </row>
    <row r="261" spans="1:4" ht="15" customHeight="1" x14ac:dyDescent="0.2">
      <c r="A261">
        <v>2025</v>
      </c>
      <c r="B261">
        <v>6</v>
      </c>
      <c r="C261">
        <v>21</v>
      </c>
      <c r="D261">
        <v>30731</v>
      </c>
    </row>
    <row r="262" spans="1:4" ht="15" customHeight="1" x14ac:dyDescent="0.2">
      <c r="A262">
        <v>2025</v>
      </c>
      <c r="B262">
        <v>6</v>
      </c>
      <c r="C262">
        <v>20</v>
      </c>
      <c r="D262">
        <v>29444</v>
      </c>
    </row>
    <row r="263" spans="1:4" ht="15" customHeight="1" x14ac:dyDescent="0.2">
      <c r="A263">
        <v>2025</v>
      </c>
      <c r="B263">
        <v>6</v>
      </c>
      <c r="C263">
        <v>19</v>
      </c>
      <c r="D263">
        <v>63153</v>
      </c>
    </row>
    <row r="264" spans="1:4" ht="15" customHeight="1" x14ac:dyDescent="0.2">
      <c r="A264">
        <v>2025</v>
      </c>
      <c r="B264">
        <v>6</v>
      </c>
      <c r="C264">
        <v>18</v>
      </c>
      <c r="D264">
        <v>65163</v>
      </c>
    </row>
    <row r="265" spans="1:4" ht="15" customHeight="1" x14ac:dyDescent="0.2">
      <c r="A265">
        <v>2025</v>
      </c>
      <c r="B265">
        <v>6</v>
      </c>
      <c r="C265">
        <v>17</v>
      </c>
      <c r="D265">
        <v>70394</v>
      </c>
    </row>
    <row r="266" spans="1:4" ht="15" customHeight="1" x14ac:dyDescent="0.2">
      <c r="A266">
        <v>2025</v>
      </c>
      <c r="B266">
        <v>6</v>
      </c>
      <c r="C266">
        <v>16</v>
      </c>
      <c r="D266">
        <v>61001</v>
      </c>
    </row>
    <row r="267" spans="1:4" ht="15" customHeight="1" x14ac:dyDescent="0.2">
      <c r="A267">
        <v>2025</v>
      </c>
      <c r="B267">
        <v>6</v>
      </c>
      <c r="C267">
        <v>15</v>
      </c>
      <c r="D267">
        <v>56469</v>
      </c>
    </row>
    <row r="268" spans="1:4" ht="15" customHeight="1" x14ac:dyDescent="0.2">
      <c r="A268">
        <v>2025</v>
      </c>
      <c r="B268">
        <v>6</v>
      </c>
      <c r="C268">
        <v>14</v>
      </c>
      <c r="D268">
        <v>33101</v>
      </c>
    </row>
    <row r="269" spans="1:4" ht="15" customHeight="1" x14ac:dyDescent="0.2">
      <c r="A269">
        <v>2025</v>
      </c>
      <c r="B269">
        <v>6</v>
      </c>
      <c r="C269">
        <v>13</v>
      </c>
      <c r="D269">
        <v>32036</v>
      </c>
    </row>
    <row r="270" spans="1:4" ht="15" customHeight="1" x14ac:dyDescent="0.2">
      <c r="A270">
        <v>2025</v>
      </c>
      <c r="B270">
        <v>6</v>
      </c>
      <c r="C270">
        <v>12</v>
      </c>
      <c r="D270">
        <v>61887</v>
      </c>
    </row>
    <row r="271" spans="1:4" ht="15" customHeight="1" x14ac:dyDescent="0.2">
      <c r="A271">
        <v>2025</v>
      </c>
      <c r="B271">
        <v>6</v>
      </c>
      <c r="C271">
        <v>11</v>
      </c>
      <c r="D271">
        <v>69784</v>
      </c>
    </row>
    <row r="272" spans="1:4" ht="15" customHeight="1" x14ac:dyDescent="0.2">
      <c r="A272">
        <v>2025</v>
      </c>
      <c r="B272">
        <v>6</v>
      </c>
      <c r="C272">
        <v>10</v>
      </c>
      <c r="D272">
        <v>66245</v>
      </c>
    </row>
    <row r="273" spans="1:4" ht="15" customHeight="1" x14ac:dyDescent="0.2">
      <c r="A273">
        <v>2025</v>
      </c>
      <c r="B273">
        <v>6</v>
      </c>
      <c r="C273">
        <v>9</v>
      </c>
      <c r="D273">
        <v>67836</v>
      </c>
    </row>
    <row r="274" spans="1:4" ht="15" customHeight="1" x14ac:dyDescent="0.2">
      <c r="A274">
        <v>2025</v>
      </c>
      <c r="B274">
        <v>6</v>
      </c>
      <c r="C274">
        <v>8</v>
      </c>
      <c r="D274">
        <v>59121</v>
      </c>
    </row>
    <row r="275" spans="1:4" ht="15" customHeight="1" x14ac:dyDescent="0.2">
      <c r="A275">
        <v>2025</v>
      </c>
      <c r="B275">
        <v>6</v>
      </c>
      <c r="C275">
        <v>7</v>
      </c>
      <c r="D275">
        <v>32515</v>
      </c>
    </row>
    <row r="276" spans="1:4" ht="15" customHeight="1" x14ac:dyDescent="0.2">
      <c r="A276">
        <v>2025</v>
      </c>
      <c r="B276">
        <v>6</v>
      </c>
      <c r="C276">
        <v>6</v>
      </c>
      <c r="D276">
        <v>35569</v>
      </c>
    </row>
    <row r="277" spans="1:4" ht="15" customHeight="1" x14ac:dyDescent="0.2">
      <c r="A277">
        <v>2025</v>
      </c>
      <c r="B277">
        <v>6</v>
      </c>
      <c r="C277">
        <v>5</v>
      </c>
      <c r="D277">
        <v>71998</v>
      </c>
    </row>
    <row r="278" spans="1:4" ht="15" customHeight="1" x14ac:dyDescent="0.2">
      <c r="A278">
        <v>2025</v>
      </c>
      <c r="B278">
        <v>6</v>
      </c>
      <c r="C278">
        <v>4</v>
      </c>
      <c r="D278">
        <v>68401</v>
      </c>
    </row>
    <row r="279" spans="1:4" ht="15" customHeight="1" x14ac:dyDescent="0.2">
      <c r="A279">
        <v>2025</v>
      </c>
      <c r="B279">
        <v>6</v>
      </c>
      <c r="C279">
        <v>3</v>
      </c>
      <c r="D279">
        <v>69628</v>
      </c>
    </row>
    <row r="280" spans="1:4" ht="15" customHeight="1" x14ac:dyDescent="0.2">
      <c r="A280">
        <v>2025</v>
      </c>
      <c r="B280">
        <v>6</v>
      </c>
      <c r="C280">
        <v>2</v>
      </c>
      <c r="D280">
        <v>69149</v>
      </c>
    </row>
    <row r="281" spans="1:4" ht="15" customHeight="1" x14ac:dyDescent="0.2">
      <c r="A281">
        <v>2025</v>
      </c>
      <c r="B281">
        <v>6</v>
      </c>
      <c r="C281">
        <v>1</v>
      </c>
      <c r="D281">
        <v>57928</v>
      </c>
    </row>
    <row r="282" spans="1:4" ht="15" customHeight="1" x14ac:dyDescent="0.2">
      <c r="A282">
        <v>2025</v>
      </c>
      <c r="B282">
        <v>6</v>
      </c>
      <c r="C282" t="s">
        <v>4</v>
      </c>
      <c r="D282">
        <v>1666289</v>
      </c>
    </row>
    <row r="283" spans="1:4" ht="15" customHeight="1" x14ac:dyDescent="0.2">
      <c r="A283">
        <v>2025</v>
      </c>
      <c r="B283">
        <v>5</v>
      </c>
      <c r="C283">
        <v>31</v>
      </c>
      <c r="D283">
        <v>33317</v>
      </c>
    </row>
    <row r="284" spans="1:4" ht="15" customHeight="1" x14ac:dyDescent="0.2">
      <c r="A284">
        <v>2025</v>
      </c>
      <c r="B284">
        <v>5</v>
      </c>
      <c r="C284">
        <v>30</v>
      </c>
      <c r="D284">
        <v>33370</v>
      </c>
    </row>
    <row r="285" spans="1:4" ht="15" customHeight="1" x14ac:dyDescent="0.2">
      <c r="A285">
        <v>2025</v>
      </c>
      <c r="B285">
        <v>5</v>
      </c>
      <c r="C285">
        <v>29</v>
      </c>
      <c r="D285">
        <v>71817</v>
      </c>
    </row>
    <row r="286" spans="1:4" ht="15" customHeight="1" x14ac:dyDescent="0.2">
      <c r="A286">
        <v>2025</v>
      </c>
      <c r="B286">
        <v>5</v>
      </c>
      <c r="C286">
        <v>28</v>
      </c>
      <c r="D286">
        <v>69466</v>
      </c>
    </row>
    <row r="287" spans="1:4" ht="15" customHeight="1" x14ac:dyDescent="0.2">
      <c r="A287">
        <v>2025</v>
      </c>
      <c r="B287">
        <v>5</v>
      </c>
      <c r="C287">
        <v>27</v>
      </c>
      <c r="D287">
        <v>58562</v>
      </c>
    </row>
    <row r="288" spans="1:4" ht="15" customHeight="1" x14ac:dyDescent="0.2">
      <c r="A288">
        <v>2025</v>
      </c>
      <c r="B288">
        <v>5</v>
      </c>
      <c r="C288">
        <v>26</v>
      </c>
      <c r="D288">
        <v>27322</v>
      </c>
    </row>
    <row r="289" spans="1:4" ht="15" customHeight="1" x14ac:dyDescent="0.2">
      <c r="A289">
        <v>2025</v>
      </c>
      <c r="B289">
        <v>5</v>
      </c>
      <c r="C289">
        <v>25</v>
      </c>
      <c r="D289">
        <v>56296</v>
      </c>
    </row>
    <row r="290" spans="1:4" ht="15" customHeight="1" x14ac:dyDescent="0.2">
      <c r="A290">
        <v>2025</v>
      </c>
      <c r="B290">
        <v>5</v>
      </c>
      <c r="C290">
        <v>24</v>
      </c>
      <c r="D290">
        <v>29454</v>
      </c>
    </row>
    <row r="291" spans="1:4" ht="15" customHeight="1" x14ac:dyDescent="0.2">
      <c r="A291">
        <v>2025</v>
      </c>
      <c r="B291">
        <v>5</v>
      </c>
      <c r="C291">
        <v>23</v>
      </c>
      <c r="D291">
        <v>37568</v>
      </c>
    </row>
    <row r="292" spans="1:4" ht="15" customHeight="1" x14ac:dyDescent="0.2">
      <c r="A292">
        <v>2025</v>
      </c>
      <c r="B292">
        <v>5</v>
      </c>
      <c r="C292">
        <v>22</v>
      </c>
      <c r="D292">
        <v>70894</v>
      </c>
    </row>
    <row r="293" spans="1:4" ht="15" customHeight="1" x14ac:dyDescent="0.2">
      <c r="A293">
        <v>2025</v>
      </c>
      <c r="B293">
        <v>5</v>
      </c>
      <c r="C293">
        <v>21</v>
      </c>
      <c r="D293">
        <v>65617</v>
      </c>
    </row>
    <row r="294" spans="1:4" ht="15" customHeight="1" x14ac:dyDescent="0.2">
      <c r="A294">
        <v>2025</v>
      </c>
      <c r="B294">
        <v>5</v>
      </c>
      <c r="C294">
        <v>20</v>
      </c>
      <c r="D294">
        <v>70810</v>
      </c>
    </row>
    <row r="295" spans="1:4" ht="15" customHeight="1" x14ac:dyDescent="0.2">
      <c r="A295">
        <v>2025</v>
      </c>
      <c r="B295">
        <v>5</v>
      </c>
      <c r="C295">
        <v>19</v>
      </c>
      <c r="D295">
        <v>64366</v>
      </c>
    </row>
    <row r="296" spans="1:4" ht="15" customHeight="1" x14ac:dyDescent="0.2">
      <c r="A296">
        <v>2025</v>
      </c>
      <c r="B296">
        <v>5</v>
      </c>
      <c r="C296">
        <v>18</v>
      </c>
      <c r="D296">
        <v>57706</v>
      </c>
    </row>
    <row r="297" spans="1:4" ht="15" customHeight="1" x14ac:dyDescent="0.2">
      <c r="A297">
        <v>2025</v>
      </c>
      <c r="B297">
        <v>5</v>
      </c>
      <c r="C297">
        <v>17</v>
      </c>
      <c r="D297">
        <v>32051</v>
      </c>
    </row>
    <row r="298" spans="1:4" ht="15" customHeight="1" x14ac:dyDescent="0.2">
      <c r="A298">
        <v>2025</v>
      </c>
      <c r="B298">
        <v>5</v>
      </c>
      <c r="C298">
        <v>16</v>
      </c>
      <c r="D298">
        <v>35663</v>
      </c>
    </row>
    <row r="299" spans="1:4" ht="15" customHeight="1" x14ac:dyDescent="0.2">
      <c r="A299">
        <v>2025</v>
      </c>
      <c r="B299">
        <v>5</v>
      </c>
      <c r="C299">
        <v>15</v>
      </c>
      <c r="D299">
        <v>65800</v>
      </c>
    </row>
    <row r="300" spans="1:4" ht="15" customHeight="1" x14ac:dyDescent="0.2">
      <c r="A300">
        <v>2025</v>
      </c>
      <c r="B300">
        <v>5</v>
      </c>
      <c r="C300">
        <v>14</v>
      </c>
      <c r="D300">
        <v>76937</v>
      </c>
    </row>
    <row r="301" spans="1:4" ht="15" customHeight="1" x14ac:dyDescent="0.2">
      <c r="A301">
        <v>2025</v>
      </c>
      <c r="B301">
        <v>5</v>
      </c>
      <c r="C301">
        <v>13</v>
      </c>
      <c r="D301">
        <v>66270</v>
      </c>
    </row>
    <row r="302" spans="1:4" ht="15" customHeight="1" x14ac:dyDescent="0.2">
      <c r="A302">
        <v>2025</v>
      </c>
      <c r="B302">
        <v>5</v>
      </c>
      <c r="C302">
        <v>12</v>
      </c>
      <c r="D302">
        <v>61991</v>
      </c>
    </row>
    <row r="303" spans="1:4" ht="15" customHeight="1" x14ac:dyDescent="0.2">
      <c r="A303">
        <v>2025</v>
      </c>
      <c r="B303">
        <v>5</v>
      </c>
      <c r="C303">
        <v>11</v>
      </c>
      <c r="D303">
        <v>56164</v>
      </c>
    </row>
    <row r="304" spans="1:4" ht="15" customHeight="1" x14ac:dyDescent="0.2">
      <c r="A304">
        <v>2025</v>
      </c>
      <c r="B304">
        <v>5</v>
      </c>
      <c r="C304">
        <v>10</v>
      </c>
      <c r="D304">
        <v>35006</v>
      </c>
    </row>
    <row r="305" spans="1:4" ht="15" customHeight="1" x14ac:dyDescent="0.2">
      <c r="A305">
        <v>2025</v>
      </c>
      <c r="B305">
        <v>5</v>
      </c>
      <c r="C305">
        <v>9</v>
      </c>
      <c r="D305">
        <v>42340</v>
      </c>
    </row>
    <row r="306" spans="1:4" ht="15" customHeight="1" x14ac:dyDescent="0.2">
      <c r="A306">
        <v>2025</v>
      </c>
      <c r="B306">
        <v>5</v>
      </c>
      <c r="C306">
        <v>8</v>
      </c>
      <c r="D306">
        <v>73648</v>
      </c>
    </row>
    <row r="307" spans="1:4" ht="15" customHeight="1" x14ac:dyDescent="0.2">
      <c r="A307">
        <v>2025</v>
      </c>
      <c r="B307">
        <v>5</v>
      </c>
      <c r="C307">
        <v>7</v>
      </c>
      <c r="D307">
        <v>72151</v>
      </c>
    </row>
    <row r="308" spans="1:4" ht="15" customHeight="1" x14ac:dyDescent="0.2">
      <c r="A308">
        <v>2025</v>
      </c>
      <c r="B308">
        <v>5</v>
      </c>
      <c r="C308">
        <v>6</v>
      </c>
      <c r="D308">
        <v>69999</v>
      </c>
    </row>
    <row r="309" spans="1:4" ht="15" customHeight="1" x14ac:dyDescent="0.2">
      <c r="A309">
        <v>2025</v>
      </c>
      <c r="B309">
        <v>5</v>
      </c>
      <c r="C309">
        <v>5</v>
      </c>
      <c r="D309">
        <v>65212</v>
      </c>
    </row>
    <row r="310" spans="1:4" ht="15" customHeight="1" x14ac:dyDescent="0.2">
      <c r="A310">
        <v>2025</v>
      </c>
      <c r="B310">
        <v>5</v>
      </c>
      <c r="C310">
        <v>4</v>
      </c>
      <c r="D310">
        <v>59222</v>
      </c>
    </row>
    <row r="311" spans="1:4" ht="15" customHeight="1" x14ac:dyDescent="0.2">
      <c r="A311">
        <v>2025</v>
      </c>
      <c r="B311">
        <v>5</v>
      </c>
      <c r="C311">
        <v>3</v>
      </c>
      <c r="D311">
        <v>33583</v>
      </c>
    </row>
    <row r="312" spans="1:4" ht="15" customHeight="1" x14ac:dyDescent="0.2">
      <c r="A312">
        <v>2025</v>
      </c>
      <c r="B312">
        <v>5</v>
      </c>
      <c r="C312">
        <v>2</v>
      </c>
      <c r="D312">
        <v>36308</v>
      </c>
    </row>
    <row r="313" spans="1:4" ht="15" customHeight="1" x14ac:dyDescent="0.2">
      <c r="A313">
        <v>2025</v>
      </c>
      <c r="B313">
        <v>5</v>
      </c>
      <c r="C313">
        <v>1</v>
      </c>
      <c r="D313">
        <v>71640</v>
      </c>
    </row>
    <row r="314" spans="1:4" ht="15" customHeight="1" x14ac:dyDescent="0.2">
      <c r="A314">
        <v>2025</v>
      </c>
      <c r="B314">
        <v>5</v>
      </c>
      <c r="C314" t="s">
        <v>4</v>
      </c>
      <c r="D314">
        <v>1700550</v>
      </c>
    </row>
    <row r="315" spans="1:4" ht="15" customHeight="1" x14ac:dyDescent="0.2">
      <c r="A315">
        <v>2025</v>
      </c>
      <c r="B315">
        <v>4</v>
      </c>
      <c r="C315">
        <v>30</v>
      </c>
      <c r="D315">
        <v>70751</v>
      </c>
    </row>
    <row r="316" spans="1:4" ht="15" customHeight="1" x14ac:dyDescent="0.2">
      <c r="A316">
        <v>2025</v>
      </c>
      <c r="B316">
        <v>4</v>
      </c>
      <c r="C316">
        <v>29</v>
      </c>
      <c r="D316">
        <v>67761</v>
      </c>
    </row>
    <row r="317" spans="1:4" ht="15" customHeight="1" x14ac:dyDescent="0.2">
      <c r="A317">
        <v>2025</v>
      </c>
      <c r="B317">
        <v>4</v>
      </c>
      <c r="C317">
        <v>28</v>
      </c>
      <c r="D317">
        <v>58191</v>
      </c>
    </row>
    <row r="318" spans="1:4" ht="15" customHeight="1" x14ac:dyDescent="0.2">
      <c r="A318">
        <v>2025</v>
      </c>
      <c r="B318">
        <v>4</v>
      </c>
      <c r="C318">
        <v>27</v>
      </c>
      <c r="D318">
        <v>53345</v>
      </c>
    </row>
    <row r="319" spans="1:4" ht="15" customHeight="1" x14ac:dyDescent="0.2">
      <c r="A319">
        <v>2025</v>
      </c>
      <c r="B319">
        <v>4</v>
      </c>
      <c r="C319">
        <v>26</v>
      </c>
      <c r="D319">
        <v>29570</v>
      </c>
    </row>
    <row r="320" spans="1:4" ht="15" customHeight="1" x14ac:dyDescent="0.2">
      <c r="A320">
        <v>2025</v>
      </c>
      <c r="B320">
        <v>4</v>
      </c>
      <c r="C320">
        <v>25</v>
      </c>
      <c r="D320">
        <v>45519</v>
      </c>
    </row>
    <row r="321" spans="1:4" ht="15" customHeight="1" x14ac:dyDescent="0.2">
      <c r="A321">
        <v>2025</v>
      </c>
      <c r="B321">
        <v>4</v>
      </c>
      <c r="C321">
        <v>24</v>
      </c>
      <c r="D321">
        <v>59947</v>
      </c>
    </row>
    <row r="322" spans="1:4" ht="15" customHeight="1" x14ac:dyDescent="0.2">
      <c r="A322">
        <v>2025</v>
      </c>
      <c r="B322">
        <v>4</v>
      </c>
      <c r="C322">
        <v>23</v>
      </c>
      <c r="D322">
        <v>60042</v>
      </c>
    </row>
    <row r="323" spans="1:4" ht="15" customHeight="1" x14ac:dyDescent="0.2">
      <c r="A323">
        <v>2025</v>
      </c>
      <c r="B323">
        <v>4</v>
      </c>
      <c r="C323">
        <v>22</v>
      </c>
      <c r="D323">
        <v>61367</v>
      </c>
    </row>
    <row r="324" spans="1:4" ht="15" customHeight="1" x14ac:dyDescent="0.2">
      <c r="A324">
        <v>2025</v>
      </c>
      <c r="B324">
        <v>4</v>
      </c>
      <c r="C324">
        <v>21</v>
      </c>
      <c r="D324">
        <v>57026</v>
      </c>
    </row>
    <row r="325" spans="1:4" ht="15" customHeight="1" x14ac:dyDescent="0.2">
      <c r="A325">
        <v>2025</v>
      </c>
      <c r="B325">
        <v>4</v>
      </c>
      <c r="C325">
        <v>20</v>
      </c>
      <c r="D325">
        <v>53580</v>
      </c>
    </row>
    <row r="326" spans="1:4" ht="15" customHeight="1" x14ac:dyDescent="0.2">
      <c r="A326">
        <v>2025</v>
      </c>
      <c r="B326">
        <v>4</v>
      </c>
      <c r="C326">
        <v>19</v>
      </c>
      <c r="D326">
        <v>31093</v>
      </c>
    </row>
    <row r="327" spans="1:4" ht="15" customHeight="1" x14ac:dyDescent="0.2">
      <c r="A327">
        <v>2025</v>
      </c>
      <c r="B327">
        <v>4</v>
      </c>
      <c r="C327">
        <v>18</v>
      </c>
      <c r="D327">
        <v>32994</v>
      </c>
    </row>
    <row r="328" spans="1:4" ht="15" customHeight="1" x14ac:dyDescent="0.2">
      <c r="A328">
        <v>2025</v>
      </c>
      <c r="B328">
        <v>4</v>
      </c>
      <c r="C328">
        <v>17</v>
      </c>
      <c r="D328">
        <v>71211</v>
      </c>
    </row>
    <row r="329" spans="1:4" ht="15" customHeight="1" x14ac:dyDescent="0.2">
      <c r="A329">
        <v>2025</v>
      </c>
      <c r="B329">
        <v>4</v>
      </c>
      <c r="C329">
        <v>16</v>
      </c>
      <c r="D329">
        <v>60987</v>
      </c>
    </row>
    <row r="330" spans="1:4" ht="15" customHeight="1" x14ac:dyDescent="0.2">
      <c r="A330">
        <v>2025</v>
      </c>
      <c r="B330">
        <v>4</v>
      </c>
      <c r="C330">
        <v>15</v>
      </c>
      <c r="D330">
        <v>64017</v>
      </c>
    </row>
    <row r="331" spans="1:4" ht="15" customHeight="1" x14ac:dyDescent="0.2">
      <c r="A331">
        <v>2025</v>
      </c>
      <c r="B331">
        <v>4</v>
      </c>
      <c r="C331">
        <v>14</v>
      </c>
      <c r="D331">
        <v>64677</v>
      </c>
    </row>
    <row r="332" spans="1:4" ht="15" customHeight="1" x14ac:dyDescent="0.2">
      <c r="A332">
        <v>2025</v>
      </c>
      <c r="B332">
        <v>4</v>
      </c>
      <c r="C332">
        <v>13</v>
      </c>
      <c r="D332">
        <v>56459</v>
      </c>
    </row>
    <row r="333" spans="1:4" ht="15" customHeight="1" x14ac:dyDescent="0.2">
      <c r="A333">
        <v>2025</v>
      </c>
      <c r="B333">
        <v>4</v>
      </c>
      <c r="C333">
        <v>12</v>
      </c>
      <c r="D333">
        <v>27006</v>
      </c>
    </row>
    <row r="334" spans="1:4" ht="15" customHeight="1" x14ac:dyDescent="0.2">
      <c r="A334">
        <v>2025</v>
      </c>
      <c r="B334">
        <v>4</v>
      </c>
      <c r="C334">
        <v>11</v>
      </c>
      <c r="D334">
        <v>31875</v>
      </c>
    </row>
    <row r="335" spans="1:4" ht="15" customHeight="1" x14ac:dyDescent="0.2">
      <c r="A335">
        <v>2025</v>
      </c>
      <c r="B335">
        <v>4</v>
      </c>
      <c r="C335">
        <v>10</v>
      </c>
      <c r="D335">
        <v>60385</v>
      </c>
    </row>
    <row r="336" spans="1:4" ht="15" customHeight="1" x14ac:dyDescent="0.2">
      <c r="A336">
        <v>2025</v>
      </c>
      <c r="B336">
        <v>4</v>
      </c>
      <c r="C336">
        <v>9</v>
      </c>
      <c r="D336">
        <v>60302</v>
      </c>
    </row>
    <row r="337" spans="1:4" ht="15" customHeight="1" x14ac:dyDescent="0.2">
      <c r="A337">
        <v>2025</v>
      </c>
      <c r="B337">
        <v>4</v>
      </c>
      <c r="C337">
        <v>8</v>
      </c>
      <c r="D337">
        <v>62613</v>
      </c>
    </row>
    <row r="338" spans="1:4" ht="15" customHeight="1" x14ac:dyDescent="0.2">
      <c r="A338">
        <v>2025</v>
      </c>
      <c r="B338">
        <v>4</v>
      </c>
      <c r="C338">
        <v>7</v>
      </c>
      <c r="D338">
        <v>62572</v>
      </c>
    </row>
    <row r="339" spans="1:4" ht="15" customHeight="1" x14ac:dyDescent="0.2">
      <c r="A339">
        <v>2025</v>
      </c>
      <c r="B339">
        <v>4</v>
      </c>
      <c r="C339">
        <v>6</v>
      </c>
      <c r="D339">
        <v>55544</v>
      </c>
    </row>
    <row r="340" spans="1:4" ht="15" customHeight="1" x14ac:dyDescent="0.2">
      <c r="A340">
        <v>2025</v>
      </c>
      <c r="B340">
        <v>4</v>
      </c>
      <c r="C340">
        <v>5</v>
      </c>
      <c r="D340">
        <v>28261</v>
      </c>
    </row>
    <row r="341" spans="1:4" ht="15" customHeight="1" x14ac:dyDescent="0.2">
      <c r="A341">
        <v>2025</v>
      </c>
      <c r="B341">
        <v>4</v>
      </c>
      <c r="C341">
        <v>4</v>
      </c>
      <c r="D341">
        <v>33178</v>
      </c>
    </row>
    <row r="342" spans="1:4" ht="15" customHeight="1" x14ac:dyDescent="0.2">
      <c r="A342">
        <v>2025</v>
      </c>
      <c r="B342">
        <v>4</v>
      </c>
      <c r="C342">
        <v>3</v>
      </c>
      <c r="D342">
        <v>62220</v>
      </c>
    </row>
    <row r="343" spans="1:4" ht="15" customHeight="1" x14ac:dyDescent="0.2">
      <c r="A343">
        <v>2025</v>
      </c>
      <c r="B343">
        <v>4</v>
      </c>
      <c r="C343">
        <v>2</v>
      </c>
      <c r="D343">
        <v>59912</v>
      </c>
    </row>
    <row r="344" spans="1:4" ht="15" customHeight="1" x14ac:dyDescent="0.2">
      <c r="A344">
        <v>2025</v>
      </c>
      <c r="B344">
        <v>4</v>
      </c>
      <c r="C344">
        <v>1</v>
      </c>
      <c r="D344">
        <v>61632</v>
      </c>
    </row>
    <row r="345" spans="1:4" ht="15" customHeight="1" x14ac:dyDescent="0.2">
      <c r="A345">
        <v>2025</v>
      </c>
      <c r="B345">
        <v>4</v>
      </c>
      <c r="C345" t="s">
        <v>4</v>
      </c>
      <c r="D345">
        <v>1604037</v>
      </c>
    </row>
    <row r="346" spans="1:4" ht="15" customHeight="1" x14ac:dyDescent="0.2">
      <c r="A346">
        <v>2025</v>
      </c>
      <c r="B346">
        <v>3</v>
      </c>
      <c r="C346">
        <v>31</v>
      </c>
      <c r="D346">
        <v>59009</v>
      </c>
    </row>
    <row r="347" spans="1:4" ht="15" customHeight="1" x14ac:dyDescent="0.2">
      <c r="A347">
        <v>2025</v>
      </c>
      <c r="B347">
        <v>3</v>
      </c>
      <c r="C347">
        <v>30</v>
      </c>
      <c r="D347">
        <v>51261</v>
      </c>
    </row>
    <row r="348" spans="1:4" ht="15" customHeight="1" x14ac:dyDescent="0.2">
      <c r="A348">
        <v>2025</v>
      </c>
      <c r="B348">
        <v>3</v>
      </c>
      <c r="C348">
        <v>29</v>
      </c>
      <c r="D348">
        <v>31020</v>
      </c>
    </row>
    <row r="349" spans="1:4" ht="15" customHeight="1" x14ac:dyDescent="0.2">
      <c r="A349">
        <v>2025</v>
      </c>
      <c r="B349">
        <v>3</v>
      </c>
      <c r="C349">
        <v>28</v>
      </c>
      <c r="D349">
        <v>33283</v>
      </c>
    </row>
    <row r="350" spans="1:4" ht="15" customHeight="1" x14ac:dyDescent="0.2">
      <c r="A350">
        <v>2025</v>
      </c>
      <c r="B350">
        <v>3</v>
      </c>
      <c r="C350">
        <v>27</v>
      </c>
      <c r="D350">
        <v>55797</v>
      </c>
    </row>
    <row r="351" spans="1:4" ht="15" customHeight="1" x14ac:dyDescent="0.2">
      <c r="A351">
        <v>2025</v>
      </c>
      <c r="B351">
        <v>3</v>
      </c>
      <c r="C351">
        <v>26</v>
      </c>
      <c r="D351">
        <v>54264</v>
      </c>
    </row>
    <row r="352" spans="1:4" ht="15" customHeight="1" x14ac:dyDescent="0.2">
      <c r="A352">
        <v>2025</v>
      </c>
      <c r="B352">
        <v>3</v>
      </c>
      <c r="C352">
        <v>25</v>
      </c>
      <c r="D352">
        <v>64027</v>
      </c>
    </row>
    <row r="353" spans="1:4" ht="15" customHeight="1" x14ac:dyDescent="0.2">
      <c r="A353">
        <v>2025</v>
      </c>
      <c r="B353">
        <v>3</v>
      </c>
      <c r="C353">
        <v>24</v>
      </c>
      <c r="D353">
        <v>61799</v>
      </c>
    </row>
    <row r="354" spans="1:4" ht="15" customHeight="1" x14ac:dyDescent="0.2">
      <c r="A354">
        <v>2025</v>
      </c>
      <c r="B354">
        <v>3</v>
      </c>
      <c r="C354">
        <v>23</v>
      </c>
      <c r="D354">
        <v>45695</v>
      </c>
    </row>
    <row r="355" spans="1:4" ht="15" customHeight="1" x14ac:dyDescent="0.2">
      <c r="A355">
        <v>2025</v>
      </c>
      <c r="B355">
        <v>3</v>
      </c>
      <c r="C355">
        <v>22</v>
      </c>
      <c r="D355">
        <v>29809</v>
      </c>
    </row>
    <row r="356" spans="1:4" ht="15" customHeight="1" x14ac:dyDescent="0.2">
      <c r="A356">
        <v>2025</v>
      </c>
      <c r="B356">
        <v>3</v>
      </c>
      <c r="C356">
        <v>21</v>
      </c>
      <c r="D356">
        <v>35269</v>
      </c>
    </row>
    <row r="357" spans="1:4" ht="15" customHeight="1" x14ac:dyDescent="0.2">
      <c r="A357">
        <v>2025</v>
      </c>
      <c r="B357">
        <v>3</v>
      </c>
      <c r="C357">
        <v>20</v>
      </c>
      <c r="D357">
        <v>57197</v>
      </c>
    </row>
    <row r="358" spans="1:4" ht="15" customHeight="1" x14ac:dyDescent="0.2">
      <c r="A358">
        <v>2025</v>
      </c>
      <c r="B358">
        <v>3</v>
      </c>
      <c r="C358">
        <v>19</v>
      </c>
      <c r="D358">
        <v>60583</v>
      </c>
    </row>
    <row r="359" spans="1:4" ht="15" customHeight="1" x14ac:dyDescent="0.2">
      <c r="A359">
        <v>2025</v>
      </c>
      <c r="B359">
        <v>3</v>
      </c>
      <c r="C359">
        <v>18</v>
      </c>
      <c r="D359">
        <v>62264</v>
      </c>
    </row>
    <row r="360" spans="1:4" ht="15" customHeight="1" x14ac:dyDescent="0.2">
      <c r="A360">
        <v>2025</v>
      </c>
      <c r="B360">
        <v>3</v>
      </c>
      <c r="C360">
        <v>17</v>
      </c>
      <c r="D360">
        <v>61241</v>
      </c>
    </row>
    <row r="361" spans="1:4" ht="15" customHeight="1" x14ac:dyDescent="0.2">
      <c r="A361">
        <v>2025</v>
      </c>
      <c r="B361">
        <v>3</v>
      </c>
      <c r="C361">
        <v>16</v>
      </c>
      <c r="D361">
        <v>53795</v>
      </c>
    </row>
    <row r="362" spans="1:4" ht="15" customHeight="1" x14ac:dyDescent="0.2">
      <c r="A362">
        <v>2025</v>
      </c>
      <c r="B362">
        <v>3</v>
      </c>
      <c r="C362">
        <v>15</v>
      </c>
      <c r="D362">
        <v>30750</v>
      </c>
    </row>
    <row r="363" spans="1:4" ht="15" customHeight="1" x14ac:dyDescent="0.2">
      <c r="A363">
        <v>2025</v>
      </c>
      <c r="B363">
        <v>3</v>
      </c>
      <c r="C363">
        <v>14</v>
      </c>
      <c r="D363">
        <v>27571</v>
      </c>
    </row>
    <row r="364" spans="1:4" ht="15" customHeight="1" x14ac:dyDescent="0.2">
      <c r="A364">
        <v>2025</v>
      </c>
      <c r="B364">
        <v>3</v>
      </c>
      <c r="C364">
        <v>13</v>
      </c>
      <c r="D364">
        <v>58624</v>
      </c>
    </row>
    <row r="365" spans="1:4" ht="15" customHeight="1" x14ac:dyDescent="0.2">
      <c r="A365">
        <v>2025</v>
      </c>
      <c r="B365">
        <v>3</v>
      </c>
      <c r="C365">
        <v>12</v>
      </c>
      <c r="D365">
        <v>61055</v>
      </c>
    </row>
    <row r="366" spans="1:4" ht="15" customHeight="1" x14ac:dyDescent="0.2">
      <c r="A366">
        <v>2025</v>
      </c>
      <c r="B366">
        <v>3</v>
      </c>
      <c r="C366">
        <v>11</v>
      </c>
      <c r="D366">
        <v>62961</v>
      </c>
    </row>
    <row r="367" spans="1:4" ht="15" customHeight="1" x14ac:dyDescent="0.2">
      <c r="A367">
        <v>2025</v>
      </c>
      <c r="B367">
        <v>3</v>
      </c>
      <c r="C367">
        <v>10</v>
      </c>
      <c r="D367">
        <v>62517</v>
      </c>
    </row>
    <row r="368" spans="1:4" ht="15" customHeight="1" x14ac:dyDescent="0.2">
      <c r="A368">
        <v>2025</v>
      </c>
      <c r="B368">
        <v>3</v>
      </c>
      <c r="C368">
        <v>9</v>
      </c>
      <c r="D368">
        <v>54962</v>
      </c>
    </row>
    <row r="369" spans="1:4" ht="15" customHeight="1" x14ac:dyDescent="0.2">
      <c r="A369">
        <v>2025</v>
      </c>
      <c r="B369">
        <v>3</v>
      </c>
      <c r="C369">
        <v>8</v>
      </c>
      <c r="D369">
        <v>29401</v>
      </c>
    </row>
    <row r="370" spans="1:4" ht="15" customHeight="1" x14ac:dyDescent="0.2">
      <c r="A370">
        <v>2025</v>
      </c>
      <c r="B370">
        <v>3</v>
      </c>
      <c r="C370">
        <v>7</v>
      </c>
      <c r="D370">
        <v>35090</v>
      </c>
    </row>
    <row r="371" spans="1:4" ht="15" customHeight="1" x14ac:dyDescent="0.2">
      <c r="A371">
        <v>2025</v>
      </c>
      <c r="B371">
        <v>3</v>
      </c>
      <c r="C371">
        <v>6</v>
      </c>
      <c r="D371">
        <v>60842</v>
      </c>
    </row>
    <row r="372" spans="1:4" ht="15" customHeight="1" x14ac:dyDescent="0.2">
      <c r="A372">
        <v>2025</v>
      </c>
      <c r="B372">
        <v>3</v>
      </c>
      <c r="C372">
        <v>5</v>
      </c>
      <c r="D372">
        <v>60959</v>
      </c>
    </row>
    <row r="373" spans="1:4" ht="15" customHeight="1" x14ac:dyDescent="0.2">
      <c r="A373">
        <v>2025</v>
      </c>
      <c r="B373">
        <v>3</v>
      </c>
      <c r="C373">
        <v>4</v>
      </c>
      <c r="D373">
        <v>61969</v>
      </c>
    </row>
    <row r="374" spans="1:4" ht="15" customHeight="1" x14ac:dyDescent="0.2">
      <c r="A374">
        <v>2025</v>
      </c>
      <c r="B374">
        <v>3</v>
      </c>
      <c r="C374">
        <v>3</v>
      </c>
      <c r="D374">
        <v>63549</v>
      </c>
    </row>
    <row r="375" spans="1:4" ht="15" customHeight="1" x14ac:dyDescent="0.2">
      <c r="A375">
        <v>2025</v>
      </c>
      <c r="B375">
        <v>3</v>
      </c>
      <c r="C375">
        <v>2</v>
      </c>
      <c r="D375">
        <v>54037</v>
      </c>
    </row>
    <row r="376" spans="1:4" ht="15" customHeight="1" x14ac:dyDescent="0.2">
      <c r="A376">
        <v>2025</v>
      </c>
      <c r="B376">
        <v>3</v>
      </c>
      <c r="C376">
        <v>1</v>
      </c>
      <c r="D376">
        <v>23844</v>
      </c>
    </row>
    <row r="377" spans="1:4" ht="15" customHeight="1" x14ac:dyDescent="0.2">
      <c r="A377">
        <v>2025</v>
      </c>
      <c r="B377">
        <v>3</v>
      </c>
      <c r="C377" t="s">
        <v>4</v>
      </c>
      <c r="D377">
        <v>1564444</v>
      </c>
    </row>
    <row r="378" spans="1:4" ht="15" customHeight="1" x14ac:dyDescent="0.2">
      <c r="A378">
        <v>2025</v>
      </c>
      <c r="B378">
        <v>2</v>
      </c>
      <c r="C378">
        <v>28</v>
      </c>
      <c r="D378">
        <v>32325</v>
      </c>
    </row>
    <row r="379" spans="1:4" ht="15" customHeight="1" x14ac:dyDescent="0.2">
      <c r="A379">
        <v>2025</v>
      </c>
      <c r="B379">
        <v>2</v>
      </c>
      <c r="C379">
        <v>27</v>
      </c>
      <c r="D379">
        <v>57101</v>
      </c>
    </row>
    <row r="380" spans="1:4" ht="15" customHeight="1" x14ac:dyDescent="0.2">
      <c r="A380">
        <v>2025</v>
      </c>
      <c r="B380">
        <v>2</v>
      </c>
      <c r="C380">
        <v>26</v>
      </c>
      <c r="D380">
        <v>59909</v>
      </c>
    </row>
    <row r="381" spans="1:4" ht="15" customHeight="1" x14ac:dyDescent="0.2">
      <c r="A381">
        <v>2025</v>
      </c>
      <c r="B381">
        <v>2</v>
      </c>
      <c r="C381">
        <v>25</v>
      </c>
      <c r="D381">
        <v>57398</v>
      </c>
    </row>
    <row r="382" spans="1:4" ht="15" customHeight="1" x14ac:dyDescent="0.2">
      <c r="A382">
        <v>2025</v>
      </c>
      <c r="B382">
        <v>2</v>
      </c>
      <c r="C382">
        <v>24</v>
      </c>
      <c r="D382">
        <v>53862</v>
      </c>
    </row>
    <row r="383" spans="1:4" ht="15" customHeight="1" x14ac:dyDescent="0.2">
      <c r="A383">
        <v>2025</v>
      </c>
      <c r="B383">
        <v>2</v>
      </c>
      <c r="C383">
        <v>23</v>
      </c>
      <c r="D383">
        <v>52437</v>
      </c>
    </row>
    <row r="384" spans="1:4" ht="15" customHeight="1" x14ac:dyDescent="0.2">
      <c r="A384">
        <v>2025</v>
      </c>
      <c r="B384">
        <v>2</v>
      </c>
      <c r="C384">
        <v>22</v>
      </c>
      <c r="D384">
        <v>29309</v>
      </c>
    </row>
    <row r="385" spans="1:4" ht="15" customHeight="1" x14ac:dyDescent="0.2">
      <c r="A385">
        <v>2025</v>
      </c>
      <c r="B385">
        <v>2</v>
      </c>
      <c r="C385">
        <v>21</v>
      </c>
      <c r="D385">
        <v>29966</v>
      </c>
    </row>
    <row r="386" spans="1:4" ht="15" customHeight="1" x14ac:dyDescent="0.2">
      <c r="A386">
        <v>2025</v>
      </c>
      <c r="B386">
        <v>2</v>
      </c>
      <c r="C386">
        <v>20</v>
      </c>
      <c r="D386">
        <v>60466</v>
      </c>
    </row>
    <row r="387" spans="1:4" ht="15" customHeight="1" x14ac:dyDescent="0.2">
      <c r="A387">
        <v>2025</v>
      </c>
      <c r="B387">
        <v>2</v>
      </c>
      <c r="C387">
        <v>19</v>
      </c>
      <c r="D387">
        <v>67350</v>
      </c>
    </row>
    <row r="388" spans="1:4" ht="15" customHeight="1" x14ac:dyDescent="0.2">
      <c r="A388">
        <v>2025</v>
      </c>
      <c r="B388">
        <v>2</v>
      </c>
      <c r="C388">
        <v>18</v>
      </c>
      <c r="D388">
        <v>70131</v>
      </c>
    </row>
    <row r="389" spans="1:4" ht="15" customHeight="1" x14ac:dyDescent="0.2">
      <c r="A389">
        <v>2025</v>
      </c>
      <c r="B389">
        <v>2</v>
      </c>
      <c r="C389">
        <v>17</v>
      </c>
      <c r="D389">
        <v>63612</v>
      </c>
    </row>
    <row r="390" spans="1:4" ht="15" customHeight="1" x14ac:dyDescent="0.2">
      <c r="A390">
        <v>2025</v>
      </c>
      <c r="B390">
        <v>2</v>
      </c>
      <c r="C390">
        <v>16</v>
      </c>
      <c r="D390">
        <v>61131</v>
      </c>
    </row>
    <row r="391" spans="1:4" ht="15" customHeight="1" x14ac:dyDescent="0.2">
      <c r="A391">
        <v>2025</v>
      </c>
      <c r="B391">
        <v>2</v>
      </c>
      <c r="C391">
        <v>15</v>
      </c>
      <c r="D391">
        <v>32572</v>
      </c>
    </row>
    <row r="392" spans="1:4" ht="15" customHeight="1" x14ac:dyDescent="0.2">
      <c r="A392">
        <v>2025</v>
      </c>
      <c r="B392">
        <v>2</v>
      </c>
      <c r="C392">
        <v>14</v>
      </c>
      <c r="D392">
        <v>30521</v>
      </c>
    </row>
    <row r="393" spans="1:4" ht="15" customHeight="1" x14ac:dyDescent="0.2">
      <c r="A393">
        <v>2025</v>
      </c>
      <c r="B393">
        <v>2</v>
      </c>
      <c r="C393">
        <v>13</v>
      </c>
      <c r="D393">
        <v>78244</v>
      </c>
    </row>
    <row r="394" spans="1:4" ht="15" customHeight="1" x14ac:dyDescent="0.2">
      <c r="A394">
        <v>2025</v>
      </c>
      <c r="B394">
        <v>2</v>
      </c>
      <c r="C394">
        <v>12</v>
      </c>
      <c r="D394">
        <v>63866</v>
      </c>
    </row>
    <row r="395" spans="1:4" ht="15" customHeight="1" x14ac:dyDescent="0.2">
      <c r="A395">
        <v>2025</v>
      </c>
      <c r="B395">
        <v>2</v>
      </c>
      <c r="C395">
        <v>11</v>
      </c>
      <c r="D395">
        <v>65962</v>
      </c>
    </row>
    <row r="396" spans="1:4" ht="15" customHeight="1" x14ac:dyDescent="0.2">
      <c r="A396">
        <v>2025</v>
      </c>
      <c r="B396">
        <v>2</v>
      </c>
      <c r="C396">
        <v>10</v>
      </c>
      <c r="D396">
        <v>62524</v>
      </c>
    </row>
    <row r="397" spans="1:4" ht="15" customHeight="1" x14ac:dyDescent="0.2">
      <c r="A397">
        <v>2025</v>
      </c>
      <c r="B397">
        <v>2</v>
      </c>
      <c r="C397">
        <v>9</v>
      </c>
      <c r="D397">
        <v>57952</v>
      </c>
    </row>
    <row r="398" spans="1:4" ht="15" customHeight="1" x14ac:dyDescent="0.2">
      <c r="A398">
        <v>2025</v>
      </c>
      <c r="B398">
        <v>2</v>
      </c>
      <c r="C398">
        <v>8</v>
      </c>
      <c r="D398">
        <v>32805</v>
      </c>
    </row>
    <row r="399" spans="1:4" ht="15" customHeight="1" x14ac:dyDescent="0.2">
      <c r="A399">
        <v>2025</v>
      </c>
      <c r="B399">
        <v>2</v>
      </c>
      <c r="C399">
        <v>7</v>
      </c>
      <c r="D399">
        <v>28295</v>
      </c>
    </row>
    <row r="400" spans="1:4" ht="15" customHeight="1" x14ac:dyDescent="0.2">
      <c r="A400">
        <v>2025</v>
      </c>
      <c r="B400">
        <v>2</v>
      </c>
      <c r="C400">
        <v>6</v>
      </c>
      <c r="D400">
        <v>76775</v>
      </c>
    </row>
    <row r="401" spans="1:4" ht="15" customHeight="1" x14ac:dyDescent="0.2">
      <c r="A401">
        <v>2025</v>
      </c>
      <c r="B401">
        <v>2</v>
      </c>
      <c r="C401">
        <v>5</v>
      </c>
      <c r="D401">
        <v>64018</v>
      </c>
    </row>
    <row r="402" spans="1:4" ht="15" customHeight="1" x14ac:dyDescent="0.2">
      <c r="A402">
        <v>2025</v>
      </c>
      <c r="B402">
        <v>2</v>
      </c>
      <c r="C402">
        <v>4</v>
      </c>
      <c r="D402">
        <v>59110</v>
      </c>
    </row>
    <row r="403" spans="1:4" ht="15" customHeight="1" x14ac:dyDescent="0.2">
      <c r="A403">
        <v>2025</v>
      </c>
      <c r="B403">
        <v>2</v>
      </c>
      <c r="C403">
        <v>3</v>
      </c>
      <c r="D403">
        <v>62832</v>
      </c>
    </row>
    <row r="404" spans="1:4" ht="15" customHeight="1" x14ac:dyDescent="0.2">
      <c r="A404">
        <v>2025</v>
      </c>
      <c r="B404">
        <v>2</v>
      </c>
      <c r="C404">
        <v>2</v>
      </c>
      <c r="D404">
        <v>58173</v>
      </c>
    </row>
    <row r="405" spans="1:4" ht="15" customHeight="1" x14ac:dyDescent="0.2">
      <c r="A405">
        <v>2025</v>
      </c>
      <c r="B405">
        <v>2</v>
      </c>
      <c r="C405">
        <v>1</v>
      </c>
      <c r="D405">
        <v>30287</v>
      </c>
    </row>
    <row r="406" spans="1:4" ht="15" customHeight="1" x14ac:dyDescent="0.2">
      <c r="A406">
        <v>2025</v>
      </c>
      <c r="B406">
        <v>2</v>
      </c>
      <c r="C406" t="s">
        <v>4</v>
      </c>
      <c r="D406">
        <v>1498933</v>
      </c>
    </row>
    <row r="407" spans="1:4" ht="15" customHeight="1" x14ac:dyDescent="0.2">
      <c r="A407">
        <v>2025</v>
      </c>
      <c r="B407">
        <v>1</v>
      </c>
      <c r="C407">
        <v>31</v>
      </c>
      <c r="D407">
        <v>35585</v>
      </c>
    </row>
    <row r="408" spans="1:4" ht="15" customHeight="1" x14ac:dyDescent="0.2">
      <c r="A408">
        <v>2025</v>
      </c>
      <c r="B408">
        <v>1</v>
      </c>
      <c r="C408">
        <v>30</v>
      </c>
      <c r="D408">
        <v>69626</v>
      </c>
    </row>
    <row r="409" spans="1:4" ht="15" customHeight="1" x14ac:dyDescent="0.2">
      <c r="A409">
        <v>2025</v>
      </c>
      <c r="B409">
        <v>1</v>
      </c>
      <c r="C409">
        <v>29</v>
      </c>
      <c r="D409">
        <v>70881</v>
      </c>
    </row>
    <row r="410" spans="1:4" ht="15" customHeight="1" x14ac:dyDescent="0.2">
      <c r="A410">
        <v>2025</v>
      </c>
      <c r="B410">
        <v>1</v>
      </c>
      <c r="C410">
        <v>28</v>
      </c>
      <c r="D410">
        <v>62128</v>
      </c>
    </row>
    <row r="411" spans="1:4" ht="15" customHeight="1" x14ac:dyDescent="0.2">
      <c r="A411">
        <v>2025</v>
      </c>
      <c r="B411">
        <v>1</v>
      </c>
      <c r="C411">
        <v>27</v>
      </c>
      <c r="D411">
        <v>52788</v>
      </c>
    </row>
    <row r="412" spans="1:4" ht="15" customHeight="1" x14ac:dyDescent="0.2">
      <c r="A412">
        <v>2025</v>
      </c>
      <c r="B412">
        <v>1</v>
      </c>
      <c r="C412">
        <v>26</v>
      </c>
      <c r="D412">
        <v>54542</v>
      </c>
    </row>
    <row r="413" spans="1:4" ht="15" customHeight="1" x14ac:dyDescent="0.2">
      <c r="A413">
        <v>2025</v>
      </c>
      <c r="B413">
        <v>1</v>
      </c>
      <c r="C413">
        <v>25</v>
      </c>
      <c r="D413">
        <v>22755</v>
      </c>
    </row>
    <row r="414" spans="1:4" ht="15" customHeight="1" x14ac:dyDescent="0.2">
      <c r="A414">
        <v>2025</v>
      </c>
      <c r="B414">
        <v>1</v>
      </c>
      <c r="C414">
        <v>24</v>
      </c>
      <c r="D414">
        <v>26472</v>
      </c>
    </row>
    <row r="415" spans="1:4" ht="15" customHeight="1" x14ac:dyDescent="0.2">
      <c r="A415">
        <v>2025</v>
      </c>
      <c r="B415">
        <v>1</v>
      </c>
      <c r="C415">
        <v>23</v>
      </c>
      <c r="D415">
        <v>44335</v>
      </c>
    </row>
    <row r="416" spans="1:4" ht="15" customHeight="1" x14ac:dyDescent="0.2">
      <c r="A416">
        <v>2025</v>
      </c>
      <c r="B416">
        <v>1</v>
      </c>
      <c r="C416">
        <v>22</v>
      </c>
      <c r="D416">
        <v>55671</v>
      </c>
    </row>
    <row r="417" spans="1:4" ht="15" customHeight="1" x14ac:dyDescent="0.2">
      <c r="A417">
        <v>2025</v>
      </c>
      <c r="B417">
        <v>1</v>
      </c>
      <c r="C417">
        <v>21</v>
      </c>
      <c r="D417">
        <v>50501</v>
      </c>
    </row>
    <row r="418" spans="1:4" ht="15" customHeight="1" x14ac:dyDescent="0.2">
      <c r="A418">
        <v>2025</v>
      </c>
      <c r="B418">
        <v>1</v>
      </c>
      <c r="C418">
        <v>20</v>
      </c>
      <c r="D418">
        <v>53604</v>
      </c>
    </row>
    <row r="419" spans="1:4" ht="15" customHeight="1" x14ac:dyDescent="0.2">
      <c r="A419">
        <v>2025</v>
      </c>
      <c r="B419">
        <v>1</v>
      </c>
      <c r="C419">
        <v>19</v>
      </c>
      <c r="D419">
        <v>47790</v>
      </c>
    </row>
    <row r="420" spans="1:4" ht="15" customHeight="1" x14ac:dyDescent="0.2">
      <c r="A420">
        <v>2025</v>
      </c>
      <c r="B420">
        <v>1</v>
      </c>
      <c r="C420">
        <v>18</v>
      </c>
      <c r="D420">
        <v>27199</v>
      </c>
    </row>
    <row r="421" spans="1:4" ht="15" customHeight="1" x14ac:dyDescent="0.2">
      <c r="A421">
        <v>2025</v>
      </c>
      <c r="B421">
        <v>1</v>
      </c>
      <c r="C421">
        <v>17</v>
      </c>
      <c r="D421">
        <v>47326</v>
      </c>
    </row>
    <row r="422" spans="1:4" ht="15" customHeight="1" x14ac:dyDescent="0.2">
      <c r="A422">
        <v>2025</v>
      </c>
      <c r="B422">
        <v>1</v>
      </c>
      <c r="C422">
        <v>16</v>
      </c>
      <c r="D422">
        <v>57616</v>
      </c>
    </row>
    <row r="423" spans="1:4" ht="15" customHeight="1" x14ac:dyDescent="0.2">
      <c r="A423">
        <v>2025</v>
      </c>
      <c r="B423">
        <v>1</v>
      </c>
      <c r="C423">
        <v>15</v>
      </c>
      <c r="D423">
        <v>55761</v>
      </c>
    </row>
    <row r="424" spans="1:4" ht="15" customHeight="1" x14ac:dyDescent="0.2">
      <c r="A424">
        <v>2025</v>
      </c>
      <c r="B424">
        <v>1</v>
      </c>
      <c r="C424">
        <v>14</v>
      </c>
      <c r="D424">
        <v>57080</v>
      </c>
    </row>
    <row r="425" spans="1:4" ht="15" customHeight="1" x14ac:dyDescent="0.2">
      <c r="A425">
        <v>2025</v>
      </c>
      <c r="B425">
        <v>1</v>
      </c>
      <c r="C425">
        <v>13</v>
      </c>
      <c r="D425">
        <v>60379</v>
      </c>
    </row>
    <row r="426" spans="1:4" ht="15" customHeight="1" x14ac:dyDescent="0.2">
      <c r="A426">
        <v>2025</v>
      </c>
      <c r="B426">
        <v>1</v>
      </c>
      <c r="C426">
        <v>12</v>
      </c>
      <c r="D426">
        <v>52918</v>
      </c>
    </row>
    <row r="427" spans="1:4" ht="15" customHeight="1" x14ac:dyDescent="0.2">
      <c r="A427">
        <v>2025</v>
      </c>
      <c r="B427">
        <v>1</v>
      </c>
      <c r="C427">
        <v>11</v>
      </c>
      <c r="D427">
        <v>23105</v>
      </c>
    </row>
    <row r="428" spans="1:4" ht="15" customHeight="1" x14ac:dyDescent="0.2">
      <c r="A428">
        <v>2025</v>
      </c>
      <c r="B428">
        <v>1</v>
      </c>
      <c r="C428">
        <v>10</v>
      </c>
      <c r="D428">
        <v>46583</v>
      </c>
    </row>
    <row r="429" spans="1:4" ht="15" customHeight="1" x14ac:dyDescent="0.2">
      <c r="A429">
        <v>2025</v>
      </c>
      <c r="B429">
        <v>1</v>
      </c>
      <c r="C429">
        <v>9</v>
      </c>
      <c r="D429">
        <v>59590</v>
      </c>
    </row>
    <row r="430" spans="1:4" ht="15" customHeight="1" x14ac:dyDescent="0.2">
      <c r="A430">
        <v>2025</v>
      </c>
      <c r="B430">
        <v>1</v>
      </c>
      <c r="C430">
        <v>8</v>
      </c>
      <c r="D430">
        <v>59831</v>
      </c>
    </row>
    <row r="431" spans="1:4" ht="15" customHeight="1" x14ac:dyDescent="0.2">
      <c r="A431">
        <v>2025</v>
      </c>
      <c r="B431">
        <v>1</v>
      </c>
      <c r="C431">
        <v>7</v>
      </c>
      <c r="D431">
        <v>57370</v>
      </c>
    </row>
    <row r="432" spans="1:4" ht="15" customHeight="1" x14ac:dyDescent="0.2">
      <c r="A432">
        <v>2025</v>
      </c>
      <c r="B432">
        <v>1</v>
      </c>
      <c r="C432">
        <v>6</v>
      </c>
      <c r="D432">
        <v>58305</v>
      </c>
    </row>
    <row r="433" spans="1:4" ht="15" customHeight="1" x14ac:dyDescent="0.2">
      <c r="A433">
        <v>2025</v>
      </c>
      <c r="B433">
        <v>1</v>
      </c>
      <c r="C433">
        <v>5</v>
      </c>
      <c r="D433">
        <v>51596</v>
      </c>
    </row>
    <row r="434" spans="1:4" ht="15" customHeight="1" x14ac:dyDescent="0.2">
      <c r="A434">
        <v>2025</v>
      </c>
      <c r="B434">
        <v>1</v>
      </c>
      <c r="C434">
        <v>4</v>
      </c>
      <c r="D434">
        <v>27520</v>
      </c>
    </row>
    <row r="435" spans="1:4" ht="15" customHeight="1" x14ac:dyDescent="0.2">
      <c r="A435">
        <v>2025</v>
      </c>
      <c r="B435">
        <v>1</v>
      </c>
      <c r="C435">
        <v>3</v>
      </c>
      <c r="D435">
        <v>45750</v>
      </c>
    </row>
    <row r="436" spans="1:4" ht="15" customHeight="1" x14ac:dyDescent="0.2">
      <c r="A436">
        <v>2025</v>
      </c>
      <c r="B436">
        <v>1</v>
      </c>
      <c r="C436">
        <v>2</v>
      </c>
      <c r="D436">
        <v>56348</v>
      </c>
    </row>
    <row r="437" spans="1:4" ht="15" customHeight="1" x14ac:dyDescent="0.2">
      <c r="A437">
        <v>2025</v>
      </c>
      <c r="B437">
        <v>1</v>
      </c>
      <c r="C437">
        <v>1</v>
      </c>
      <c r="D437">
        <v>27226</v>
      </c>
    </row>
    <row r="438" spans="1:4" ht="15" customHeight="1" x14ac:dyDescent="0.2">
      <c r="A438">
        <v>2025</v>
      </c>
      <c r="B438">
        <v>1</v>
      </c>
      <c r="C438" t="s">
        <v>4</v>
      </c>
      <c r="D438">
        <v>1518181</v>
      </c>
    </row>
    <row r="439" spans="1:4" ht="15" customHeight="1" x14ac:dyDescent="0.2">
      <c r="A439">
        <v>2025</v>
      </c>
      <c r="B439" t="s">
        <v>4</v>
      </c>
      <c r="C439" t="s">
        <v>4</v>
      </c>
      <c r="D439">
        <v>19815903</v>
      </c>
    </row>
    <row r="440" spans="1:4" ht="15" customHeight="1" x14ac:dyDescent="0.2">
      <c r="A440">
        <v>2024</v>
      </c>
      <c r="B440">
        <v>12</v>
      </c>
      <c r="C440">
        <v>31</v>
      </c>
      <c r="D440">
        <v>22184</v>
      </c>
    </row>
    <row r="441" spans="1:4" ht="15" customHeight="1" x14ac:dyDescent="0.2">
      <c r="A441">
        <v>2024</v>
      </c>
      <c r="B441">
        <v>12</v>
      </c>
      <c r="C441">
        <v>30</v>
      </c>
      <c r="D441">
        <v>55097</v>
      </c>
    </row>
    <row r="442" spans="1:4" ht="15" customHeight="1" x14ac:dyDescent="0.2">
      <c r="A442">
        <v>2024</v>
      </c>
      <c r="B442">
        <v>12</v>
      </c>
      <c r="C442">
        <v>29</v>
      </c>
      <c r="D442">
        <v>43797</v>
      </c>
    </row>
    <row r="443" spans="1:4" ht="15" customHeight="1" x14ac:dyDescent="0.2">
      <c r="A443">
        <v>2024</v>
      </c>
      <c r="B443">
        <v>12</v>
      </c>
      <c r="C443">
        <v>28</v>
      </c>
      <c r="D443">
        <v>21421</v>
      </c>
    </row>
    <row r="444" spans="1:4" ht="15" customHeight="1" x14ac:dyDescent="0.2">
      <c r="A444">
        <v>2024</v>
      </c>
      <c r="B444">
        <v>12</v>
      </c>
      <c r="C444">
        <v>27</v>
      </c>
      <c r="D444">
        <v>43370</v>
      </c>
    </row>
    <row r="445" spans="1:4" ht="15" customHeight="1" x14ac:dyDescent="0.2">
      <c r="A445">
        <v>2024</v>
      </c>
      <c r="B445">
        <v>12</v>
      </c>
      <c r="C445">
        <v>26</v>
      </c>
      <c r="D445">
        <v>53042</v>
      </c>
    </row>
    <row r="446" spans="1:4" ht="15" customHeight="1" x14ac:dyDescent="0.2">
      <c r="A446">
        <v>2024</v>
      </c>
      <c r="B446">
        <v>12</v>
      </c>
      <c r="C446">
        <v>25</v>
      </c>
      <c r="D446">
        <v>22091</v>
      </c>
    </row>
    <row r="447" spans="1:4" ht="15" customHeight="1" x14ac:dyDescent="0.2">
      <c r="A447">
        <v>2024</v>
      </c>
      <c r="B447">
        <v>12</v>
      </c>
      <c r="C447">
        <v>24</v>
      </c>
      <c r="D447">
        <v>14258</v>
      </c>
    </row>
    <row r="448" spans="1:4" ht="15" customHeight="1" x14ac:dyDescent="0.2">
      <c r="A448">
        <v>2024</v>
      </c>
      <c r="B448">
        <v>12</v>
      </c>
      <c r="C448">
        <v>23</v>
      </c>
      <c r="D448">
        <v>48350</v>
      </c>
    </row>
    <row r="449" spans="1:4" ht="15" customHeight="1" x14ac:dyDescent="0.2">
      <c r="A449">
        <v>2024</v>
      </c>
      <c r="B449">
        <v>12</v>
      </c>
      <c r="C449">
        <v>22</v>
      </c>
      <c r="D449">
        <v>40690</v>
      </c>
    </row>
    <row r="450" spans="1:4" ht="15" customHeight="1" x14ac:dyDescent="0.2">
      <c r="A450">
        <v>2024</v>
      </c>
      <c r="B450">
        <v>12</v>
      </c>
      <c r="C450">
        <v>21</v>
      </c>
      <c r="D450">
        <v>23279</v>
      </c>
    </row>
    <row r="451" spans="1:4" ht="15" customHeight="1" x14ac:dyDescent="0.2">
      <c r="A451">
        <v>2024</v>
      </c>
      <c r="B451">
        <v>12</v>
      </c>
      <c r="C451">
        <v>20</v>
      </c>
      <c r="D451">
        <v>45832</v>
      </c>
    </row>
    <row r="452" spans="1:4" ht="15" customHeight="1" x14ac:dyDescent="0.2">
      <c r="A452">
        <v>2024</v>
      </c>
      <c r="B452">
        <v>12</v>
      </c>
      <c r="C452">
        <v>19</v>
      </c>
      <c r="D452">
        <v>53294</v>
      </c>
    </row>
    <row r="453" spans="1:4" ht="15" customHeight="1" x14ac:dyDescent="0.2">
      <c r="A453">
        <v>2024</v>
      </c>
      <c r="B453">
        <v>12</v>
      </c>
      <c r="C453">
        <v>18</v>
      </c>
      <c r="D453">
        <v>58927</v>
      </c>
    </row>
    <row r="454" spans="1:4" ht="15" customHeight="1" x14ac:dyDescent="0.2">
      <c r="A454">
        <v>2024</v>
      </c>
      <c r="B454">
        <v>12</v>
      </c>
      <c r="C454">
        <v>17</v>
      </c>
      <c r="D454">
        <v>58132</v>
      </c>
    </row>
    <row r="455" spans="1:4" ht="15" customHeight="1" x14ac:dyDescent="0.2">
      <c r="A455">
        <v>2024</v>
      </c>
      <c r="B455">
        <v>12</v>
      </c>
      <c r="C455">
        <v>16</v>
      </c>
      <c r="D455">
        <v>52555</v>
      </c>
    </row>
    <row r="456" spans="1:4" ht="15" customHeight="1" x14ac:dyDescent="0.2">
      <c r="A456">
        <v>2024</v>
      </c>
      <c r="B456">
        <v>12</v>
      </c>
      <c r="C456">
        <v>15</v>
      </c>
      <c r="D456">
        <v>38962</v>
      </c>
    </row>
    <row r="457" spans="1:4" ht="15" customHeight="1" x14ac:dyDescent="0.2">
      <c r="A457">
        <v>2024</v>
      </c>
      <c r="B457">
        <v>12</v>
      </c>
      <c r="C457">
        <v>14</v>
      </c>
      <c r="D457">
        <v>25205</v>
      </c>
    </row>
    <row r="458" spans="1:4" ht="15" customHeight="1" x14ac:dyDescent="0.2">
      <c r="A458">
        <v>2024</v>
      </c>
      <c r="B458">
        <v>12</v>
      </c>
      <c r="C458">
        <v>13</v>
      </c>
      <c r="D458">
        <v>40206</v>
      </c>
    </row>
    <row r="459" spans="1:4" ht="15" customHeight="1" x14ac:dyDescent="0.2">
      <c r="A459">
        <v>2024</v>
      </c>
      <c r="B459">
        <v>12</v>
      </c>
      <c r="C459">
        <v>12</v>
      </c>
      <c r="D459">
        <v>56953</v>
      </c>
    </row>
    <row r="460" spans="1:4" ht="15" customHeight="1" x14ac:dyDescent="0.2">
      <c r="A460">
        <v>2024</v>
      </c>
      <c r="B460">
        <v>12</v>
      </c>
      <c r="C460">
        <v>11</v>
      </c>
      <c r="D460">
        <v>58759</v>
      </c>
    </row>
    <row r="461" spans="1:4" ht="15" customHeight="1" x14ac:dyDescent="0.2">
      <c r="A461">
        <v>2024</v>
      </c>
      <c r="B461">
        <v>12</v>
      </c>
      <c r="C461">
        <v>10</v>
      </c>
      <c r="D461">
        <v>56227</v>
      </c>
    </row>
    <row r="462" spans="1:4" ht="15" customHeight="1" x14ac:dyDescent="0.2">
      <c r="A462">
        <v>2024</v>
      </c>
      <c r="B462">
        <v>12</v>
      </c>
      <c r="C462">
        <v>9</v>
      </c>
      <c r="D462">
        <v>54794</v>
      </c>
    </row>
    <row r="463" spans="1:4" ht="15" customHeight="1" x14ac:dyDescent="0.2">
      <c r="A463">
        <v>2024</v>
      </c>
      <c r="B463">
        <v>12</v>
      </c>
      <c r="C463">
        <v>8</v>
      </c>
      <c r="D463">
        <v>40567</v>
      </c>
    </row>
    <row r="464" spans="1:4" ht="15" customHeight="1" x14ac:dyDescent="0.2">
      <c r="A464">
        <v>2024</v>
      </c>
      <c r="B464">
        <v>12</v>
      </c>
      <c r="C464">
        <v>7</v>
      </c>
      <c r="D464">
        <v>20614</v>
      </c>
    </row>
    <row r="465" spans="1:4" ht="15" customHeight="1" x14ac:dyDescent="0.2">
      <c r="A465">
        <v>2024</v>
      </c>
      <c r="B465">
        <v>12</v>
      </c>
      <c r="C465">
        <v>6</v>
      </c>
      <c r="D465">
        <v>47859</v>
      </c>
    </row>
    <row r="466" spans="1:4" ht="15" customHeight="1" x14ac:dyDescent="0.2">
      <c r="A466">
        <v>2024</v>
      </c>
      <c r="B466">
        <v>12</v>
      </c>
      <c r="C466">
        <v>5</v>
      </c>
      <c r="D466">
        <v>57233</v>
      </c>
    </row>
    <row r="467" spans="1:4" ht="15" customHeight="1" x14ac:dyDescent="0.2">
      <c r="A467">
        <v>2024</v>
      </c>
      <c r="B467">
        <v>12</v>
      </c>
      <c r="C467">
        <v>4</v>
      </c>
      <c r="D467">
        <v>56860</v>
      </c>
    </row>
    <row r="468" spans="1:4" ht="15" customHeight="1" x14ac:dyDescent="0.2">
      <c r="A468">
        <v>2024</v>
      </c>
      <c r="B468">
        <v>12</v>
      </c>
      <c r="C468">
        <v>3</v>
      </c>
      <c r="D468">
        <v>56323</v>
      </c>
    </row>
    <row r="469" spans="1:4" ht="15" customHeight="1" x14ac:dyDescent="0.2">
      <c r="A469">
        <v>2024</v>
      </c>
      <c r="B469">
        <v>12</v>
      </c>
      <c r="C469">
        <v>2</v>
      </c>
      <c r="D469">
        <v>51909</v>
      </c>
    </row>
    <row r="470" spans="1:4" ht="15" customHeight="1" x14ac:dyDescent="0.2">
      <c r="A470">
        <v>2024</v>
      </c>
      <c r="B470">
        <v>12</v>
      </c>
      <c r="C470">
        <v>1</v>
      </c>
      <c r="D470">
        <v>37794</v>
      </c>
    </row>
    <row r="471" spans="1:4" ht="15" customHeight="1" x14ac:dyDescent="0.2">
      <c r="A471">
        <v>2024</v>
      </c>
      <c r="B471">
        <v>12</v>
      </c>
      <c r="C471" t="s">
        <v>4</v>
      </c>
      <c r="D471">
        <v>1356584</v>
      </c>
    </row>
    <row r="472" spans="1:4" ht="15" customHeight="1" x14ac:dyDescent="0.2">
      <c r="A472">
        <v>2024</v>
      </c>
      <c r="B472">
        <v>11</v>
      </c>
      <c r="C472">
        <v>30</v>
      </c>
      <c r="D472">
        <v>21871</v>
      </c>
    </row>
    <row r="473" spans="1:4" ht="15" customHeight="1" x14ac:dyDescent="0.2">
      <c r="A473">
        <v>2024</v>
      </c>
      <c r="B473">
        <v>11</v>
      </c>
      <c r="C473">
        <v>29</v>
      </c>
      <c r="D473">
        <v>25913</v>
      </c>
    </row>
    <row r="474" spans="1:4" ht="15" customHeight="1" x14ac:dyDescent="0.2">
      <c r="A474">
        <v>2024</v>
      </c>
      <c r="B474">
        <v>11</v>
      </c>
      <c r="C474">
        <v>28</v>
      </c>
      <c r="D474">
        <v>24688</v>
      </c>
    </row>
    <row r="475" spans="1:4" ht="15" customHeight="1" x14ac:dyDescent="0.2">
      <c r="A475">
        <v>2024</v>
      </c>
      <c r="B475">
        <v>11</v>
      </c>
      <c r="C475">
        <v>27</v>
      </c>
      <c r="D475">
        <v>44439</v>
      </c>
    </row>
    <row r="476" spans="1:4" ht="15" customHeight="1" x14ac:dyDescent="0.2">
      <c r="A476">
        <v>2024</v>
      </c>
      <c r="B476">
        <v>11</v>
      </c>
      <c r="C476">
        <v>26</v>
      </c>
      <c r="D476">
        <v>53519</v>
      </c>
    </row>
    <row r="477" spans="1:4" ht="15" customHeight="1" x14ac:dyDescent="0.2">
      <c r="A477">
        <v>2024</v>
      </c>
      <c r="B477">
        <v>11</v>
      </c>
      <c r="C477">
        <v>25</v>
      </c>
      <c r="D477">
        <v>48678</v>
      </c>
    </row>
    <row r="478" spans="1:4" ht="15" customHeight="1" x14ac:dyDescent="0.2">
      <c r="A478">
        <v>2024</v>
      </c>
      <c r="B478">
        <v>11</v>
      </c>
      <c r="C478">
        <v>24</v>
      </c>
      <c r="D478">
        <v>37416</v>
      </c>
    </row>
    <row r="479" spans="1:4" ht="15" customHeight="1" x14ac:dyDescent="0.2">
      <c r="A479">
        <v>2024</v>
      </c>
      <c r="B479">
        <v>11</v>
      </c>
      <c r="C479">
        <v>23</v>
      </c>
      <c r="D479">
        <v>22276</v>
      </c>
    </row>
    <row r="480" spans="1:4" ht="15" customHeight="1" x14ac:dyDescent="0.2">
      <c r="A480">
        <v>2024</v>
      </c>
      <c r="B480">
        <v>11</v>
      </c>
      <c r="C480">
        <v>22</v>
      </c>
      <c r="D480">
        <v>42351</v>
      </c>
    </row>
    <row r="481" spans="1:4" ht="15" customHeight="1" x14ac:dyDescent="0.2">
      <c r="A481">
        <v>2024</v>
      </c>
      <c r="B481">
        <v>11</v>
      </c>
      <c r="C481">
        <v>21</v>
      </c>
      <c r="D481">
        <v>50090</v>
      </c>
    </row>
    <row r="482" spans="1:4" ht="15" customHeight="1" x14ac:dyDescent="0.2">
      <c r="A482">
        <v>2024</v>
      </c>
      <c r="B482">
        <v>11</v>
      </c>
      <c r="C482">
        <v>20</v>
      </c>
      <c r="D482">
        <v>52327</v>
      </c>
    </row>
    <row r="483" spans="1:4" ht="15" customHeight="1" x14ac:dyDescent="0.2">
      <c r="A483">
        <v>2024</v>
      </c>
      <c r="B483">
        <v>11</v>
      </c>
      <c r="C483">
        <v>19</v>
      </c>
      <c r="D483">
        <v>52125</v>
      </c>
    </row>
    <row r="484" spans="1:4" ht="15" customHeight="1" x14ac:dyDescent="0.2">
      <c r="A484">
        <v>2024</v>
      </c>
      <c r="B484">
        <v>11</v>
      </c>
      <c r="C484">
        <v>18</v>
      </c>
      <c r="D484">
        <v>49618</v>
      </c>
    </row>
    <row r="485" spans="1:4" ht="15" customHeight="1" x14ac:dyDescent="0.2">
      <c r="A485">
        <v>2024</v>
      </c>
      <c r="B485">
        <v>11</v>
      </c>
      <c r="C485">
        <v>17</v>
      </c>
      <c r="D485">
        <v>37713</v>
      </c>
    </row>
    <row r="486" spans="1:4" ht="15" customHeight="1" x14ac:dyDescent="0.2">
      <c r="A486">
        <v>2024</v>
      </c>
      <c r="B486">
        <v>11</v>
      </c>
      <c r="C486">
        <v>16</v>
      </c>
      <c r="D486">
        <v>19401</v>
      </c>
    </row>
    <row r="487" spans="1:4" ht="15" customHeight="1" x14ac:dyDescent="0.2">
      <c r="A487">
        <v>2024</v>
      </c>
      <c r="B487">
        <v>11</v>
      </c>
      <c r="C487">
        <v>15</v>
      </c>
      <c r="D487">
        <v>34623</v>
      </c>
    </row>
    <row r="488" spans="1:4" ht="15" customHeight="1" x14ac:dyDescent="0.2">
      <c r="A488">
        <v>2024</v>
      </c>
      <c r="B488">
        <v>11</v>
      </c>
      <c r="C488">
        <v>14</v>
      </c>
      <c r="D488">
        <v>49006</v>
      </c>
    </row>
    <row r="489" spans="1:4" ht="15" customHeight="1" x14ac:dyDescent="0.2">
      <c r="A489">
        <v>2024</v>
      </c>
      <c r="B489">
        <v>11</v>
      </c>
      <c r="C489">
        <v>13</v>
      </c>
      <c r="D489">
        <v>53627</v>
      </c>
    </row>
    <row r="490" spans="1:4" ht="15" customHeight="1" x14ac:dyDescent="0.2">
      <c r="A490">
        <v>2024</v>
      </c>
      <c r="B490">
        <v>11</v>
      </c>
      <c r="C490">
        <v>12</v>
      </c>
      <c r="D490">
        <v>52133</v>
      </c>
    </row>
    <row r="491" spans="1:4" ht="15" customHeight="1" x14ac:dyDescent="0.2">
      <c r="A491">
        <v>2024</v>
      </c>
      <c r="B491">
        <v>11</v>
      </c>
      <c r="C491">
        <v>11</v>
      </c>
      <c r="D491">
        <v>48409</v>
      </c>
    </row>
    <row r="492" spans="1:4" ht="15" customHeight="1" x14ac:dyDescent="0.2">
      <c r="A492">
        <v>2024</v>
      </c>
      <c r="B492">
        <v>11</v>
      </c>
      <c r="C492">
        <v>10</v>
      </c>
      <c r="D492">
        <v>35836</v>
      </c>
    </row>
    <row r="493" spans="1:4" ht="15" customHeight="1" x14ac:dyDescent="0.2">
      <c r="A493">
        <v>2024</v>
      </c>
      <c r="B493">
        <v>11</v>
      </c>
      <c r="C493">
        <v>9</v>
      </c>
      <c r="D493">
        <v>18275</v>
      </c>
    </row>
    <row r="494" spans="1:4" ht="15" customHeight="1" x14ac:dyDescent="0.2">
      <c r="A494">
        <v>2024</v>
      </c>
      <c r="B494">
        <v>11</v>
      </c>
      <c r="C494">
        <v>8</v>
      </c>
      <c r="D494">
        <v>36942</v>
      </c>
    </row>
    <row r="495" spans="1:4" ht="15" customHeight="1" x14ac:dyDescent="0.2">
      <c r="A495">
        <v>2024</v>
      </c>
      <c r="B495">
        <v>11</v>
      </c>
      <c r="C495">
        <v>7</v>
      </c>
      <c r="D495">
        <v>48559</v>
      </c>
    </row>
    <row r="496" spans="1:4" ht="15" customHeight="1" x14ac:dyDescent="0.2">
      <c r="A496">
        <v>2024</v>
      </c>
      <c r="B496">
        <v>11</v>
      </c>
      <c r="C496">
        <v>6</v>
      </c>
      <c r="D496">
        <v>51378</v>
      </c>
    </row>
    <row r="497" spans="1:4" ht="15" customHeight="1" x14ac:dyDescent="0.2">
      <c r="A497">
        <v>2024</v>
      </c>
      <c r="B497">
        <v>11</v>
      </c>
      <c r="C497">
        <v>5</v>
      </c>
      <c r="D497">
        <v>54444</v>
      </c>
    </row>
    <row r="498" spans="1:4" ht="15" customHeight="1" x14ac:dyDescent="0.2">
      <c r="A498">
        <v>2024</v>
      </c>
      <c r="B498">
        <v>11</v>
      </c>
      <c r="C498">
        <v>4</v>
      </c>
      <c r="D498">
        <v>47400</v>
      </c>
    </row>
    <row r="499" spans="1:4" ht="15" customHeight="1" x14ac:dyDescent="0.2">
      <c r="A499">
        <v>2024</v>
      </c>
      <c r="B499">
        <v>11</v>
      </c>
      <c r="C499">
        <v>3</v>
      </c>
      <c r="D499">
        <v>39000</v>
      </c>
    </row>
    <row r="500" spans="1:4" ht="15" customHeight="1" x14ac:dyDescent="0.2">
      <c r="A500">
        <v>2024</v>
      </c>
      <c r="B500">
        <v>11</v>
      </c>
      <c r="C500">
        <v>2</v>
      </c>
      <c r="D500">
        <v>24945</v>
      </c>
    </row>
    <row r="501" spans="1:4" ht="15" customHeight="1" x14ac:dyDescent="0.2">
      <c r="A501">
        <v>2024</v>
      </c>
      <c r="B501">
        <v>11</v>
      </c>
      <c r="C501">
        <v>1</v>
      </c>
      <c r="D501">
        <v>27420</v>
      </c>
    </row>
    <row r="502" spans="1:4" ht="15" customHeight="1" x14ac:dyDescent="0.2">
      <c r="A502">
        <v>2024</v>
      </c>
      <c r="B502">
        <v>11</v>
      </c>
      <c r="C502" t="s">
        <v>4</v>
      </c>
      <c r="D502">
        <v>1204422</v>
      </c>
    </row>
    <row r="503" spans="1:4" ht="15" customHeight="1" x14ac:dyDescent="0.2">
      <c r="A503">
        <v>2024</v>
      </c>
      <c r="B503">
        <v>10</v>
      </c>
      <c r="C503">
        <v>31</v>
      </c>
      <c r="D503">
        <v>51203</v>
      </c>
    </row>
    <row r="504" spans="1:4" ht="15" customHeight="1" x14ac:dyDescent="0.2">
      <c r="A504">
        <v>2024</v>
      </c>
      <c r="B504">
        <v>10</v>
      </c>
      <c r="C504">
        <v>30</v>
      </c>
      <c r="D504">
        <v>52565</v>
      </c>
    </row>
    <row r="505" spans="1:4" ht="15" customHeight="1" x14ac:dyDescent="0.2">
      <c r="A505">
        <v>2024</v>
      </c>
      <c r="B505">
        <v>10</v>
      </c>
      <c r="C505">
        <v>29</v>
      </c>
      <c r="D505">
        <v>52153</v>
      </c>
    </row>
    <row r="506" spans="1:4" ht="15" customHeight="1" x14ac:dyDescent="0.2">
      <c r="A506">
        <v>2024</v>
      </c>
      <c r="B506">
        <v>10</v>
      </c>
      <c r="C506">
        <v>28</v>
      </c>
      <c r="D506">
        <v>52652</v>
      </c>
    </row>
    <row r="507" spans="1:4" ht="15" customHeight="1" x14ac:dyDescent="0.2">
      <c r="A507">
        <v>2024</v>
      </c>
      <c r="B507">
        <v>10</v>
      </c>
      <c r="C507">
        <v>27</v>
      </c>
      <c r="D507">
        <v>35782</v>
      </c>
    </row>
    <row r="508" spans="1:4" ht="15" customHeight="1" x14ac:dyDescent="0.2">
      <c r="A508">
        <v>2024</v>
      </c>
      <c r="B508">
        <v>10</v>
      </c>
      <c r="C508">
        <v>26</v>
      </c>
      <c r="D508">
        <v>22673</v>
      </c>
    </row>
    <row r="509" spans="1:4" ht="15" customHeight="1" x14ac:dyDescent="0.2">
      <c r="A509">
        <v>2024</v>
      </c>
      <c r="B509">
        <v>10</v>
      </c>
      <c r="C509">
        <v>25</v>
      </c>
      <c r="D509">
        <v>34854</v>
      </c>
    </row>
    <row r="510" spans="1:4" ht="15" customHeight="1" x14ac:dyDescent="0.2">
      <c r="A510">
        <v>2024</v>
      </c>
      <c r="B510">
        <v>10</v>
      </c>
      <c r="C510">
        <v>24</v>
      </c>
      <c r="D510">
        <v>53482</v>
      </c>
    </row>
    <row r="511" spans="1:4" ht="15" customHeight="1" x14ac:dyDescent="0.2">
      <c r="A511">
        <v>2024</v>
      </c>
      <c r="B511">
        <v>10</v>
      </c>
      <c r="C511">
        <v>23</v>
      </c>
      <c r="D511">
        <v>52441</v>
      </c>
    </row>
    <row r="512" spans="1:4" ht="15" customHeight="1" x14ac:dyDescent="0.2">
      <c r="A512">
        <v>2024</v>
      </c>
      <c r="B512">
        <v>10</v>
      </c>
      <c r="C512">
        <v>22</v>
      </c>
      <c r="D512">
        <v>56619</v>
      </c>
    </row>
    <row r="513" spans="1:4" ht="15" customHeight="1" x14ac:dyDescent="0.2">
      <c r="A513">
        <v>2024</v>
      </c>
      <c r="B513">
        <v>10</v>
      </c>
      <c r="C513">
        <v>21</v>
      </c>
      <c r="D513">
        <v>51101</v>
      </c>
    </row>
    <row r="514" spans="1:4" ht="15" customHeight="1" x14ac:dyDescent="0.2">
      <c r="A514">
        <v>2024</v>
      </c>
      <c r="B514">
        <v>10</v>
      </c>
      <c r="C514">
        <v>20</v>
      </c>
      <c r="D514">
        <v>35989</v>
      </c>
    </row>
    <row r="515" spans="1:4" ht="15" customHeight="1" x14ac:dyDescent="0.2">
      <c r="A515">
        <v>2024</v>
      </c>
      <c r="B515">
        <v>10</v>
      </c>
      <c r="C515">
        <v>19</v>
      </c>
      <c r="D515">
        <v>21698</v>
      </c>
    </row>
    <row r="516" spans="1:4" ht="15" customHeight="1" x14ac:dyDescent="0.2">
      <c r="A516">
        <v>2024</v>
      </c>
      <c r="B516">
        <v>10</v>
      </c>
      <c r="C516">
        <v>18</v>
      </c>
      <c r="D516">
        <v>37272</v>
      </c>
    </row>
    <row r="517" spans="1:4" ht="15" customHeight="1" x14ac:dyDescent="0.2">
      <c r="A517">
        <v>2024</v>
      </c>
      <c r="B517">
        <v>10</v>
      </c>
      <c r="C517">
        <v>17</v>
      </c>
      <c r="D517">
        <v>52025</v>
      </c>
    </row>
    <row r="518" spans="1:4" ht="15" customHeight="1" x14ac:dyDescent="0.2">
      <c r="A518">
        <v>2024</v>
      </c>
      <c r="B518">
        <v>10</v>
      </c>
      <c r="C518">
        <v>16</v>
      </c>
      <c r="D518">
        <v>51461</v>
      </c>
    </row>
    <row r="519" spans="1:4" ht="15" customHeight="1" x14ac:dyDescent="0.2">
      <c r="A519">
        <v>2024</v>
      </c>
      <c r="B519">
        <v>10</v>
      </c>
      <c r="C519">
        <v>15</v>
      </c>
      <c r="D519">
        <v>56591</v>
      </c>
    </row>
    <row r="520" spans="1:4" ht="15" customHeight="1" x14ac:dyDescent="0.2">
      <c r="A520">
        <v>2024</v>
      </c>
      <c r="B520">
        <v>10</v>
      </c>
      <c r="C520">
        <v>14</v>
      </c>
      <c r="D520">
        <v>49986</v>
      </c>
    </row>
    <row r="521" spans="1:4" ht="15" customHeight="1" x14ac:dyDescent="0.2">
      <c r="A521">
        <v>2024</v>
      </c>
      <c r="B521">
        <v>10</v>
      </c>
      <c r="C521">
        <v>13</v>
      </c>
      <c r="D521">
        <v>34386</v>
      </c>
    </row>
    <row r="522" spans="1:4" ht="15" customHeight="1" x14ac:dyDescent="0.2">
      <c r="A522">
        <v>2024</v>
      </c>
      <c r="B522">
        <v>10</v>
      </c>
      <c r="C522">
        <v>12</v>
      </c>
      <c r="D522">
        <v>22513</v>
      </c>
    </row>
    <row r="523" spans="1:4" ht="15" customHeight="1" x14ac:dyDescent="0.2">
      <c r="A523">
        <v>2024</v>
      </c>
      <c r="B523">
        <v>10</v>
      </c>
      <c r="C523">
        <v>11</v>
      </c>
      <c r="D523">
        <v>36074</v>
      </c>
    </row>
    <row r="524" spans="1:4" ht="15" customHeight="1" x14ac:dyDescent="0.2">
      <c r="A524">
        <v>2024</v>
      </c>
      <c r="B524">
        <v>10</v>
      </c>
      <c r="C524">
        <v>10</v>
      </c>
      <c r="D524">
        <v>49954</v>
      </c>
    </row>
    <row r="525" spans="1:4" ht="15" customHeight="1" x14ac:dyDescent="0.2">
      <c r="A525">
        <v>2024</v>
      </c>
      <c r="B525">
        <v>10</v>
      </c>
      <c r="C525">
        <v>9</v>
      </c>
      <c r="D525">
        <v>48981</v>
      </c>
    </row>
    <row r="526" spans="1:4" ht="15" customHeight="1" x14ac:dyDescent="0.2">
      <c r="A526">
        <v>2024</v>
      </c>
      <c r="B526">
        <v>10</v>
      </c>
      <c r="C526">
        <v>8</v>
      </c>
      <c r="D526">
        <v>52077</v>
      </c>
    </row>
    <row r="527" spans="1:4" ht="15" customHeight="1" x14ac:dyDescent="0.2">
      <c r="A527">
        <v>2024</v>
      </c>
      <c r="B527">
        <v>10</v>
      </c>
      <c r="C527">
        <v>7</v>
      </c>
      <c r="D527">
        <v>52138</v>
      </c>
    </row>
    <row r="528" spans="1:4" ht="15" customHeight="1" x14ac:dyDescent="0.2">
      <c r="A528">
        <v>2024</v>
      </c>
      <c r="B528">
        <v>10</v>
      </c>
      <c r="C528">
        <v>6</v>
      </c>
      <c r="D528">
        <v>34006</v>
      </c>
    </row>
    <row r="529" spans="1:4" ht="15" customHeight="1" x14ac:dyDescent="0.2">
      <c r="A529">
        <v>2024</v>
      </c>
      <c r="B529">
        <v>10</v>
      </c>
      <c r="C529">
        <v>5</v>
      </c>
      <c r="D529">
        <v>19520</v>
      </c>
    </row>
    <row r="530" spans="1:4" ht="15" customHeight="1" x14ac:dyDescent="0.2">
      <c r="A530">
        <v>2024</v>
      </c>
      <c r="B530">
        <v>10</v>
      </c>
      <c r="C530">
        <v>4</v>
      </c>
      <c r="D530">
        <v>38488</v>
      </c>
    </row>
    <row r="531" spans="1:4" ht="15" customHeight="1" x14ac:dyDescent="0.2">
      <c r="A531">
        <v>2024</v>
      </c>
      <c r="B531">
        <v>10</v>
      </c>
      <c r="C531">
        <v>3</v>
      </c>
      <c r="D531">
        <v>49356</v>
      </c>
    </row>
    <row r="532" spans="1:4" ht="15" customHeight="1" x14ac:dyDescent="0.2">
      <c r="A532">
        <v>2024</v>
      </c>
      <c r="B532">
        <v>10</v>
      </c>
      <c r="C532">
        <v>2</v>
      </c>
      <c r="D532">
        <v>49327</v>
      </c>
    </row>
    <row r="533" spans="1:4" ht="15" customHeight="1" x14ac:dyDescent="0.2">
      <c r="A533">
        <v>2024</v>
      </c>
      <c r="B533">
        <v>10</v>
      </c>
      <c r="C533">
        <v>1</v>
      </c>
      <c r="D533">
        <v>54376</v>
      </c>
    </row>
    <row r="534" spans="1:4" ht="15" customHeight="1" x14ac:dyDescent="0.2">
      <c r="A534">
        <v>2024</v>
      </c>
      <c r="B534">
        <v>10</v>
      </c>
      <c r="C534" t="s">
        <v>4</v>
      </c>
      <c r="D534">
        <v>1361743</v>
      </c>
    </row>
    <row r="535" spans="1:4" ht="15" customHeight="1" x14ac:dyDescent="0.2">
      <c r="A535">
        <v>2024</v>
      </c>
      <c r="B535">
        <v>9</v>
      </c>
      <c r="C535">
        <v>30</v>
      </c>
      <c r="D535">
        <v>52825</v>
      </c>
    </row>
    <row r="536" spans="1:4" ht="15" customHeight="1" x14ac:dyDescent="0.2">
      <c r="A536">
        <v>2024</v>
      </c>
      <c r="B536">
        <v>9</v>
      </c>
      <c r="C536">
        <v>29</v>
      </c>
      <c r="D536">
        <v>27257</v>
      </c>
    </row>
    <row r="537" spans="1:4" ht="15" customHeight="1" x14ac:dyDescent="0.2">
      <c r="A537">
        <v>2024</v>
      </c>
      <c r="B537">
        <v>9</v>
      </c>
      <c r="C537">
        <v>28</v>
      </c>
      <c r="D537">
        <v>20768</v>
      </c>
    </row>
    <row r="538" spans="1:4" ht="15" customHeight="1" x14ac:dyDescent="0.2">
      <c r="A538">
        <v>2024</v>
      </c>
      <c r="B538">
        <v>9</v>
      </c>
      <c r="C538">
        <v>27</v>
      </c>
      <c r="D538">
        <v>32947</v>
      </c>
    </row>
    <row r="539" spans="1:4" ht="15" customHeight="1" x14ac:dyDescent="0.2">
      <c r="A539">
        <v>2024</v>
      </c>
      <c r="B539">
        <v>9</v>
      </c>
      <c r="C539">
        <v>26</v>
      </c>
      <c r="D539">
        <v>50690</v>
      </c>
    </row>
    <row r="540" spans="1:4" ht="15" customHeight="1" x14ac:dyDescent="0.2">
      <c r="A540">
        <v>2024</v>
      </c>
      <c r="B540">
        <v>9</v>
      </c>
      <c r="C540">
        <v>25</v>
      </c>
      <c r="D540">
        <v>48693</v>
      </c>
    </row>
    <row r="541" spans="1:4" ht="15" customHeight="1" x14ac:dyDescent="0.2">
      <c r="A541">
        <v>2024</v>
      </c>
      <c r="B541">
        <v>9</v>
      </c>
      <c r="C541">
        <v>24</v>
      </c>
      <c r="D541">
        <v>53325</v>
      </c>
    </row>
    <row r="542" spans="1:4" ht="15" customHeight="1" x14ac:dyDescent="0.2">
      <c r="A542">
        <v>2024</v>
      </c>
      <c r="B542">
        <v>9</v>
      </c>
      <c r="C542">
        <v>23</v>
      </c>
      <c r="D542">
        <v>51400</v>
      </c>
    </row>
    <row r="543" spans="1:4" ht="15" customHeight="1" x14ac:dyDescent="0.2">
      <c r="A543">
        <v>2024</v>
      </c>
      <c r="B543">
        <v>9</v>
      </c>
      <c r="C543">
        <v>22</v>
      </c>
      <c r="D543">
        <v>36399</v>
      </c>
    </row>
    <row r="544" spans="1:4" ht="15" customHeight="1" x14ac:dyDescent="0.2">
      <c r="A544">
        <v>2024</v>
      </c>
      <c r="B544">
        <v>9</v>
      </c>
      <c r="C544">
        <v>21</v>
      </c>
      <c r="D544">
        <v>16155</v>
      </c>
    </row>
    <row r="545" spans="1:4" ht="15" customHeight="1" x14ac:dyDescent="0.2">
      <c r="A545">
        <v>2024</v>
      </c>
      <c r="B545">
        <v>9</v>
      </c>
      <c r="C545">
        <v>20</v>
      </c>
      <c r="D545">
        <v>37534</v>
      </c>
    </row>
    <row r="546" spans="1:4" ht="15" customHeight="1" x14ac:dyDescent="0.2">
      <c r="A546">
        <v>2024</v>
      </c>
      <c r="B546">
        <v>9</v>
      </c>
      <c r="C546">
        <v>19</v>
      </c>
      <c r="D546">
        <v>48928</v>
      </c>
    </row>
    <row r="547" spans="1:4" ht="15" customHeight="1" x14ac:dyDescent="0.2">
      <c r="A547">
        <v>2024</v>
      </c>
      <c r="B547">
        <v>9</v>
      </c>
      <c r="C547">
        <v>18</v>
      </c>
      <c r="D547">
        <v>50995</v>
      </c>
    </row>
    <row r="548" spans="1:4" ht="15" customHeight="1" x14ac:dyDescent="0.2">
      <c r="A548">
        <v>2024</v>
      </c>
      <c r="B548">
        <v>9</v>
      </c>
      <c r="C548">
        <v>17</v>
      </c>
      <c r="D548">
        <v>53925</v>
      </c>
    </row>
    <row r="549" spans="1:4" ht="15" customHeight="1" x14ac:dyDescent="0.2">
      <c r="A549">
        <v>2024</v>
      </c>
      <c r="B549">
        <v>9</v>
      </c>
      <c r="C549">
        <v>16</v>
      </c>
      <c r="D549">
        <v>50946</v>
      </c>
    </row>
    <row r="550" spans="1:4" ht="15" customHeight="1" x14ac:dyDescent="0.2">
      <c r="A550">
        <v>2024</v>
      </c>
      <c r="B550">
        <v>9</v>
      </c>
      <c r="C550">
        <v>15</v>
      </c>
      <c r="D550">
        <v>35572</v>
      </c>
    </row>
    <row r="551" spans="1:4" ht="15" customHeight="1" x14ac:dyDescent="0.2">
      <c r="A551">
        <v>2024</v>
      </c>
      <c r="B551">
        <v>9</v>
      </c>
      <c r="C551">
        <v>14</v>
      </c>
      <c r="D551">
        <v>22022</v>
      </c>
    </row>
    <row r="552" spans="1:4" ht="15" customHeight="1" x14ac:dyDescent="0.2">
      <c r="A552">
        <v>2024</v>
      </c>
      <c r="B552">
        <v>9</v>
      </c>
      <c r="C552">
        <v>13</v>
      </c>
      <c r="D552">
        <v>38035</v>
      </c>
    </row>
    <row r="553" spans="1:4" ht="15" customHeight="1" x14ac:dyDescent="0.2">
      <c r="A553">
        <v>2024</v>
      </c>
      <c r="B553">
        <v>9</v>
      </c>
      <c r="C553">
        <v>12</v>
      </c>
      <c r="D553">
        <v>49930</v>
      </c>
    </row>
    <row r="554" spans="1:4" ht="15" customHeight="1" x14ac:dyDescent="0.2">
      <c r="A554">
        <v>2024</v>
      </c>
      <c r="B554">
        <v>9</v>
      </c>
      <c r="C554">
        <v>11</v>
      </c>
      <c r="D554">
        <v>50860</v>
      </c>
    </row>
    <row r="555" spans="1:4" ht="15" customHeight="1" x14ac:dyDescent="0.2">
      <c r="A555">
        <v>2024</v>
      </c>
      <c r="B555">
        <v>9</v>
      </c>
      <c r="C555">
        <v>10</v>
      </c>
      <c r="D555">
        <v>52524</v>
      </c>
    </row>
    <row r="556" spans="1:4" ht="15" customHeight="1" x14ac:dyDescent="0.2">
      <c r="A556">
        <v>2024</v>
      </c>
      <c r="B556">
        <v>9</v>
      </c>
      <c r="C556">
        <v>9</v>
      </c>
      <c r="D556">
        <v>52095</v>
      </c>
    </row>
    <row r="557" spans="1:4" ht="15" customHeight="1" x14ac:dyDescent="0.2">
      <c r="A557">
        <v>2024</v>
      </c>
      <c r="B557">
        <v>9</v>
      </c>
      <c r="C557">
        <v>8</v>
      </c>
      <c r="D557">
        <v>37329</v>
      </c>
    </row>
    <row r="558" spans="1:4" ht="15" customHeight="1" x14ac:dyDescent="0.2">
      <c r="A558">
        <v>2024</v>
      </c>
      <c r="B558">
        <v>9</v>
      </c>
      <c r="C558">
        <v>7</v>
      </c>
      <c r="D558">
        <v>21270</v>
      </c>
    </row>
    <row r="559" spans="1:4" ht="15" customHeight="1" x14ac:dyDescent="0.2">
      <c r="A559">
        <v>2024</v>
      </c>
      <c r="B559">
        <v>9</v>
      </c>
      <c r="C559">
        <v>6</v>
      </c>
      <c r="D559">
        <v>41556</v>
      </c>
    </row>
    <row r="560" spans="1:4" ht="15" customHeight="1" x14ac:dyDescent="0.2">
      <c r="A560">
        <v>2024</v>
      </c>
      <c r="B560">
        <v>9</v>
      </c>
      <c r="C560">
        <v>5</v>
      </c>
      <c r="D560">
        <v>54087</v>
      </c>
    </row>
    <row r="561" spans="1:4" ht="15" customHeight="1" x14ac:dyDescent="0.2">
      <c r="A561">
        <v>2024</v>
      </c>
      <c r="B561">
        <v>9</v>
      </c>
      <c r="C561">
        <v>4</v>
      </c>
      <c r="D561">
        <v>59690</v>
      </c>
    </row>
    <row r="562" spans="1:4" ht="15" customHeight="1" x14ac:dyDescent="0.2">
      <c r="A562">
        <v>2024</v>
      </c>
      <c r="B562">
        <v>9</v>
      </c>
      <c r="C562">
        <v>3</v>
      </c>
      <c r="D562">
        <v>54495</v>
      </c>
    </row>
    <row r="563" spans="1:4" ht="15" customHeight="1" x14ac:dyDescent="0.2">
      <c r="A563">
        <v>2024</v>
      </c>
      <c r="B563">
        <v>9</v>
      </c>
      <c r="C563">
        <v>2</v>
      </c>
      <c r="D563">
        <v>25145</v>
      </c>
    </row>
    <row r="564" spans="1:4" ht="15" customHeight="1" x14ac:dyDescent="0.2">
      <c r="A564">
        <v>2024</v>
      </c>
      <c r="B564">
        <v>9</v>
      </c>
      <c r="C564">
        <v>1</v>
      </c>
      <c r="D564">
        <v>27500</v>
      </c>
    </row>
    <row r="565" spans="1:4" ht="15" customHeight="1" x14ac:dyDescent="0.2">
      <c r="A565">
        <v>2024</v>
      </c>
      <c r="B565">
        <v>9</v>
      </c>
      <c r="C565" t="s">
        <v>4</v>
      </c>
      <c r="D565">
        <v>1254897</v>
      </c>
    </row>
    <row r="566" spans="1:4" ht="15" customHeight="1" x14ac:dyDescent="0.2">
      <c r="A566">
        <v>2024</v>
      </c>
      <c r="B566">
        <v>8</v>
      </c>
      <c r="C566">
        <v>31</v>
      </c>
      <c r="D566">
        <v>16854</v>
      </c>
    </row>
    <row r="567" spans="1:4" ht="15" customHeight="1" x14ac:dyDescent="0.2">
      <c r="A567">
        <v>2024</v>
      </c>
      <c r="B567">
        <v>8</v>
      </c>
      <c r="C567">
        <v>30</v>
      </c>
      <c r="D567">
        <v>41389</v>
      </c>
    </row>
    <row r="568" spans="1:4" ht="15" customHeight="1" x14ac:dyDescent="0.2">
      <c r="A568">
        <v>2024</v>
      </c>
      <c r="B568">
        <v>8</v>
      </c>
      <c r="C568">
        <v>29</v>
      </c>
      <c r="D568">
        <v>53776</v>
      </c>
    </row>
    <row r="569" spans="1:4" ht="15" customHeight="1" x14ac:dyDescent="0.2">
      <c r="A569">
        <v>2024</v>
      </c>
      <c r="B569">
        <v>8</v>
      </c>
      <c r="C569">
        <v>28</v>
      </c>
      <c r="D569">
        <v>53705</v>
      </c>
    </row>
    <row r="570" spans="1:4" ht="15" customHeight="1" x14ac:dyDescent="0.2">
      <c r="A570">
        <v>2024</v>
      </c>
      <c r="B570">
        <v>8</v>
      </c>
      <c r="C570">
        <v>27</v>
      </c>
      <c r="D570">
        <v>56357</v>
      </c>
    </row>
    <row r="571" spans="1:4" ht="15" customHeight="1" x14ac:dyDescent="0.2">
      <c r="A571">
        <v>2024</v>
      </c>
      <c r="B571">
        <v>8</v>
      </c>
      <c r="C571">
        <v>26</v>
      </c>
      <c r="D571">
        <v>54499</v>
      </c>
    </row>
    <row r="572" spans="1:4" ht="15" customHeight="1" x14ac:dyDescent="0.2">
      <c r="A572">
        <v>2024</v>
      </c>
      <c r="B572">
        <v>8</v>
      </c>
      <c r="C572">
        <v>25</v>
      </c>
      <c r="D572">
        <v>35414</v>
      </c>
    </row>
    <row r="573" spans="1:4" ht="15" customHeight="1" x14ac:dyDescent="0.2">
      <c r="A573">
        <v>2024</v>
      </c>
      <c r="B573">
        <v>8</v>
      </c>
      <c r="C573">
        <v>24</v>
      </c>
      <c r="D573">
        <v>21658</v>
      </c>
    </row>
    <row r="574" spans="1:4" ht="15" customHeight="1" x14ac:dyDescent="0.2">
      <c r="A574">
        <v>2024</v>
      </c>
      <c r="B574">
        <v>8</v>
      </c>
      <c r="C574">
        <v>23</v>
      </c>
      <c r="D574">
        <v>38973</v>
      </c>
    </row>
    <row r="575" spans="1:4" ht="15" customHeight="1" x14ac:dyDescent="0.2">
      <c r="A575">
        <v>2024</v>
      </c>
      <c r="B575">
        <v>8</v>
      </c>
      <c r="C575">
        <v>22</v>
      </c>
      <c r="D575">
        <v>50532</v>
      </c>
    </row>
    <row r="576" spans="1:4" ht="15" customHeight="1" x14ac:dyDescent="0.2">
      <c r="A576">
        <v>2024</v>
      </c>
      <c r="B576">
        <v>8</v>
      </c>
      <c r="C576" t="s">
        <v>4</v>
      </c>
      <c r="D576">
        <v>423157</v>
      </c>
    </row>
    <row r="577" spans="1:4" ht="15" customHeight="1" x14ac:dyDescent="0.2">
      <c r="A577">
        <v>2024</v>
      </c>
      <c r="B577" t="s">
        <v>4</v>
      </c>
      <c r="C577" t="s">
        <v>4</v>
      </c>
      <c r="D577">
        <v>5600803</v>
      </c>
    </row>
    <row r="578" spans="1:4" ht="15" customHeight="1" x14ac:dyDescent="0.2">
      <c r="A578" t="s">
        <v>4</v>
      </c>
      <c r="B578" t="s">
        <v>4</v>
      </c>
      <c r="C578" t="s">
        <v>4</v>
      </c>
      <c r="D578">
        <v>28769017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 Summary</vt:lpstr>
      <vt:lpstr>Daily Velocity</vt:lpstr>
      <vt:lpstr>Forward Projections</vt:lpstr>
      <vt:lpstr>IOPS &amp; Capacity</vt:lpstr>
      <vt:lpstr>Base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Justin Hunter</cp:lastModifiedBy>
  <cp:revision>2</cp:revision>
  <dcterms:created xsi:type="dcterms:W3CDTF">2026-02-26T17:34:14Z</dcterms:created>
  <dcterms:modified xsi:type="dcterms:W3CDTF">2026-02-27T16:44:55Z</dcterms:modified>
  <dc:language>en-US</dc:language>
</cp:coreProperties>
</file>