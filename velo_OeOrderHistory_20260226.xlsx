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e Data" sheetId="1" state="visible" r:id="rId3"/>
    <sheet name="Monthly Summary" sheetId="2" state="visible" r:id="rId4"/>
    <sheet name="Daily Velocity" sheetId="3" state="visible" r:id="rId5"/>
    <sheet name="Forward Projections" sheetId="4" state="visible" r:id="rId6"/>
    <sheet name="IOPS &amp; Capacity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<sst xmlns="http://schemas.openxmlformats.org/spreadsheetml/2006/main" count="1275" uniqueCount="139">
  <si>
    <t xml:space="preserve">histYr</t>
  </si>
  <si>
    <t xml:space="preserve">histMth</t>
  </si>
  <si>
    <t xml:space="preserve">histDay</t>
  </si>
  <si>
    <t xml:space="preserve">rowcnt</t>
  </si>
  <si>
    <t xml:space="preserve">(null)</t>
  </si>
  <si>
    <t xml:space="preserve">OeOrderHistory — Monthly Volume Summary</t>
  </si>
  <si>
    <t xml:space="preserve">Month</t>
  </si>
  <si>
    <t xml:space="preserve">Total Rows</t>
  </si>
  <si>
    <t xml:space="preserve">Days in Data</t>
  </si>
  <si>
    <t xml:space="preserve">Avg Daily Volume</t>
  </si>
  <si>
    <t xml:space="preserve">MoM Growth</t>
  </si>
  <si>
    <t xml:space="preserve">Cumulative Rows</t>
  </si>
  <si>
    <t xml:space="preserve">Avg Row Size Est (bytes)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</si>
  <si>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</si>
  <si>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</si>
  <si>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</si>
  <si>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</si>
  <si>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</si>
  <si>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</si>
  <si>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</si>
  <si>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</si>
  <si>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</si>
  <si>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</si>
  <si>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</si>
  <si>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</si>
  <si>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</si>
  <si>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</si>
  <si>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</si>
  <si>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</si>
  <si>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</si>
  <si>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</si>
  <si>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</si>
  <si>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Summary Statistics</t>
  </si>
  <si>
    <t xml:space="preserve">Grand Total Rows</t>
  </si>
  <si>
    <t xml:space="preserve">Overall Avg Daily Volume</t>
  </si>
  <si>
    <t xml:space="preserve">Avg MoM Growth (full months)</t>
  </si>
  <si>
    <t xml:space="preserve">Peak Month Volume</t>
  </si>
  <si>
    <t xml:space="preserve">Est. Table Size (GB)</t>
  </si>
  <si>
    <t xml:space="preserve">Cascade Multiplier (est. child tables)</t>
  </si>
  <si>
    <t xml:space="preserve">Est. Total Cascade Rows per Purge Block</t>
  </si>
  <si>
    <t xml:space="preserve">Note: Cascade Multiplier estimates ~20 child table rows deleted per OeOrderHistory row (based on lsp_DbPurgeHistoryData cascade of 50+ tables).</t>
  </si>
  <si>
    <t xml:space="preserve">OeOrderHistory — Daily Velocity Analysis</t>
  </si>
  <si>
    <t xml:space="preserve">Date</t>
  </si>
  <si>
    <t xml:space="preserve">Day of Week</t>
  </si>
  <si>
    <t xml:space="preserve">Row Count</t>
  </si>
  <si>
    <t xml:space="preserve">7-Day Moving Avg</t>
  </si>
  <si>
    <t xml:space="preserve">30-Day Moving Avg</t>
  </si>
  <si>
    <t xml:space="preserve">Weekday/Weekend</t>
  </si>
  <si>
    <t xml:space="preserve">Day-of-Week Summary</t>
  </si>
  <si>
    <t xml:space="preserve">Thursday</t>
  </si>
  <si>
    <t xml:space="preserve">Weekday</t>
  </si>
  <si>
    <t xml:space="preserve">Day</t>
  </si>
  <si>
    <t xml:space="preserve">Avg Volume</t>
  </si>
  <si>
    <t xml:space="preserve">% of Peak</t>
  </si>
  <si>
    <t xml:space="preserve">Friday</t>
  </si>
  <si>
    <t xml:space="preserve">Monday</t>
  </si>
  <si>
    <t xml:space="preserve">Saturday</t>
  </si>
  <si>
    <t xml:space="preserve">Weekend</t>
  </si>
  <si>
    <t xml:space="preserve">Tuesday</t>
  </si>
  <si>
    <t xml:space="preserve">Sunday</t>
  </si>
  <si>
    <t xml:space="preserve">Wednesday</t>
  </si>
  <si>
    <t xml:space="preserve">Weekday Avg</t>
  </si>
  <si>
    <t xml:space="preserve">Weekend Avg</t>
  </si>
  <si>
    <t xml:space="preserve">Weekend/Weekday Ratio</t>
  </si>
  <si>
    <t xml:space="preserve">Purge Cascade Impact (per day)</t>
  </si>
  <si>
    <t xml:space="preserve">Avg OeOrderHistory rows/day</t>
  </si>
  <si>
    <t xml:space="preserve">Est. cascade multiplier</t>
  </si>
  <si>
    <t xml:space="preserve">Est. total rows deleted/day</t>
  </si>
  <si>
    <t xml:space="preserve">Est. t-log entries/day</t>
  </si>
  <si>
    <t xml:space="preserve">T-log estimate: ~2 log records per row (delete + index maintenance)</t>
  </si>
  <si>
    <t xml:space="preserve">OeOrderHistory — Forward Projections &amp; Purge Duration Analysis</t>
  </si>
  <si>
    <t xml:space="preserve">Projection Assumptions</t>
  </si>
  <si>
    <t xml:space="preserve">Current Monthly Volume (Jan 2026)</t>
  </si>
  <si>
    <t xml:space="preserve">Source: Base Data extract, 2026-02-26</t>
  </si>
  <si>
    <t xml:space="preserve">Avg MoM Growth Rate</t>
  </si>
  <si>
    <t xml:space="preserve">Calculated from Base Data (full months)</t>
  </si>
  <si>
    <t xml:space="preserve">Current Total Rows</t>
  </si>
  <si>
    <t xml:space="preserve">Est. Avg Row Size (bytes)</t>
  </si>
  <si>
    <t xml:space="preserve">Source: INFORMATION_SCHEMA.COLUMNS, PharmAssist DB, 2026-02-26 (44 cols, avg estimate)</t>
  </si>
  <si>
    <t xml:space="preserve">Delete Block Size (rows/iteration)</t>
  </si>
  <si>
    <t xml:space="preserve">From PurgeProc screenshot (@NumOfRowsBlockSize)</t>
  </si>
  <si>
    <t xml:space="preserve">Est. Time Per Block Iteration (sec)</t>
  </si>
  <si>
    <t xml:space="preserve">Estimate — higher due to 50+ table cascade per block</t>
  </si>
  <si>
    <t xml:space="preserve">Retention Period (days)</t>
  </si>
  <si>
    <t xml:space="preserve">Current configured retention</t>
  </si>
  <si>
    <t xml:space="preserve">Cascade Multiplier (child table rows)</t>
  </si>
  <si>
    <t xml:space="preserve">Est. child rows per OeOrderHistory row</t>
  </si>
  <si>
    <t xml:space="preserve">Monthly Forward Projection</t>
  </si>
  <si>
    <t xml:space="preserve">Projected Monthly Volume</t>
  </si>
  <si>
    <t xml:space="preserve">Cumulative Total Rows</t>
  </si>
  <si>
    <t xml:space="preserve">Est. Rows to Purge/Month</t>
  </si>
  <si>
    <t xml:space="preserve">Est. Cascade Rows (total deletes)</t>
  </si>
  <si>
    <t xml:space="preserve">Delete Iterations Needed</t>
  </si>
  <si>
    <t xml:space="preserve">Est. Purge Duration (hrs)</t>
  </si>
  <si>
    <t xml:space="preserve">Status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</si>
  <si>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</si>
  <si>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</si>
  <si>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</si>
  <si>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</si>
  <si>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</si>
  <si>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</si>
  <si>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</si>
  <si>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</si>
  <si>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</si>
  <si>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</si>
  <si>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2027-01</t>
  </si>
  <si>
    <t xml:space="preserve">2027-02</t>
  </si>
  <si>
    <t xml:space="preserve">2027-03</t>
  </si>
  <si>
    <t xml:space="preserve">2027-04</t>
  </si>
  <si>
    <t xml:space="preserve">2027-05</t>
  </si>
  <si>
    <t xml:space="preserve">2027-06</t>
  </si>
  <si>
    <t xml:space="preserve">2027-07</t>
  </si>
  <si>
    <t xml:space="preserve">2027-08</t>
  </si>
  <si>
    <t xml:space="preserve">2027-09</t>
  </si>
  <si>
    <t xml:space="preserve">2027-10</t>
  </si>
  <si>
    <t xml:space="preserve">2027-11</t>
  </si>
  <si>
    <t xml:space="preserve">2027-12</t>
  </si>
  <si>
    <t xml:space="preserve">2028-01</t>
  </si>
  <si>
    <t xml:space="preserve">2028-02</t>
  </si>
  <si>
    <t xml:space="preserve">Status Key:</t>
  </si>
  <si>
    <t xml:space="preserve">OK = Purge &lt; 4 hrs</t>
  </si>
  <si>
    <t xml:space="preserve">WARNING = Purge 4-8 hrs</t>
  </si>
  <si>
    <t xml:space="preserve">CRITICAL = Purge &gt; 8 hrs (exceeds nightly window)</t>
  </si>
  <si>
    <t xml:space="preserve">Note: Block iteration time (B9) is estimated higher than EvtEvent because each block iteration cascades through 50+ child tables.</t>
  </si>
  <si>
    <t xml:space="preserve">The real bottleneck here is the cascade depth, not the OeOrderHistory row count itself.</t>
  </si>
  <si>
    <t xml:space="preserve">With partition switching, the entire cascade would be replaced by coordinated SWITCH operations across all partitioned child tables.</t>
  </si>
  <si>
    <t xml:space="preserve">OeOrderHistory — IOPS &amp; Storage Capacity Analysis</t>
  </si>
  <si>
    <t xml:space="preserve">CLUSTER SPECIFICATIONS</t>
  </si>
  <si>
    <t xml:space="preserve">Storage Type (SSD/HDD/NVMe)</t>
  </si>
  <si>
    <t xml:space="preserve">Total Storage Capacity (TB)</t>
  </si>
  <si>
    <t xml:space="preserve">Available Storage (TB)</t>
  </si>
  <si>
    <t xml:space="preserve">Max Sequential Read IOPS</t>
  </si>
  <si>
    <t xml:space="preserve">Max Sequential Write IOPS</t>
  </si>
  <si>
    <t xml:space="preserve">Max Throughput (MB/s)</t>
  </si>
  <si>
    <t xml:space="preserve">SQL Server Max Memory (GB)</t>
  </si>
  <si>
    <t xml:space="preserve">CPU Cores</t>
  </si>
  <si>
    <t xml:space="preserve">TempDB Drive Type</t>
  </si>
  <si>
    <t xml:space="preserve">T-Log Drive Type</t>
  </si>
  <si>
    <t xml:space="preserve">Enter your cluster specifications above (yellow cells).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</si>
</sst>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"/>
    <numFmt numFmtId="167" formatCode="#,##0.0"/>
    <numFmt numFmtId="168" formatCode="yyyy\-mm\-dd"/>
    <numFmt numFmtId="169" formatCode="0.0"/>
  </numFmts>
  <fonts count="1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49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2F5496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EC"/>
      </patternFill>
    </fill>
    <fill>
      <patternFill patternType="solid">
        <fgColor rgb="FFFCE4E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Monthly Row Volume — OeOrderHistory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'Monthly Summary'!B3</c:f>
              <c:strCache>
                <c:ptCount val="1"/>
                <c:pt idx="0">
                  <c:v>Total Rows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Summary'!$A$4:$A$22</c:f>
              <c:strCache>
                <c:ptCount val="19"/>
                <c:pt idx="0">
                  <c:v>2024-08</c:v>
                </c:pt>
                <c:pt idx="1">
                  <c:v>2024-09</c:v>
                </c:pt>
                <c:pt idx="2">
                  <c:v>2024-10</c:v>
                </c:pt>
                <c:pt idx="3">
                  <c:v>2024-11</c:v>
                </c:pt>
                <c:pt idx="4">
                  <c:v>2024-12</c:v>
                </c:pt>
                <c:pt idx="5">
                  <c:v>2025-01</c:v>
                </c:pt>
                <c:pt idx="6">
                  <c:v>2025-02</c:v>
                </c:pt>
                <c:pt idx="7">
                  <c:v>2025-03</c:v>
                </c:pt>
                <c:pt idx="8">
                  <c:v>2025-04</c:v>
                </c:pt>
                <c:pt idx="9">
                  <c:v>2025-05</c:v>
                </c:pt>
                <c:pt idx="10">
                  <c:v>2025-06</c:v>
                </c:pt>
                <c:pt idx="11">
                  <c:v>2025-07</c:v>
                </c:pt>
                <c:pt idx="12">
                  <c:v>2025-08</c:v>
                </c:pt>
                <c:pt idx="13">
                  <c:v>2025-09</c:v>
                </c:pt>
                <c:pt idx="14">
                  <c:v>2025-10</c:v>
                </c:pt>
                <c:pt idx="15">
                  <c:v>2025-11</c:v>
                </c:pt>
                <c:pt idx="16">
                  <c:v>2025-12</c:v>
                </c:pt>
                <c:pt idx="17">
                  <c:v>2026-01</c:v>
                </c:pt>
                <c:pt idx="18">
                  <c:v>2026-02</c:v>
                </c:pt>
              </c:strCache>
            </c:strRef>
          </c:cat>
          <c:val>
            <c:numRef>
              <c:f>'Monthly Summary'!$B$4:$B$22</c:f>
              <c:numCache>
                <c:formatCode>#,##0</c:formatCode>
                <c:ptCount val="19"/>
                <c:pt idx="0">
                  <c:v>423157</c:v>
                </c:pt>
                <c:pt idx="1">
                  <c:v>1254897</c:v>
                </c:pt>
                <c:pt idx="2">
                  <c:v>1361743</c:v>
                </c:pt>
                <c:pt idx="3">
                  <c:v>1204422</c:v>
                </c:pt>
                <c:pt idx="4">
                  <c:v>1356584</c:v>
                </c:pt>
                <c:pt idx="5">
                  <c:v>1518181</c:v>
                </c:pt>
                <c:pt idx="6">
                  <c:v>1498933</c:v>
                </c:pt>
                <c:pt idx="7">
                  <c:v>1564444</c:v>
                </c:pt>
                <c:pt idx="8">
                  <c:v>1604037</c:v>
                </c:pt>
                <c:pt idx="9">
                  <c:v>1700550</c:v>
                </c:pt>
                <c:pt idx="10">
                  <c:v>1666289</c:v>
                </c:pt>
                <c:pt idx="11">
                  <c:v>1673386</c:v>
                </c:pt>
                <c:pt idx="12">
                  <c:v>1670134</c:v>
                </c:pt>
                <c:pt idx="13">
                  <c:v>1683940</c:v>
                </c:pt>
                <c:pt idx="14">
                  <c:v>1776040</c:v>
                </c:pt>
                <c:pt idx="15">
                  <c:v>1686529</c:v>
                </c:pt>
                <c:pt idx="16">
                  <c:v>1773440</c:v>
                </c:pt>
                <c:pt idx="17">
                  <c:v>1806123</c:v>
                </c:pt>
                <c:pt idx="18">
                  <c:v>1546188</c:v>
                </c:pt>
              </c:numCache>
            </c:numRef>
          </c:val>
        </c:ser>
        <c:gapWidth val="150"/>
        <c:overlap val="0"/>
        <c:axId val="79499083"/>
        <c:axId val="66199349"/>
      </c:barChart>
      <c:catAx>
        <c:axId val="794990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199349"/>
        <c:crosses val="autoZero"/>
        <c:auto val="1"/>
        <c:lblAlgn val="ctr"/>
        <c:lblOffset val="100"/>
        <c:noMultiLvlLbl val="0"/>
      </c:catAx>
      <c:valAx>
        <c:axId val="661993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4990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Cumulative Row Growth — OeOrderHistory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Summary'!F3</c:f>
              <c:strCache>
                <c:ptCount val="1"/>
                <c:pt idx="0">
                  <c:v>Cumulative Rows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Summary'!$A$4:$A$22</c:f>
              <c:strCache>
                <c:ptCount val="19"/>
                <c:pt idx="0">
                  <c:v>2024-08</c:v>
                </c:pt>
                <c:pt idx="1">
                  <c:v>2024-09</c:v>
                </c:pt>
                <c:pt idx="2">
                  <c:v>2024-10</c:v>
                </c:pt>
                <c:pt idx="3">
                  <c:v>2024-11</c:v>
                </c:pt>
                <c:pt idx="4">
                  <c:v>2024-12</c:v>
                </c:pt>
                <c:pt idx="5">
                  <c:v>2025-01</c:v>
                </c:pt>
                <c:pt idx="6">
                  <c:v>2025-02</c:v>
                </c:pt>
                <c:pt idx="7">
                  <c:v>2025-03</c:v>
                </c:pt>
                <c:pt idx="8">
                  <c:v>2025-04</c:v>
                </c:pt>
                <c:pt idx="9">
                  <c:v>2025-05</c:v>
                </c:pt>
                <c:pt idx="10">
                  <c:v>2025-06</c:v>
                </c:pt>
                <c:pt idx="11">
                  <c:v>2025-07</c:v>
                </c:pt>
                <c:pt idx="12">
                  <c:v>2025-08</c:v>
                </c:pt>
                <c:pt idx="13">
                  <c:v>2025-09</c:v>
                </c:pt>
                <c:pt idx="14">
                  <c:v>2025-10</c:v>
                </c:pt>
                <c:pt idx="15">
                  <c:v>2025-11</c:v>
                </c:pt>
                <c:pt idx="16">
                  <c:v>2025-12</c:v>
                </c:pt>
                <c:pt idx="17">
                  <c:v>2026-01</c:v>
                </c:pt>
                <c:pt idx="18">
                  <c:v>2026-02</c:v>
                </c:pt>
              </c:strCache>
            </c:strRef>
          </c:cat>
          <c:val>
            <c:numRef>
              <c:f>'Monthly Summary'!$F$4:$F$22</c:f>
              <c:numCache>
                <c:formatCode>#,##0</c:formatCode>
                <c:ptCount val="19"/>
                <c:pt idx="0">
                  <c:v>423157</c:v>
                </c:pt>
                <c:pt idx="1">
                  <c:v>1678054</c:v>
                </c:pt>
                <c:pt idx="2">
                  <c:v>3039797</c:v>
                </c:pt>
                <c:pt idx="3">
                  <c:v>4244219</c:v>
                </c:pt>
                <c:pt idx="4">
                  <c:v>5600803</c:v>
                </c:pt>
                <c:pt idx="5">
                  <c:v>7118984</c:v>
                </c:pt>
                <c:pt idx="6">
                  <c:v>8617917</c:v>
                </c:pt>
                <c:pt idx="7">
                  <c:v>10182361</c:v>
                </c:pt>
                <c:pt idx="8">
                  <c:v>11786398</c:v>
                </c:pt>
                <c:pt idx="9">
                  <c:v>13486948</c:v>
                </c:pt>
                <c:pt idx="10">
                  <c:v>15153237</c:v>
                </c:pt>
                <c:pt idx="11">
                  <c:v>16826623</c:v>
                </c:pt>
                <c:pt idx="12">
                  <c:v>18496757</c:v>
                </c:pt>
                <c:pt idx="13">
                  <c:v>20180697</c:v>
                </c:pt>
                <c:pt idx="14">
                  <c:v>21956737</c:v>
                </c:pt>
                <c:pt idx="15">
                  <c:v>23643266</c:v>
                </c:pt>
                <c:pt idx="16">
                  <c:v>25416706</c:v>
                </c:pt>
                <c:pt idx="17">
                  <c:v>27222829</c:v>
                </c:pt>
                <c:pt idx="18">
                  <c:v>28769017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049319"/>
        <c:axId val="44948518"/>
      </c:lineChart>
      <c:catAx>
        <c:axId val="630493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948518"/>
        <c:crosses val="autoZero"/>
        <c:auto val="1"/>
        <c:lblAlgn val="ctr"/>
        <c:lblOffset val="100"/>
        <c:noMultiLvlLbl val="0"/>
      </c:catAx>
      <c:valAx>
        <c:axId val="449485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Cumulative 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0493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Daily Row Volume with Moving Averages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'Daily Velocity'!C3</c:f>
              <c:strCache>
                <c:ptCount val="1"/>
                <c:pt idx="0">
                  <c:v>Row Count</c:v>
                </c:pt>
              </c:strCache>
            </c:strRef>
          </c:tx>
          <c:spPr>
            <a:solidFill>
              <a:srgbClr val="b4c7e7"/>
            </a:solidFill>
            <a:ln w="10080">
              <a:solidFill>
                <a:srgbClr val="b4c7e7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0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Velocity'!$A$4:$A$557</c:f>
              <c:strCache>
                <c:ptCount val="554"/>
                <c:pt idx="0">
                  <c:v>2024-08-22</c:v>
                </c:pt>
                <c:pt idx="1">
                  <c:v>2024-08-23</c:v>
                </c:pt>
                <c:pt idx="2">
                  <c:v>2024-08-24</c:v>
                </c:pt>
                <c:pt idx="3">
                  <c:v>2024-08-25</c:v>
                </c:pt>
                <c:pt idx="4">
                  <c:v>2024-08-26</c:v>
                </c:pt>
                <c:pt idx="5">
                  <c:v>2024-08-27</c:v>
                </c:pt>
                <c:pt idx="6">
                  <c:v>2024-08-28</c:v>
                </c:pt>
                <c:pt idx="7">
                  <c:v>2024-08-29</c:v>
                </c:pt>
                <c:pt idx="8">
                  <c:v>2024-08-30</c:v>
                </c:pt>
                <c:pt idx="9">
                  <c:v>2024-08-31</c:v>
                </c:pt>
                <c:pt idx="10">
                  <c:v>2024-09-01</c:v>
                </c:pt>
                <c:pt idx="11">
                  <c:v>2024-09-02</c:v>
                </c:pt>
                <c:pt idx="12">
                  <c:v>2024-09-03</c:v>
                </c:pt>
                <c:pt idx="13">
                  <c:v>2024-09-04</c:v>
                </c:pt>
                <c:pt idx="14">
                  <c:v>2024-09-05</c:v>
                </c:pt>
                <c:pt idx="15">
                  <c:v>2024-09-06</c:v>
                </c:pt>
                <c:pt idx="16">
                  <c:v>2024-09-07</c:v>
                </c:pt>
                <c:pt idx="17">
                  <c:v>2024-09-08</c:v>
                </c:pt>
                <c:pt idx="18">
                  <c:v>2024-09-09</c:v>
                </c:pt>
                <c:pt idx="19">
                  <c:v>2024-09-10</c:v>
                </c:pt>
                <c:pt idx="20">
                  <c:v>2024-09-11</c:v>
                </c:pt>
                <c:pt idx="21">
                  <c:v>2024-09-12</c:v>
                </c:pt>
                <c:pt idx="22">
                  <c:v>2024-09-13</c:v>
                </c:pt>
                <c:pt idx="23">
                  <c:v>2024-09-14</c:v>
                </c:pt>
                <c:pt idx="24">
                  <c:v>2024-09-15</c:v>
                </c:pt>
                <c:pt idx="25">
                  <c:v>2024-09-16</c:v>
                </c:pt>
                <c:pt idx="26">
                  <c:v>2024-09-17</c:v>
                </c:pt>
                <c:pt idx="27">
                  <c:v>2024-09-18</c:v>
                </c:pt>
                <c:pt idx="28">
                  <c:v>2024-09-19</c:v>
                </c:pt>
                <c:pt idx="29">
                  <c:v>2024-09-20</c:v>
                </c:pt>
                <c:pt idx="30">
                  <c:v>2024-09-21</c:v>
                </c:pt>
                <c:pt idx="31">
                  <c:v>2024-09-22</c:v>
                </c:pt>
                <c:pt idx="32">
                  <c:v>2024-09-23</c:v>
                </c:pt>
                <c:pt idx="33">
                  <c:v>2024-09-24</c:v>
                </c:pt>
                <c:pt idx="34">
                  <c:v>2024-09-25</c:v>
                </c:pt>
                <c:pt idx="35">
                  <c:v>2024-09-26</c:v>
                </c:pt>
                <c:pt idx="36">
                  <c:v>2024-09-27</c:v>
                </c:pt>
                <c:pt idx="37">
                  <c:v>2024-09-28</c:v>
                </c:pt>
                <c:pt idx="38">
                  <c:v>2024-09-29</c:v>
                </c:pt>
                <c:pt idx="39">
                  <c:v>2024-09-30</c:v>
                </c:pt>
                <c:pt idx="40">
                  <c:v>2024-10-01</c:v>
                </c:pt>
                <c:pt idx="41">
                  <c:v>2024-10-02</c:v>
                </c:pt>
                <c:pt idx="42">
                  <c:v>2024-10-03</c:v>
                </c:pt>
                <c:pt idx="43">
                  <c:v>2024-10-04</c:v>
                </c:pt>
                <c:pt idx="44">
                  <c:v>2024-10-05</c:v>
                </c:pt>
                <c:pt idx="45">
                  <c:v>2024-10-06</c:v>
                </c:pt>
                <c:pt idx="46">
                  <c:v>2024-10-07</c:v>
                </c:pt>
                <c:pt idx="47">
                  <c:v>2024-10-08</c:v>
                </c:pt>
                <c:pt idx="48">
                  <c:v>2024-10-09</c:v>
                </c:pt>
                <c:pt idx="49">
                  <c:v>2024-10-10</c:v>
                </c:pt>
                <c:pt idx="50">
                  <c:v>2024-10-11</c:v>
                </c:pt>
                <c:pt idx="51">
                  <c:v>2024-10-12</c:v>
                </c:pt>
                <c:pt idx="52">
                  <c:v>2024-10-13</c:v>
                </c:pt>
                <c:pt idx="53">
                  <c:v>2024-10-14</c:v>
                </c:pt>
                <c:pt idx="54">
                  <c:v>2024-10-15</c:v>
                </c:pt>
                <c:pt idx="55">
                  <c:v>2024-10-16</c:v>
                </c:pt>
                <c:pt idx="56">
                  <c:v>2024-10-17</c:v>
                </c:pt>
                <c:pt idx="57">
                  <c:v>2024-10-18</c:v>
                </c:pt>
                <c:pt idx="58">
                  <c:v>2024-10-19</c:v>
                </c:pt>
                <c:pt idx="59">
                  <c:v>2024-10-20</c:v>
                </c:pt>
                <c:pt idx="60">
                  <c:v>2024-10-21</c:v>
                </c:pt>
                <c:pt idx="61">
                  <c:v>2024-10-22</c:v>
                </c:pt>
                <c:pt idx="62">
                  <c:v>2024-10-23</c:v>
                </c:pt>
                <c:pt idx="63">
                  <c:v>2024-10-24</c:v>
                </c:pt>
                <c:pt idx="64">
                  <c:v>2024-10-25</c:v>
                </c:pt>
                <c:pt idx="65">
                  <c:v>2024-10-26</c:v>
                </c:pt>
                <c:pt idx="66">
                  <c:v>2024-10-27</c:v>
                </c:pt>
                <c:pt idx="67">
                  <c:v>2024-10-28</c:v>
                </c:pt>
                <c:pt idx="68">
                  <c:v>2024-10-29</c:v>
                </c:pt>
                <c:pt idx="69">
                  <c:v>2024-10-30</c:v>
                </c:pt>
                <c:pt idx="70">
                  <c:v>2024-10-31</c:v>
                </c:pt>
                <c:pt idx="71">
                  <c:v>2024-11-01</c:v>
                </c:pt>
                <c:pt idx="72">
                  <c:v>2024-11-02</c:v>
                </c:pt>
                <c:pt idx="73">
                  <c:v>2024-11-03</c:v>
                </c:pt>
                <c:pt idx="74">
                  <c:v>2024-11-04</c:v>
                </c:pt>
                <c:pt idx="75">
                  <c:v>2024-11-05</c:v>
                </c:pt>
                <c:pt idx="76">
                  <c:v>2024-11-06</c:v>
                </c:pt>
                <c:pt idx="77">
                  <c:v>2024-11-07</c:v>
                </c:pt>
                <c:pt idx="78">
                  <c:v>2024-11-08</c:v>
                </c:pt>
                <c:pt idx="79">
                  <c:v>2024-11-09</c:v>
                </c:pt>
                <c:pt idx="80">
                  <c:v>2024-11-10</c:v>
                </c:pt>
                <c:pt idx="81">
                  <c:v>2024-11-11</c:v>
                </c:pt>
                <c:pt idx="82">
                  <c:v>2024-11-12</c:v>
                </c:pt>
                <c:pt idx="83">
                  <c:v>2024-11-13</c:v>
                </c:pt>
                <c:pt idx="84">
                  <c:v>2024-11-14</c:v>
                </c:pt>
                <c:pt idx="85">
                  <c:v>2024-11-15</c:v>
                </c:pt>
                <c:pt idx="86">
                  <c:v>2024-11-16</c:v>
                </c:pt>
                <c:pt idx="87">
                  <c:v>2024-11-17</c:v>
                </c:pt>
                <c:pt idx="88">
                  <c:v>2024-11-18</c:v>
                </c:pt>
                <c:pt idx="89">
                  <c:v>2024-11-19</c:v>
                </c:pt>
                <c:pt idx="90">
                  <c:v>2024-11-20</c:v>
                </c:pt>
                <c:pt idx="91">
                  <c:v>2024-11-21</c:v>
                </c:pt>
                <c:pt idx="92">
                  <c:v>2024-11-22</c:v>
                </c:pt>
                <c:pt idx="93">
                  <c:v>2024-11-23</c:v>
                </c:pt>
                <c:pt idx="94">
                  <c:v>2024-11-24</c:v>
                </c:pt>
                <c:pt idx="95">
                  <c:v>2024-11-25</c:v>
                </c:pt>
                <c:pt idx="96">
                  <c:v>2024-11-26</c:v>
                </c:pt>
                <c:pt idx="97">
                  <c:v>2024-11-27</c:v>
                </c:pt>
                <c:pt idx="98">
                  <c:v>2024-11-28</c:v>
                </c:pt>
                <c:pt idx="99">
                  <c:v>2024-11-29</c:v>
                </c:pt>
                <c:pt idx="100">
                  <c:v>2024-11-30</c:v>
                </c:pt>
                <c:pt idx="101">
                  <c:v>2024-12-01</c:v>
                </c:pt>
                <c:pt idx="102">
                  <c:v>2024-12-02</c:v>
                </c:pt>
                <c:pt idx="103">
                  <c:v>2024-12-03</c:v>
                </c:pt>
                <c:pt idx="104">
                  <c:v>2024-12-04</c:v>
                </c:pt>
                <c:pt idx="105">
                  <c:v>2024-12-05</c:v>
                </c:pt>
                <c:pt idx="106">
                  <c:v>2024-12-06</c:v>
                </c:pt>
                <c:pt idx="107">
                  <c:v>2024-12-07</c:v>
                </c:pt>
                <c:pt idx="108">
                  <c:v>2024-12-08</c:v>
                </c:pt>
                <c:pt idx="109">
                  <c:v>2024-12-09</c:v>
                </c:pt>
                <c:pt idx="110">
                  <c:v>2024-12-10</c:v>
                </c:pt>
                <c:pt idx="111">
                  <c:v>2024-12-11</c:v>
                </c:pt>
                <c:pt idx="112">
                  <c:v>2024-12-12</c:v>
                </c:pt>
                <c:pt idx="113">
                  <c:v>2024-12-13</c:v>
                </c:pt>
                <c:pt idx="114">
                  <c:v>2024-12-14</c:v>
                </c:pt>
                <c:pt idx="115">
                  <c:v>2024-12-15</c:v>
                </c:pt>
                <c:pt idx="116">
                  <c:v>2024-12-16</c:v>
                </c:pt>
                <c:pt idx="117">
                  <c:v>2024-12-17</c:v>
                </c:pt>
                <c:pt idx="118">
                  <c:v>2024-12-18</c:v>
                </c:pt>
                <c:pt idx="119">
                  <c:v>2024-12-19</c:v>
                </c:pt>
                <c:pt idx="120">
                  <c:v>2024-12-20</c:v>
                </c:pt>
                <c:pt idx="121">
                  <c:v>2024-12-21</c:v>
                </c:pt>
                <c:pt idx="122">
                  <c:v>2024-12-22</c:v>
                </c:pt>
                <c:pt idx="123">
                  <c:v>2024-12-23</c:v>
                </c:pt>
                <c:pt idx="124">
                  <c:v>2024-12-24</c:v>
                </c:pt>
                <c:pt idx="125">
                  <c:v>2024-12-25</c:v>
                </c:pt>
                <c:pt idx="126">
                  <c:v>2024-12-26</c:v>
                </c:pt>
                <c:pt idx="127">
                  <c:v>2024-12-27</c:v>
                </c:pt>
                <c:pt idx="128">
                  <c:v>2024-12-28</c:v>
                </c:pt>
                <c:pt idx="129">
                  <c:v>2024-12-29</c:v>
                </c:pt>
                <c:pt idx="130">
                  <c:v>2024-12-30</c:v>
                </c:pt>
                <c:pt idx="131">
                  <c:v>2024-12-31</c:v>
                </c:pt>
                <c:pt idx="132">
                  <c:v>2025-01-01</c:v>
                </c:pt>
                <c:pt idx="133">
                  <c:v>2025-01-02</c:v>
                </c:pt>
                <c:pt idx="134">
                  <c:v>2025-01-03</c:v>
                </c:pt>
                <c:pt idx="135">
                  <c:v>2025-01-04</c:v>
                </c:pt>
                <c:pt idx="136">
                  <c:v>2025-01-05</c:v>
                </c:pt>
                <c:pt idx="137">
                  <c:v>2025-01-06</c:v>
                </c:pt>
                <c:pt idx="138">
                  <c:v>2025-01-07</c:v>
                </c:pt>
                <c:pt idx="139">
                  <c:v>2025-01-08</c:v>
                </c:pt>
                <c:pt idx="140">
                  <c:v>2025-01-09</c:v>
                </c:pt>
                <c:pt idx="141">
                  <c:v>2025-01-10</c:v>
                </c:pt>
                <c:pt idx="142">
                  <c:v>2025-01-11</c:v>
                </c:pt>
                <c:pt idx="143">
                  <c:v>2025-01-12</c:v>
                </c:pt>
                <c:pt idx="144">
                  <c:v>2025-01-13</c:v>
                </c:pt>
                <c:pt idx="145">
                  <c:v>2025-01-14</c:v>
                </c:pt>
                <c:pt idx="146">
                  <c:v>2025-01-15</c:v>
                </c:pt>
                <c:pt idx="147">
                  <c:v>2025-01-16</c:v>
                </c:pt>
                <c:pt idx="148">
                  <c:v>2025-01-17</c:v>
                </c:pt>
                <c:pt idx="149">
                  <c:v>2025-01-18</c:v>
                </c:pt>
                <c:pt idx="150">
                  <c:v>2025-01-19</c:v>
                </c:pt>
                <c:pt idx="151">
                  <c:v>2025-01-20</c:v>
                </c:pt>
                <c:pt idx="152">
                  <c:v>2025-01-21</c:v>
                </c:pt>
                <c:pt idx="153">
                  <c:v>2025-01-22</c:v>
                </c:pt>
                <c:pt idx="154">
                  <c:v>2025-01-23</c:v>
                </c:pt>
                <c:pt idx="155">
                  <c:v>2025-01-24</c:v>
                </c:pt>
                <c:pt idx="156">
                  <c:v>2025-01-25</c:v>
                </c:pt>
                <c:pt idx="157">
                  <c:v>2025-01-26</c:v>
                </c:pt>
                <c:pt idx="158">
                  <c:v>2025-01-27</c:v>
                </c:pt>
                <c:pt idx="159">
                  <c:v>2025-01-28</c:v>
                </c:pt>
                <c:pt idx="160">
                  <c:v>2025-01-29</c:v>
                </c:pt>
                <c:pt idx="161">
                  <c:v>2025-01-30</c:v>
                </c:pt>
                <c:pt idx="162">
                  <c:v>2025-01-31</c:v>
                </c:pt>
                <c:pt idx="163">
                  <c:v>2025-02-01</c:v>
                </c:pt>
                <c:pt idx="164">
                  <c:v>2025-02-02</c:v>
                </c:pt>
                <c:pt idx="165">
                  <c:v>2025-02-03</c:v>
                </c:pt>
                <c:pt idx="166">
                  <c:v>2025-02-04</c:v>
                </c:pt>
                <c:pt idx="167">
                  <c:v>2025-02-05</c:v>
                </c:pt>
                <c:pt idx="168">
                  <c:v>2025-02-06</c:v>
                </c:pt>
                <c:pt idx="169">
                  <c:v>2025-02-07</c:v>
                </c:pt>
                <c:pt idx="170">
                  <c:v>2025-02-08</c:v>
                </c:pt>
                <c:pt idx="171">
                  <c:v>2025-02-09</c:v>
                </c:pt>
                <c:pt idx="172">
                  <c:v>2025-02-10</c:v>
                </c:pt>
                <c:pt idx="173">
                  <c:v>2025-02-11</c:v>
                </c:pt>
                <c:pt idx="174">
                  <c:v>2025-02-12</c:v>
                </c:pt>
                <c:pt idx="175">
                  <c:v>2025-02-13</c:v>
                </c:pt>
                <c:pt idx="176">
                  <c:v>2025-02-14</c:v>
                </c:pt>
                <c:pt idx="177">
                  <c:v>2025-02-15</c:v>
                </c:pt>
                <c:pt idx="178">
                  <c:v>2025-02-16</c:v>
                </c:pt>
                <c:pt idx="179">
                  <c:v>2025-02-17</c:v>
                </c:pt>
                <c:pt idx="180">
                  <c:v>2025-02-18</c:v>
                </c:pt>
                <c:pt idx="181">
                  <c:v>2025-02-19</c:v>
                </c:pt>
                <c:pt idx="182">
                  <c:v>2025-02-20</c:v>
                </c:pt>
                <c:pt idx="183">
                  <c:v>2025-02-21</c:v>
                </c:pt>
                <c:pt idx="184">
                  <c:v>2025-02-22</c:v>
                </c:pt>
                <c:pt idx="185">
                  <c:v>2025-02-23</c:v>
                </c:pt>
                <c:pt idx="186">
                  <c:v>2025-02-24</c:v>
                </c:pt>
                <c:pt idx="187">
                  <c:v>2025-02-25</c:v>
                </c:pt>
                <c:pt idx="188">
                  <c:v>2025-02-26</c:v>
                </c:pt>
                <c:pt idx="189">
                  <c:v>2025-02-27</c:v>
                </c:pt>
                <c:pt idx="190">
                  <c:v>2025-02-28</c:v>
                </c:pt>
                <c:pt idx="191">
                  <c:v>2025-03-01</c:v>
                </c:pt>
                <c:pt idx="192">
                  <c:v>2025-03-02</c:v>
                </c:pt>
                <c:pt idx="193">
                  <c:v>2025-03-03</c:v>
                </c:pt>
                <c:pt idx="194">
                  <c:v>2025-03-04</c:v>
                </c:pt>
                <c:pt idx="195">
                  <c:v>2025-03-05</c:v>
                </c:pt>
                <c:pt idx="196">
                  <c:v>2025-03-06</c:v>
                </c:pt>
                <c:pt idx="197">
                  <c:v>2025-03-07</c:v>
                </c:pt>
                <c:pt idx="198">
                  <c:v>2025-03-08</c:v>
                </c:pt>
                <c:pt idx="199">
                  <c:v>2025-03-09</c:v>
                </c:pt>
                <c:pt idx="200">
                  <c:v>2025-03-10</c:v>
                </c:pt>
                <c:pt idx="201">
                  <c:v>2025-03-11</c:v>
                </c:pt>
                <c:pt idx="202">
                  <c:v>2025-03-12</c:v>
                </c:pt>
                <c:pt idx="203">
                  <c:v>2025-03-13</c:v>
                </c:pt>
                <c:pt idx="204">
                  <c:v>2025-03-14</c:v>
                </c:pt>
                <c:pt idx="205">
                  <c:v>2025-03-15</c:v>
                </c:pt>
                <c:pt idx="206">
                  <c:v>2025-03-16</c:v>
                </c:pt>
                <c:pt idx="207">
                  <c:v>2025-03-17</c:v>
                </c:pt>
                <c:pt idx="208">
                  <c:v>2025-03-18</c:v>
                </c:pt>
                <c:pt idx="209">
                  <c:v>2025-03-19</c:v>
                </c:pt>
                <c:pt idx="210">
                  <c:v>2025-03-20</c:v>
                </c:pt>
                <c:pt idx="211">
                  <c:v>2025-03-21</c:v>
                </c:pt>
                <c:pt idx="212">
                  <c:v>2025-03-22</c:v>
                </c:pt>
                <c:pt idx="213">
                  <c:v>2025-03-23</c:v>
                </c:pt>
                <c:pt idx="214">
                  <c:v>2025-03-24</c:v>
                </c:pt>
                <c:pt idx="215">
                  <c:v>2025-03-25</c:v>
                </c:pt>
                <c:pt idx="216">
                  <c:v>2025-03-26</c:v>
                </c:pt>
                <c:pt idx="217">
                  <c:v>2025-03-27</c:v>
                </c:pt>
                <c:pt idx="218">
                  <c:v>2025-03-28</c:v>
                </c:pt>
                <c:pt idx="219">
                  <c:v>2025-03-29</c:v>
                </c:pt>
                <c:pt idx="220">
                  <c:v>2025-03-30</c:v>
                </c:pt>
                <c:pt idx="221">
                  <c:v>2025-03-31</c:v>
                </c:pt>
                <c:pt idx="222">
                  <c:v>2025-04-01</c:v>
                </c:pt>
                <c:pt idx="223">
                  <c:v>2025-04-02</c:v>
                </c:pt>
                <c:pt idx="224">
                  <c:v>2025-04-03</c:v>
                </c:pt>
                <c:pt idx="225">
                  <c:v>2025-04-04</c:v>
                </c:pt>
                <c:pt idx="226">
                  <c:v>2025-04-05</c:v>
                </c:pt>
                <c:pt idx="227">
                  <c:v>2025-04-06</c:v>
                </c:pt>
                <c:pt idx="228">
                  <c:v>2025-04-07</c:v>
                </c:pt>
                <c:pt idx="229">
                  <c:v>2025-04-08</c:v>
                </c:pt>
                <c:pt idx="230">
                  <c:v>2025-04-09</c:v>
                </c:pt>
                <c:pt idx="231">
                  <c:v>2025-04-10</c:v>
                </c:pt>
                <c:pt idx="232">
                  <c:v>2025-04-11</c:v>
                </c:pt>
                <c:pt idx="233">
                  <c:v>2025-04-12</c:v>
                </c:pt>
                <c:pt idx="234">
                  <c:v>2025-04-13</c:v>
                </c:pt>
                <c:pt idx="235">
                  <c:v>2025-04-14</c:v>
                </c:pt>
                <c:pt idx="236">
                  <c:v>2025-04-15</c:v>
                </c:pt>
                <c:pt idx="237">
                  <c:v>2025-04-16</c:v>
                </c:pt>
                <c:pt idx="238">
                  <c:v>2025-04-17</c:v>
                </c:pt>
                <c:pt idx="239">
                  <c:v>2025-04-18</c:v>
                </c:pt>
                <c:pt idx="240">
                  <c:v>2025-04-19</c:v>
                </c:pt>
                <c:pt idx="241">
                  <c:v>2025-04-20</c:v>
                </c:pt>
                <c:pt idx="242">
                  <c:v>2025-04-21</c:v>
                </c:pt>
                <c:pt idx="243">
                  <c:v>2025-04-22</c:v>
                </c:pt>
                <c:pt idx="244">
                  <c:v>2025-04-23</c:v>
                </c:pt>
                <c:pt idx="245">
                  <c:v>2025-04-24</c:v>
                </c:pt>
                <c:pt idx="246">
                  <c:v>2025-04-25</c:v>
                </c:pt>
                <c:pt idx="247">
                  <c:v>2025-04-26</c:v>
                </c:pt>
                <c:pt idx="248">
                  <c:v>2025-04-27</c:v>
                </c:pt>
                <c:pt idx="249">
                  <c:v>2025-04-28</c:v>
                </c:pt>
                <c:pt idx="250">
                  <c:v>2025-04-29</c:v>
                </c:pt>
                <c:pt idx="251">
                  <c:v>2025-04-30</c:v>
                </c:pt>
                <c:pt idx="252">
                  <c:v>2025-05-01</c:v>
                </c:pt>
                <c:pt idx="253">
                  <c:v>2025-05-02</c:v>
                </c:pt>
                <c:pt idx="254">
                  <c:v>2025-05-03</c:v>
                </c:pt>
                <c:pt idx="255">
                  <c:v>2025-05-04</c:v>
                </c:pt>
                <c:pt idx="256">
                  <c:v>2025-05-05</c:v>
                </c:pt>
                <c:pt idx="257">
                  <c:v>2025-05-06</c:v>
                </c:pt>
                <c:pt idx="258">
                  <c:v>2025-05-07</c:v>
                </c:pt>
                <c:pt idx="259">
                  <c:v>2025-05-08</c:v>
                </c:pt>
                <c:pt idx="260">
                  <c:v>2025-05-09</c:v>
                </c:pt>
                <c:pt idx="261">
                  <c:v>2025-05-10</c:v>
                </c:pt>
                <c:pt idx="262">
                  <c:v>2025-05-11</c:v>
                </c:pt>
                <c:pt idx="263">
                  <c:v>2025-05-12</c:v>
                </c:pt>
                <c:pt idx="264">
                  <c:v>2025-05-13</c:v>
                </c:pt>
                <c:pt idx="265">
                  <c:v>2025-05-14</c:v>
                </c:pt>
                <c:pt idx="266">
                  <c:v>2025-05-15</c:v>
                </c:pt>
                <c:pt idx="267">
                  <c:v>2025-05-16</c:v>
                </c:pt>
                <c:pt idx="268">
                  <c:v>2025-05-17</c:v>
                </c:pt>
                <c:pt idx="269">
                  <c:v>2025-05-18</c:v>
                </c:pt>
                <c:pt idx="270">
                  <c:v>2025-05-19</c:v>
                </c:pt>
                <c:pt idx="271">
                  <c:v>2025-05-20</c:v>
                </c:pt>
                <c:pt idx="272">
                  <c:v>2025-05-21</c:v>
                </c:pt>
                <c:pt idx="273">
                  <c:v>2025-05-22</c:v>
                </c:pt>
                <c:pt idx="274">
                  <c:v>2025-05-23</c:v>
                </c:pt>
                <c:pt idx="275">
                  <c:v>2025-05-24</c:v>
                </c:pt>
                <c:pt idx="276">
                  <c:v>2025-05-25</c:v>
                </c:pt>
                <c:pt idx="277">
                  <c:v>2025-05-26</c:v>
                </c:pt>
                <c:pt idx="278">
                  <c:v>2025-05-27</c:v>
                </c:pt>
                <c:pt idx="279">
                  <c:v>2025-05-28</c:v>
                </c:pt>
                <c:pt idx="280">
                  <c:v>2025-05-29</c:v>
                </c:pt>
                <c:pt idx="281">
                  <c:v>2025-05-30</c:v>
                </c:pt>
                <c:pt idx="282">
                  <c:v>2025-05-31</c:v>
                </c:pt>
                <c:pt idx="283">
                  <c:v>2025-06-01</c:v>
                </c:pt>
                <c:pt idx="284">
                  <c:v>2025-06-02</c:v>
                </c:pt>
                <c:pt idx="285">
                  <c:v>2025-06-03</c:v>
                </c:pt>
                <c:pt idx="286">
                  <c:v>2025-06-04</c:v>
                </c:pt>
                <c:pt idx="287">
                  <c:v>2025-06-05</c:v>
                </c:pt>
                <c:pt idx="288">
                  <c:v>2025-06-06</c:v>
                </c:pt>
                <c:pt idx="289">
                  <c:v>2025-06-07</c:v>
                </c:pt>
                <c:pt idx="290">
                  <c:v>2025-06-08</c:v>
                </c:pt>
                <c:pt idx="291">
                  <c:v>2025-06-09</c:v>
                </c:pt>
                <c:pt idx="292">
                  <c:v>2025-06-10</c:v>
                </c:pt>
                <c:pt idx="293">
                  <c:v>2025-06-11</c:v>
                </c:pt>
                <c:pt idx="294">
                  <c:v>2025-06-12</c:v>
                </c:pt>
                <c:pt idx="295">
                  <c:v>2025-06-13</c:v>
                </c:pt>
                <c:pt idx="296">
                  <c:v>2025-06-14</c:v>
                </c:pt>
                <c:pt idx="297">
                  <c:v>2025-06-15</c:v>
                </c:pt>
                <c:pt idx="298">
                  <c:v>2025-06-16</c:v>
                </c:pt>
                <c:pt idx="299">
                  <c:v>2025-06-17</c:v>
                </c:pt>
                <c:pt idx="300">
                  <c:v>2025-06-18</c:v>
                </c:pt>
                <c:pt idx="301">
                  <c:v>2025-06-19</c:v>
                </c:pt>
                <c:pt idx="302">
                  <c:v>2025-06-20</c:v>
                </c:pt>
                <c:pt idx="303">
                  <c:v>2025-06-21</c:v>
                </c:pt>
                <c:pt idx="304">
                  <c:v>2025-06-22</c:v>
                </c:pt>
                <c:pt idx="305">
                  <c:v>2025-06-23</c:v>
                </c:pt>
                <c:pt idx="306">
                  <c:v>2025-06-24</c:v>
                </c:pt>
                <c:pt idx="307">
                  <c:v>2025-06-25</c:v>
                </c:pt>
                <c:pt idx="308">
                  <c:v>2025-06-26</c:v>
                </c:pt>
                <c:pt idx="309">
                  <c:v>2025-06-27</c:v>
                </c:pt>
                <c:pt idx="310">
                  <c:v>2025-06-28</c:v>
                </c:pt>
                <c:pt idx="311">
                  <c:v>2025-06-29</c:v>
                </c:pt>
                <c:pt idx="312">
                  <c:v>2025-06-30</c:v>
                </c:pt>
                <c:pt idx="313">
                  <c:v>2025-07-01</c:v>
                </c:pt>
                <c:pt idx="314">
                  <c:v>2025-07-02</c:v>
                </c:pt>
                <c:pt idx="315">
                  <c:v>2025-07-03</c:v>
                </c:pt>
                <c:pt idx="316">
                  <c:v>2025-07-04</c:v>
                </c:pt>
                <c:pt idx="317">
                  <c:v>2025-07-05</c:v>
                </c:pt>
                <c:pt idx="318">
                  <c:v>2025-07-06</c:v>
                </c:pt>
                <c:pt idx="319">
                  <c:v>2025-07-07</c:v>
                </c:pt>
                <c:pt idx="320">
                  <c:v>2025-07-08</c:v>
                </c:pt>
                <c:pt idx="321">
                  <c:v>2025-07-09</c:v>
                </c:pt>
                <c:pt idx="322">
                  <c:v>2025-07-10</c:v>
                </c:pt>
                <c:pt idx="323">
                  <c:v>2025-07-11</c:v>
                </c:pt>
                <c:pt idx="324">
                  <c:v>2025-07-12</c:v>
                </c:pt>
                <c:pt idx="325">
                  <c:v>2025-07-13</c:v>
                </c:pt>
                <c:pt idx="326">
                  <c:v>2025-07-14</c:v>
                </c:pt>
                <c:pt idx="327">
                  <c:v>2025-07-15</c:v>
                </c:pt>
                <c:pt idx="328">
                  <c:v>2025-07-16</c:v>
                </c:pt>
                <c:pt idx="329">
                  <c:v>2025-07-17</c:v>
                </c:pt>
                <c:pt idx="330">
                  <c:v>2025-07-18</c:v>
                </c:pt>
                <c:pt idx="331">
                  <c:v>2025-07-19</c:v>
                </c:pt>
                <c:pt idx="332">
                  <c:v>2025-07-20</c:v>
                </c:pt>
                <c:pt idx="333">
                  <c:v>2025-07-21</c:v>
                </c:pt>
                <c:pt idx="334">
                  <c:v>2025-07-22</c:v>
                </c:pt>
                <c:pt idx="335">
                  <c:v>2025-07-23</c:v>
                </c:pt>
                <c:pt idx="336">
                  <c:v>2025-07-24</c:v>
                </c:pt>
                <c:pt idx="337">
                  <c:v>2025-07-25</c:v>
                </c:pt>
                <c:pt idx="338">
                  <c:v>2025-07-26</c:v>
                </c:pt>
                <c:pt idx="339">
                  <c:v>2025-07-27</c:v>
                </c:pt>
                <c:pt idx="340">
                  <c:v>2025-07-28</c:v>
                </c:pt>
                <c:pt idx="341">
                  <c:v>2025-07-29</c:v>
                </c:pt>
                <c:pt idx="342">
                  <c:v>2025-07-30</c:v>
                </c:pt>
                <c:pt idx="343">
                  <c:v>2025-07-31</c:v>
                </c:pt>
                <c:pt idx="344">
                  <c:v>2025-08-01</c:v>
                </c:pt>
                <c:pt idx="345">
                  <c:v>2025-08-02</c:v>
                </c:pt>
                <c:pt idx="346">
                  <c:v>2025-08-03</c:v>
                </c:pt>
                <c:pt idx="347">
                  <c:v>2025-08-04</c:v>
                </c:pt>
                <c:pt idx="348">
                  <c:v>2025-08-05</c:v>
                </c:pt>
                <c:pt idx="349">
                  <c:v>2025-08-06</c:v>
                </c:pt>
                <c:pt idx="350">
                  <c:v>2025-08-07</c:v>
                </c:pt>
                <c:pt idx="351">
                  <c:v>2025-08-08</c:v>
                </c:pt>
                <c:pt idx="352">
                  <c:v>2025-08-09</c:v>
                </c:pt>
                <c:pt idx="353">
                  <c:v>2025-08-10</c:v>
                </c:pt>
                <c:pt idx="354">
                  <c:v>2025-08-11</c:v>
                </c:pt>
                <c:pt idx="355">
                  <c:v>2025-08-12</c:v>
                </c:pt>
                <c:pt idx="356">
                  <c:v>2025-08-13</c:v>
                </c:pt>
                <c:pt idx="357">
                  <c:v>2025-08-14</c:v>
                </c:pt>
                <c:pt idx="358">
                  <c:v>2025-08-15</c:v>
                </c:pt>
                <c:pt idx="359">
                  <c:v>2025-08-16</c:v>
                </c:pt>
                <c:pt idx="360">
                  <c:v>2025-08-17</c:v>
                </c:pt>
                <c:pt idx="361">
                  <c:v>2025-08-18</c:v>
                </c:pt>
                <c:pt idx="362">
                  <c:v>2025-08-19</c:v>
                </c:pt>
                <c:pt idx="363">
                  <c:v>2025-08-20</c:v>
                </c:pt>
                <c:pt idx="364">
                  <c:v>2025-08-21</c:v>
                </c:pt>
                <c:pt idx="365">
                  <c:v>2025-08-22</c:v>
                </c:pt>
                <c:pt idx="366">
                  <c:v>2025-08-23</c:v>
                </c:pt>
                <c:pt idx="367">
                  <c:v>2025-08-24</c:v>
                </c:pt>
                <c:pt idx="368">
                  <c:v>2025-08-25</c:v>
                </c:pt>
                <c:pt idx="369">
                  <c:v>2025-08-26</c:v>
                </c:pt>
                <c:pt idx="370">
                  <c:v>2025-08-27</c:v>
                </c:pt>
                <c:pt idx="371">
                  <c:v>2025-08-28</c:v>
                </c:pt>
                <c:pt idx="372">
                  <c:v>2025-08-29</c:v>
                </c:pt>
                <c:pt idx="373">
                  <c:v>2025-08-30</c:v>
                </c:pt>
                <c:pt idx="374">
                  <c:v>2025-08-31</c:v>
                </c:pt>
                <c:pt idx="375">
                  <c:v>2025-09-01</c:v>
                </c:pt>
                <c:pt idx="376">
                  <c:v>2025-09-02</c:v>
                </c:pt>
                <c:pt idx="377">
                  <c:v>2025-09-03</c:v>
                </c:pt>
                <c:pt idx="378">
                  <c:v>2025-09-04</c:v>
                </c:pt>
                <c:pt idx="379">
                  <c:v>2025-09-05</c:v>
                </c:pt>
                <c:pt idx="380">
                  <c:v>2025-09-06</c:v>
                </c:pt>
                <c:pt idx="381">
                  <c:v>2025-09-07</c:v>
                </c:pt>
                <c:pt idx="382">
                  <c:v>2025-09-08</c:v>
                </c:pt>
                <c:pt idx="383">
                  <c:v>2025-09-09</c:v>
                </c:pt>
                <c:pt idx="384">
                  <c:v>2025-09-10</c:v>
                </c:pt>
                <c:pt idx="385">
                  <c:v>2025-09-11</c:v>
                </c:pt>
                <c:pt idx="386">
                  <c:v>2025-09-12</c:v>
                </c:pt>
                <c:pt idx="387">
                  <c:v>2025-09-13</c:v>
                </c:pt>
                <c:pt idx="388">
                  <c:v>2025-09-14</c:v>
                </c:pt>
                <c:pt idx="389">
                  <c:v>2025-09-15</c:v>
                </c:pt>
                <c:pt idx="390">
                  <c:v>2025-09-16</c:v>
                </c:pt>
                <c:pt idx="391">
                  <c:v>2025-09-17</c:v>
                </c:pt>
                <c:pt idx="392">
                  <c:v>2025-09-18</c:v>
                </c:pt>
                <c:pt idx="393">
                  <c:v>2025-09-19</c:v>
                </c:pt>
                <c:pt idx="394">
                  <c:v>2025-09-20</c:v>
                </c:pt>
                <c:pt idx="395">
                  <c:v>2025-09-21</c:v>
                </c:pt>
                <c:pt idx="396">
                  <c:v>2025-09-22</c:v>
                </c:pt>
                <c:pt idx="397">
                  <c:v>2025-09-23</c:v>
                </c:pt>
                <c:pt idx="398">
                  <c:v>2025-09-24</c:v>
                </c:pt>
                <c:pt idx="399">
                  <c:v>2025-09-25</c:v>
                </c:pt>
                <c:pt idx="400">
                  <c:v>2025-09-26</c:v>
                </c:pt>
                <c:pt idx="401">
                  <c:v>2025-09-27</c:v>
                </c:pt>
                <c:pt idx="402">
                  <c:v>2025-09-28</c:v>
                </c:pt>
                <c:pt idx="403">
                  <c:v>2025-09-29</c:v>
                </c:pt>
                <c:pt idx="404">
                  <c:v>2025-09-30</c:v>
                </c:pt>
                <c:pt idx="405">
                  <c:v>2025-10-01</c:v>
                </c:pt>
                <c:pt idx="406">
                  <c:v>2025-10-02</c:v>
                </c:pt>
                <c:pt idx="407">
                  <c:v>2025-10-03</c:v>
                </c:pt>
                <c:pt idx="408">
                  <c:v>2025-10-04</c:v>
                </c:pt>
                <c:pt idx="409">
                  <c:v>2025-10-05</c:v>
                </c:pt>
                <c:pt idx="410">
                  <c:v>2025-10-06</c:v>
                </c:pt>
                <c:pt idx="411">
                  <c:v>2025-10-07</c:v>
                </c:pt>
                <c:pt idx="412">
                  <c:v>2025-10-08</c:v>
                </c:pt>
                <c:pt idx="413">
                  <c:v>2025-10-09</c:v>
                </c:pt>
                <c:pt idx="414">
                  <c:v>2025-10-10</c:v>
                </c:pt>
                <c:pt idx="415">
                  <c:v>2025-10-11</c:v>
                </c:pt>
                <c:pt idx="416">
                  <c:v>2025-10-12</c:v>
                </c:pt>
                <c:pt idx="417">
                  <c:v>2025-10-13</c:v>
                </c:pt>
                <c:pt idx="418">
                  <c:v>2025-10-14</c:v>
                </c:pt>
                <c:pt idx="419">
                  <c:v>2025-10-15</c:v>
                </c:pt>
                <c:pt idx="420">
                  <c:v>2025-10-16</c:v>
                </c:pt>
                <c:pt idx="421">
                  <c:v>2025-10-17</c:v>
                </c:pt>
                <c:pt idx="422">
                  <c:v>2025-10-18</c:v>
                </c:pt>
                <c:pt idx="423">
                  <c:v>2025-10-19</c:v>
                </c:pt>
                <c:pt idx="424">
                  <c:v>2025-10-20</c:v>
                </c:pt>
                <c:pt idx="425">
                  <c:v>2025-10-21</c:v>
                </c:pt>
                <c:pt idx="426">
                  <c:v>2025-10-22</c:v>
                </c:pt>
                <c:pt idx="427">
                  <c:v>2025-10-23</c:v>
                </c:pt>
                <c:pt idx="428">
                  <c:v>2025-10-24</c:v>
                </c:pt>
                <c:pt idx="429">
                  <c:v>2025-10-25</c:v>
                </c:pt>
                <c:pt idx="430">
                  <c:v>2025-10-26</c:v>
                </c:pt>
                <c:pt idx="431">
                  <c:v>2025-10-27</c:v>
                </c:pt>
                <c:pt idx="432">
                  <c:v>2025-10-28</c:v>
                </c:pt>
                <c:pt idx="433">
                  <c:v>2025-10-29</c:v>
                </c:pt>
                <c:pt idx="434">
                  <c:v>2025-10-30</c:v>
                </c:pt>
                <c:pt idx="435">
                  <c:v>2025-10-31</c:v>
                </c:pt>
                <c:pt idx="436">
                  <c:v>2025-11-01</c:v>
                </c:pt>
                <c:pt idx="437">
                  <c:v>2025-11-02</c:v>
                </c:pt>
                <c:pt idx="438">
                  <c:v>2025-11-03</c:v>
                </c:pt>
                <c:pt idx="439">
                  <c:v>2025-11-04</c:v>
                </c:pt>
                <c:pt idx="440">
                  <c:v>2025-11-05</c:v>
                </c:pt>
                <c:pt idx="441">
                  <c:v>2025-11-06</c:v>
                </c:pt>
                <c:pt idx="442">
                  <c:v>2025-11-07</c:v>
                </c:pt>
                <c:pt idx="443">
                  <c:v>2025-11-08</c:v>
                </c:pt>
                <c:pt idx="444">
                  <c:v>2025-11-09</c:v>
                </c:pt>
                <c:pt idx="445">
                  <c:v>2025-11-10</c:v>
                </c:pt>
                <c:pt idx="446">
                  <c:v>2025-11-11</c:v>
                </c:pt>
                <c:pt idx="447">
                  <c:v>2025-11-12</c:v>
                </c:pt>
                <c:pt idx="448">
                  <c:v>2025-11-13</c:v>
                </c:pt>
                <c:pt idx="449">
                  <c:v>2025-11-14</c:v>
                </c:pt>
                <c:pt idx="450">
                  <c:v>2025-11-15</c:v>
                </c:pt>
                <c:pt idx="451">
                  <c:v>2025-11-16</c:v>
                </c:pt>
                <c:pt idx="452">
                  <c:v>2025-11-17</c:v>
                </c:pt>
                <c:pt idx="453">
                  <c:v>2025-11-18</c:v>
                </c:pt>
                <c:pt idx="454">
                  <c:v>2025-11-19</c:v>
                </c:pt>
                <c:pt idx="455">
                  <c:v>2025-11-20</c:v>
                </c:pt>
                <c:pt idx="456">
                  <c:v>2025-11-21</c:v>
                </c:pt>
                <c:pt idx="457">
                  <c:v>2025-11-22</c:v>
                </c:pt>
                <c:pt idx="458">
                  <c:v>2025-11-23</c:v>
                </c:pt>
                <c:pt idx="459">
                  <c:v>2025-11-24</c:v>
                </c:pt>
                <c:pt idx="460">
                  <c:v>2025-11-25</c:v>
                </c:pt>
                <c:pt idx="461">
                  <c:v>2025-11-26</c:v>
                </c:pt>
                <c:pt idx="462">
                  <c:v>2025-11-27</c:v>
                </c:pt>
                <c:pt idx="463">
                  <c:v>2025-11-28</c:v>
                </c:pt>
                <c:pt idx="464">
                  <c:v>2025-11-29</c:v>
                </c:pt>
                <c:pt idx="465">
                  <c:v>2025-11-30</c:v>
                </c:pt>
                <c:pt idx="466">
                  <c:v>2025-12-01</c:v>
                </c:pt>
                <c:pt idx="467">
                  <c:v>2025-12-02</c:v>
                </c:pt>
                <c:pt idx="468">
                  <c:v>2025-12-03</c:v>
                </c:pt>
                <c:pt idx="469">
                  <c:v>2025-12-04</c:v>
                </c:pt>
                <c:pt idx="470">
                  <c:v>2025-12-05</c:v>
                </c:pt>
                <c:pt idx="471">
                  <c:v>2025-12-06</c:v>
                </c:pt>
                <c:pt idx="472">
                  <c:v>2025-12-07</c:v>
                </c:pt>
                <c:pt idx="473">
                  <c:v>2025-12-08</c:v>
                </c:pt>
                <c:pt idx="474">
                  <c:v>2025-12-09</c:v>
                </c:pt>
                <c:pt idx="475">
                  <c:v>2025-12-10</c:v>
                </c:pt>
                <c:pt idx="476">
                  <c:v>2025-12-11</c:v>
                </c:pt>
                <c:pt idx="477">
                  <c:v>2025-12-12</c:v>
                </c:pt>
                <c:pt idx="478">
                  <c:v>2025-12-13</c:v>
                </c:pt>
                <c:pt idx="479">
                  <c:v>2025-12-14</c:v>
                </c:pt>
                <c:pt idx="480">
                  <c:v>2025-12-15</c:v>
                </c:pt>
                <c:pt idx="481">
                  <c:v>2025-12-16</c:v>
                </c:pt>
                <c:pt idx="482">
                  <c:v>2025-12-17</c:v>
                </c:pt>
                <c:pt idx="483">
                  <c:v>2025-12-18</c:v>
                </c:pt>
                <c:pt idx="484">
                  <c:v>2025-12-19</c:v>
                </c:pt>
                <c:pt idx="485">
                  <c:v>2025-12-20</c:v>
                </c:pt>
                <c:pt idx="486">
                  <c:v>2025-12-21</c:v>
                </c:pt>
                <c:pt idx="487">
                  <c:v>2025-12-22</c:v>
                </c:pt>
                <c:pt idx="488">
                  <c:v>2025-12-23</c:v>
                </c:pt>
                <c:pt idx="489">
                  <c:v>2025-12-24</c:v>
                </c:pt>
                <c:pt idx="490">
                  <c:v>2025-12-25</c:v>
                </c:pt>
                <c:pt idx="491">
                  <c:v>2025-12-26</c:v>
                </c:pt>
                <c:pt idx="492">
                  <c:v>2025-12-27</c:v>
                </c:pt>
                <c:pt idx="493">
                  <c:v>2025-12-28</c:v>
                </c:pt>
                <c:pt idx="494">
                  <c:v>2025-12-29</c:v>
                </c:pt>
                <c:pt idx="495">
                  <c:v>2025-12-30</c:v>
                </c:pt>
                <c:pt idx="496">
                  <c:v>2025-12-31</c:v>
                </c:pt>
                <c:pt idx="497">
                  <c:v>2026-01-01</c:v>
                </c:pt>
                <c:pt idx="498">
                  <c:v>2026-01-02</c:v>
                </c:pt>
                <c:pt idx="499">
                  <c:v>2026-01-03</c:v>
                </c:pt>
                <c:pt idx="500">
                  <c:v>2026-01-04</c:v>
                </c:pt>
                <c:pt idx="501">
                  <c:v>2026-01-05</c:v>
                </c:pt>
                <c:pt idx="502">
                  <c:v>2026-01-06</c:v>
                </c:pt>
                <c:pt idx="503">
                  <c:v>2026-01-07</c:v>
                </c:pt>
                <c:pt idx="504">
                  <c:v>2026-01-08</c:v>
                </c:pt>
                <c:pt idx="505">
                  <c:v>2026-01-09</c:v>
                </c:pt>
                <c:pt idx="506">
                  <c:v>2026-01-10</c:v>
                </c:pt>
                <c:pt idx="507">
                  <c:v>2026-01-11</c:v>
                </c:pt>
                <c:pt idx="508">
                  <c:v>2026-01-12</c:v>
                </c:pt>
                <c:pt idx="509">
                  <c:v>2026-01-13</c:v>
                </c:pt>
                <c:pt idx="510">
                  <c:v>2026-01-14</c:v>
                </c:pt>
                <c:pt idx="511">
                  <c:v>2026-01-15</c:v>
                </c:pt>
                <c:pt idx="512">
                  <c:v>2026-01-16</c:v>
                </c:pt>
                <c:pt idx="513">
                  <c:v>2026-01-17</c:v>
                </c:pt>
                <c:pt idx="514">
                  <c:v>2026-01-18</c:v>
                </c:pt>
                <c:pt idx="515">
                  <c:v>2026-01-19</c:v>
                </c:pt>
                <c:pt idx="516">
                  <c:v>2026-01-20</c:v>
                </c:pt>
                <c:pt idx="517">
                  <c:v>2026-01-21</c:v>
                </c:pt>
                <c:pt idx="518">
                  <c:v>2026-01-22</c:v>
                </c:pt>
                <c:pt idx="519">
                  <c:v>2026-01-23</c:v>
                </c:pt>
                <c:pt idx="520">
                  <c:v>2026-01-24</c:v>
                </c:pt>
                <c:pt idx="521">
                  <c:v>2026-01-25</c:v>
                </c:pt>
                <c:pt idx="522">
                  <c:v>2026-01-26</c:v>
                </c:pt>
                <c:pt idx="523">
                  <c:v>2026-01-27</c:v>
                </c:pt>
                <c:pt idx="524">
                  <c:v>2026-01-28</c:v>
                </c:pt>
                <c:pt idx="525">
                  <c:v>2026-01-29</c:v>
                </c:pt>
                <c:pt idx="526">
                  <c:v>2026-01-30</c:v>
                </c:pt>
                <c:pt idx="527">
                  <c:v>2026-01-31</c:v>
                </c:pt>
                <c:pt idx="528">
                  <c:v>2026-02-01</c:v>
                </c:pt>
                <c:pt idx="529">
                  <c:v>2026-02-02</c:v>
                </c:pt>
                <c:pt idx="530">
                  <c:v>2026-02-03</c:v>
                </c:pt>
                <c:pt idx="531">
                  <c:v>2026-02-04</c:v>
                </c:pt>
                <c:pt idx="532">
                  <c:v>2026-02-05</c:v>
                </c:pt>
                <c:pt idx="533">
                  <c:v>2026-02-06</c:v>
                </c:pt>
                <c:pt idx="534">
                  <c:v>2026-02-07</c:v>
                </c:pt>
                <c:pt idx="535">
                  <c:v>2026-02-08</c:v>
                </c:pt>
                <c:pt idx="536">
                  <c:v>2026-02-09</c:v>
                </c:pt>
                <c:pt idx="537">
                  <c:v>2026-02-10</c:v>
                </c:pt>
                <c:pt idx="538">
                  <c:v>2026-02-11</c:v>
                </c:pt>
                <c:pt idx="539">
                  <c:v>2026-02-12</c:v>
                </c:pt>
                <c:pt idx="540">
                  <c:v>2026-02-13</c:v>
                </c:pt>
                <c:pt idx="541">
                  <c:v>2026-02-14</c:v>
                </c:pt>
                <c:pt idx="542">
                  <c:v>2026-02-15</c:v>
                </c:pt>
                <c:pt idx="543">
                  <c:v>2026-02-16</c:v>
                </c:pt>
                <c:pt idx="544">
                  <c:v>2026-02-17</c:v>
                </c:pt>
                <c:pt idx="545">
                  <c:v>2026-02-18</c:v>
                </c:pt>
                <c:pt idx="546">
                  <c:v>2026-02-19</c:v>
                </c:pt>
                <c:pt idx="547">
                  <c:v>2026-02-20</c:v>
                </c:pt>
                <c:pt idx="548">
                  <c:v>2026-02-21</c:v>
                </c:pt>
                <c:pt idx="549">
                  <c:v>2026-02-22</c:v>
                </c:pt>
                <c:pt idx="550">
                  <c:v>2026-02-23</c:v>
                </c:pt>
                <c:pt idx="551">
                  <c:v>2026-02-24</c:v>
                </c:pt>
                <c:pt idx="552">
                  <c:v>2026-02-25</c:v>
                </c:pt>
                <c:pt idx="553">
                  <c:v>2026-02-26</c:v>
                </c:pt>
              </c:strCache>
            </c:strRef>
          </c:cat>
          <c:val>
            <c:numRef>
              <c:f>'Daily Velocity'!$C$4:$C$557</c:f>
              <c:numCache>
                <c:formatCode>#,##0</c:formatCode>
                <c:ptCount val="554"/>
                <c:pt idx="0">
                  <c:v>50532</c:v>
                </c:pt>
                <c:pt idx="1">
                  <c:v>38973</c:v>
                </c:pt>
                <c:pt idx="2">
                  <c:v>21658</c:v>
                </c:pt>
                <c:pt idx="3">
                  <c:v>35414</c:v>
                </c:pt>
                <c:pt idx="4">
                  <c:v>54499</c:v>
                </c:pt>
                <c:pt idx="5">
                  <c:v>56357</c:v>
                </c:pt>
                <c:pt idx="6">
                  <c:v>53705</c:v>
                </c:pt>
                <c:pt idx="7">
                  <c:v>53776</c:v>
                </c:pt>
                <c:pt idx="8">
                  <c:v>41389</c:v>
                </c:pt>
                <c:pt idx="9">
                  <c:v>16854</c:v>
                </c:pt>
                <c:pt idx="10">
                  <c:v>27500</c:v>
                </c:pt>
                <c:pt idx="11">
                  <c:v>25145</c:v>
                </c:pt>
                <c:pt idx="12">
                  <c:v>54495</c:v>
                </c:pt>
                <c:pt idx="13">
                  <c:v>59690</c:v>
                </c:pt>
                <c:pt idx="14">
                  <c:v>54087</c:v>
                </c:pt>
                <c:pt idx="15">
                  <c:v>41556</c:v>
                </c:pt>
                <c:pt idx="16">
                  <c:v>21270</c:v>
                </c:pt>
                <c:pt idx="17">
                  <c:v>37329</c:v>
                </c:pt>
                <c:pt idx="18">
                  <c:v>52095</c:v>
                </c:pt>
                <c:pt idx="19">
                  <c:v>52524</c:v>
                </c:pt>
                <c:pt idx="20">
                  <c:v>50860</c:v>
                </c:pt>
                <c:pt idx="21">
                  <c:v>49930</c:v>
                </c:pt>
                <c:pt idx="22">
                  <c:v>38035</c:v>
                </c:pt>
                <c:pt idx="23">
                  <c:v>22022</c:v>
                </c:pt>
                <c:pt idx="24">
                  <c:v>35572</c:v>
                </c:pt>
                <c:pt idx="25">
                  <c:v>50946</c:v>
                </c:pt>
                <c:pt idx="26">
                  <c:v>53925</c:v>
                </c:pt>
                <c:pt idx="27">
                  <c:v>50995</c:v>
                </c:pt>
                <c:pt idx="28">
                  <c:v>48928</c:v>
                </c:pt>
                <c:pt idx="29">
                  <c:v>37534</c:v>
                </c:pt>
                <c:pt idx="30">
                  <c:v>16155</c:v>
                </c:pt>
                <c:pt idx="31">
                  <c:v>36399</c:v>
                </c:pt>
                <c:pt idx="32">
                  <c:v>51400</c:v>
                </c:pt>
                <c:pt idx="33">
                  <c:v>53325</c:v>
                </c:pt>
                <c:pt idx="34">
                  <c:v>48693</c:v>
                </c:pt>
                <c:pt idx="35">
                  <c:v>50690</c:v>
                </c:pt>
                <c:pt idx="36">
                  <c:v>32947</c:v>
                </c:pt>
                <c:pt idx="37">
                  <c:v>20768</c:v>
                </c:pt>
                <c:pt idx="38">
                  <c:v>27257</c:v>
                </c:pt>
                <c:pt idx="39">
                  <c:v>52825</c:v>
                </c:pt>
                <c:pt idx="40">
                  <c:v>54376</c:v>
                </c:pt>
                <c:pt idx="41">
                  <c:v>49327</c:v>
                </c:pt>
                <c:pt idx="42">
                  <c:v>49356</c:v>
                </c:pt>
                <c:pt idx="43">
                  <c:v>38488</c:v>
                </c:pt>
                <c:pt idx="44">
                  <c:v>19520</c:v>
                </c:pt>
                <c:pt idx="45">
                  <c:v>34006</c:v>
                </c:pt>
                <c:pt idx="46">
                  <c:v>52138</c:v>
                </c:pt>
                <c:pt idx="47">
                  <c:v>52077</c:v>
                </c:pt>
                <c:pt idx="48">
                  <c:v>48981</c:v>
                </c:pt>
                <c:pt idx="49">
                  <c:v>49954</c:v>
                </c:pt>
                <c:pt idx="50">
                  <c:v>36074</c:v>
                </c:pt>
                <c:pt idx="51">
                  <c:v>22513</c:v>
                </c:pt>
                <c:pt idx="52">
                  <c:v>34386</c:v>
                </c:pt>
                <c:pt idx="53">
                  <c:v>49986</c:v>
                </c:pt>
                <c:pt idx="54">
                  <c:v>56591</c:v>
                </c:pt>
                <c:pt idx="55">
                  <c:v>51461</c:v>
                </c:pt>
                <c:pt idx="56">
                  <c:v>52025</c:v>
                </c:pt>
                <c:pt idx="57">
                  <c:v>37272</c:v>
                </c:pt>
                <c:pt idx="58">
                  <c:v>21698</c:v>
                </c:pt>
                <c:pt idx="59">
                  <c:v>35989</c:v>
                </c:pt>
                <c:pt idx="60">
                  <c:v>51101</c:v>
                </c:pt>
                <c:pt idx="61">
                  <c:v>56619</c:v>
                </c:pt>
                <c:pt idx="62">
                  <c:v>52441</c:v>
                </c:pt>
                <c:pt idx="63">
                  <c:v>53482</c:v>
                </c:pt>
                <c:pt idx="64">
                  <c:v>34854</c:v>
                </c:pt>
                <c:pt idx="65">
                  <c:v>22673</c:v>
                </c:pt>
                <c:pt idx="66">
                  <c:v>35782</c:v>
                </c:pt>
                <c:pt idx="67">
                  <c:v>52652</c:v>
                </c:pt>
                <c:pt idx="68">
                  <c:v>52153</c:v>
                </c:pt>
                <c:pt idx="69">
                  <c:v>52565</c:v>
                </c:pt>
                <c:pt idx="70">
                  <c:v>51203</c:v>
                </c:pt>
                <c:pt idx="71">
                  <c:v>27420</c:v>
                </c:pt>
                <c:pt idx="72">
                  <c:v>24945</c:v>
                </c:pt>
                <c:pt idx="73">
                  <c:v>39000</c:v>
                </c:pt>
                <c:pt idx="74">
                  <c:v>47400</c:v>
                </c:pt>
                <c:pt idx="75">
                  <c:v>54444</c:v>
                </c:pt>
                <c:pt idx="76">
                  <c:v>51378</c:v>
                </c:pt>
                <c:pt idx="77">
                  <c:v>48559</c:v>
                </c:pt>
                <c:pt idx="78">
                  <c:v>36942</c:v>
                </c:pt>
                <c:pt idx="79">
                  <c:v>18275</c:v>
                </c:pt>
                <c:pt idx="80">
                  <c:v>35836</c:v>
                </c:pt>
                <c:pt idx="81">
                  <c:v>48409</c:v>
                </c:pt>
                <c:pt idx="82">
                  <c:v>52133</c:v>
                </c:pt>
                <c:pt idx="83">
                  <c:v>53627</c:v>
                </c:pt>
                <c:pt idx="84">
                  <c:v>49006</c:v>
                </c:pt>
                <c:pt idx="85">
                  <c:v>34623</c:v>
                </c:pt>
                <c:pt idx="86">
                  <c:v>19401</c:v>
                </c:pt>
                <c:pt idx="87">
                  <c:v>37713</c:v>
                </c:pt>
                <c:pt idx="88">
                  <c:v>49618</c:v>
                </c:pt>
                <c:pt idx="89">
                  <c:v>52125</c:v>
                </c:pt>
                <c:pt idx="90">
                  <c:v>52327</c:v>
                </c:pt>
                <c:pt idx="91">
                  <c:v>50090</c:v>
                </c:pt>
                <c:pt idx="92">
                  <c:v>42351</c:v>
                </c:pt>
                <c:pt idx="93">
                  <c:v>22276</c:v>
                </c:pt>
                <c:pt idx="94">
                  <c:v>37416</c:v>
                </c:pt>
                <c:pt idx="95">
                  <c:v>48678</c:v>
                </c:pt>
                <c:pt idx="96">
                  <c:v>53519</c:v>
                </c:pt>
                <c:pt idx="97">
                  <c:v>44439</c:v>
                </c:pt>
                <c:pt idx="98">
                  <c:v>24688</c:v>
                </c:pt>
                <c:pt idx="99">
                  <c:v>25913</c:v>
                </c:pt>
                <c:pt idx="100">
                  <c:v>21871</c:v>
                </c:pt>
                <c:pt idx="101">
                  <c:v>37794</c:v>
                </c:pt>
                <c:pt idx="102">
                  <c:v>51909</c:v>
                </c:pt>
                <c:pt idx="103">
                  <c:v>56323</c:v>
                </c:pt>
                <c:pt idx="104">
                  <c:v>56860</c:v>
                </c:pt>
                <c:pt idx="105">
                  <c:v>57233</c:v>
                </c:pt>
                <c:pt idx="106">
                  <c:v>47859</c:v>
                </c:pt>
                <c:pt idx="107">
                  <c:v>20614</c:v>
                </c:pt>
                <c:pt idx="108">
                  <c:v>40567</c:v>
                </c:pt>
                <c:pt idx="109">
                  <c:v>54794</c:v>
                </c:pt>
                <c:pt idx="110">
                  <c:v>56227</c:v>
                </c:pt>
                <c:pt idx="111">
                  <c:v>58759</c:v>
                </c:pt>
                <c:pt idx="112">
                  <c:v>56953</c:v>
                </c:pt>
                <c:pt idx="113">
                  <c:v>40206</c:v>
                </c:pt>
                <c:pt idx="114">
                  <c:v>25205</c:v>
                </c:pt>
                <c:pt idx="115">
                  <c:v>38962</c:v>
                </c:pt>
                <c:pt idx="116">
                  <c:v>52555</c:v>
                </c:pt>
                <c:pt idx="117">
                  <c:v>58132</c:v>
                </c:pt>
                <c:pt idx="118">
                  <c:v>58927</c:v>
                </c:pt>
                <c:pt idx="119">
                  <c:v>53294</c:v>
                </c:pt>
                <c:pt idx="120">
                  <c:v>45832</c:v>
                </c:pt>
                <c:pt idx="121">
                  <c:v>23279</c:v>
                </c:pt>
                <c:pt idx="122">
                  <c:v>40690</c:v>
                </c:pt>
                <c:pt idx="123">
                  <c:v>48350</c:v>
                </c:pt>
                <c:pt idx="124">
                  <c:v>14258</c:v>
                </c:pt>
                <c:pt idx="125">
                  <c:v>22091</c:v>
                </c:pt>
                <c:pt idx="126">
                  <c:v>53042</c:v>
                </c:pt>
                <c:pt idx="127">
                  <c:v>43370</c:v>
                </c:pt>
                <c:pt idx="128">
                  <c:v>21421</c:v>
                </c:pt>
                <c:pt idx="129">
                  <c:v>43797</c:v>
                </c:pt>
                <c:pt idx="130">
                  <c:v>55097</c:v>
                </c:pt>
                <c:pt idx="131">
                  <c:v>22184</c:v>
                </c:pt>
                <c:pt idx="132">
                  <c:v>27226</c:v>
                </c:pt>
                <c:pt idx="133">
                  <c:v>56348</c:v>
                </c:pt>
                <c:pt idx="134">
                  <c:v>45750</c:v>
                </c:pt>
                <c:pt idx="135">
                  <c:v>27520</c:v>
                </c:pt>
                <c:pt idx="136">
                  <c:v>51596</c:v>
                </c:pt>
                <c:pt idx="137">
                  <c:v>58305</c:v>
                </c:pt>
                <c:pt idx="138">
                  <c:v>57370</c:v>
                </c:pt>
                <c:pt idx="139">
                  <c:v>59831</c:v>
                </c:pt>
                <c:pt idx="140">
                  <c:v>59590</c:v>
                </c:pt>
                <c:pt idx="141">
                  <c:v>46583</c:v>
                </c:pt>
                <c:pt idx="142">
                  <c:v>23105</c:v>
                </c:pt>
                <c:pt idx="143">
                  <c:v>52918</c:v>
                </c:pt>
                <c:pt idx="144">
                  <c:v>60379</c:v>
                </c:pt>
                <c:pt idx="145">
                  <c:v>57080</c:v>
                </c:pt>
                <c:pt idx="146">
                  <c:v>55761</c:v>
                </c:pt>
                <c:pt idx="147">
                  <c:v>57616</c:v>
                </c:pt>
                <c:pt idx="148">
                  <c:v>47326</c:v>
                </c:pt>
                <c:pt idx="149">
                  <c:v>27199</c:v>
                </c:pt>
                <c:pt idx="150">
                  <c:v>47790</c:v>
                </c:pt>
                <c:pt idx="151">
                  <c:v>53604</c:v>
                </c:pt>
                <c:pt idx="152">
                  <c:v>50501</c:v>
                </c:pt>
                <c:pt idx="153">
                  <c:v>55671</c:v>
                </c:pt>
                <c:pt idx="154">
                  <c:v>44335</c:v>
                </c:pt>
                <c:pt idx="155">
                  <c:v>26472</c:v>
                </c:pt>
                <c:pt idx="156">
                  <c:v>22755</c:v>
                </c:pt>
                <c:pt idx="157">
                  <c:v>54542</c:v>
                </c:pt>
                <c:pt idx="158">
                  <c:v>52788</c:v>
                </c:pt>
                <c:pt idx="159">
                  <c:v>62128</c:v>
                </c:pt>
                <c:pt idx="160">
                  <c:v>70881</c:v>
                </c:pt>
                <c:pt idx="161">
                  <c:v>69626</c:v>
                </c:pt>
                <c:pt idx="162">
                  <c:v>35585</c:v>
                </c:pt>
                <c:pt idx="163">
                  <c:v>30287</c:v>
                </c:pt>
                <c:pt idx="164">
                  <c:v>58173</c:v>
                </c:pt>
                <c:pt idx="165">
                  <c:v>62832</c:v>
                </c:pt>
                <c:pt idx="166">
                  <c:v>59110</c:v>
                </c:pt>
                <c:pt idx="167">
                  <c:v>64018</c:v>
                </c:pt>
                <c:pt idx="168">
                  <c:v>76775</c:v>
                </c:pt>
                <c:pt idx="169">
                  <c:v>28295</c:v>
                </c:pt>
                <c:pt idx="170">
                  <c:v>32805</c:v>
                </c:pt>
                <c:pt idx="171">
                  <c:v>57952</c:v>
                </c:pt>
                <c:pt idx="172">
                  <c:v>62524</c:v>
                </c:pt>
                <c:pt idx="173">
                  <c:v>65962</c:v>
                </c:pt>
                <c:pt idx="174">
                  <c:v>63866</c:v>
                </c:pt>
                <c:pt idx="175">
                  <c:v>78244</c:v>
                </c:pt>
                <c:pt idx="176">
                  <c:v>30521</c:v>
                </c:pt>
                <c:pt idx="177">
                  <c:v>32572</c:v>
                </c:pt>
                <c:pt idx="178">
                  <c:v>61131</c:v>
                </c:pt>
                <c:pt idx="179">
                  <c:v>63612</c:v>
                </c:pt>
                <c:pt idx="180">
                  <c:v>70131</c:v>
                </c:pt>
                <c:pt idx="181">
                  <c:v>67350</c:v>
                </c:pt>
                <c:pt idx="182">
                  <c:v>60466</c:v>
                </c:pt>
                <c:pt idx="183">
                  <c:v>29966</c:v>
                </c:pt>
                <c:pt idx="184">
                  <c:v>29309</c:v>
                </c:pt>
                <c:pt idx="185">
                  <c:v>52437</c:v>
                </c:pt>
                <c:pt idx="186">
                  <c:v>53862</c:v>
                </c:pt>
                <c:pt idx="187">
                  <c:v>57398</c:v>
                </c:pt>
                <c:pt idx="188">
                  <c:v>59909</c:v>
                </c:pt>
                <c:pt idx="189">
                  <c:v>57101</c:v>
                </c:pt>
                <c:pt idx="190">
                  <c:v>32325</c:v>
                </c:pt>
                <c:pt idx="191">
                  <c:v>23844</c:v>
                </c:pt>
                <c:pt idx="192">
                  <c:v>54037</c:v>
                </c:pt>
                <c:pt idx="193">
                  <c:v>63549</c:v>
                </c:pt>
                <c:pt idx="194">
                  <c:v>61969</c:v>
                </c:pt>
                <c:pt idx="195">
                  <c:v>60959</c:v>
                </c:pt>
                <c:pt idx="196">
                  <c:v>60842</c:v>
                </c:pt>
                <c:pt idx="197">
                  <c:v>35090</c:v>
                </c:pt>
                <c:pt idx="198">
                  <c:v>29401</c:v>
                </c:pt>
                <c:pt idx="199">
                  <c:v>54962</c:v>
                </c:pt>
                <c:pt idx="200">
                  <c:v>62517</c:v>
                </c:pt>
                <c:pt idx="201">
                  <c:v>62961</c:v>
                </c:pt>
                <c:pt idx="202">
                  <c:v>61055</c:v>
                </c:pt>
                <c:pt idx="203">
                  <c:v>58624</c:v>
                </c:pt>
                <c:pt idx="204">
                  <c:v>27571</c:v>
                </c:pt>
                <c:pt idx="205">
                  <c:v>30750</c:v>
                </c:pt>
                <c:pt idx="206">
                  <c:v>53795</c:v>
                </c:pt>
                <c:pt idx="207">
                  <c:v>61241</c:v>
                </c:pt>
                <c:pt idx="208">
                  <c:v>62264</c:v>
                </c:pt>
                <c:pt idx="209">
                  <c:v>60583</c:v>
                </c:pt>
                <c:pt idx="210">
                  <c:v>57197</c:v>
                </c:pt>
                <c:pt idx="211">
                  <c:v>35269</c:v>
                </c:pt>
                <c:pt idx="212">
                  <c:v>29809</c:v>
                </c:pt>
                <c:pt idx="213">
                  <c:v>45695</c:v>
                </c:pt>
                <c:pt idx="214">
                  <c:v>61799</c:v>
                </c:pt>
                <c:pt idx="215">
                  <c:v>64027</c:v>
                </c:pt>
                <c:pt idx="216">
                  <c:v>54264</c:v>
                </c:pt>
                <c:pt idx="217">
                  <c:v>55797</c:v>
                </c:pt>
                <c:pt idx="218">
                  <c:v>33283</c:v>
                </c:pt>
                <c:pt idx="219">
                  <c:v>31020</c:v>
                </c:pt>
                <c:pt idx="220">
                  <c:v>51261</c:v>
                </c:pt>
                <c:pt idx="221">
                  <c:v>59009</c:v>
                </c:pt>
                <c:pt idx="222">
                  <c:v>61632</c:v>
                </c:pt>
                <c:pt idx="223">
                  <c:v>59912</c:v>
                </c:pt>
                <c:pt idx="224">
                  <c:v>62220</c:v>
                </c:pt>
                <c:pt idx="225">
                  <c:v>33178</c:v>
                </c:pt>
                <c:pt idx="226">
                  <c:v>28261</c:v>
                </c:pt>
                <c:pt idx="227">
                  <c:v>55544</c:v>
                </c:pt>
                <c:pt idx="228">
                  <c:v>62572</c:v>
                </c:pt>
                <c:pt idx="229">
                  <c:v>62613</c:v>
                </c:pt>
                <c:pt idx="230">
                  <c:v>60302</c:v>
                </c:pt>
                <c:pt idx="231">
                  <c:v>60385</c:v>
                </c:pt>
                <c:pt idx="232">
                  <c:v>31875</c:v>
                </c:pt>
                <c:pt idx="233">
                  <c:v>27006</c:v>
                </c:pt>
                <c:pt idx="234">
                  <c:v>56459</c:v>
                </c:pt>
                <c:pt idx="235">
                  <c:v>64677</c:v>
                </c:pt>
                <c:pt idx="236">
                  <c:v>64017</c:v>
                </c:pt>
                <c:pt idx="237">
                  <c:v>60987</c:v>
                </c:pt>
                <c:pt idx="238">
                  <c:v>71211</c:v>
                </c:pt>
                <c:pt idx="239">
                  <c:v>32994</c:v>
                </c:pt>
                <c:pt idx="240">
                  <c:v>31093</c:v>
                </c:pt>
                <c:pt idx="241">
                  <c:v>53580</c:v>
                </c:pt>
                <c:pt idx="242">
                  <c:v>57026</c:v>
                </c:pt>
                <c:pt idx="243">
                  <c:v>61367</c:v>
                </c:pt>
                <c:pt idx="244">
                  <c:v>60042</c:v>
                </c:pt>
                <c:pt idx="245">
                  <c:v>59947</c:v>
                </c:pt>
                <c:pt idx="246">
                  <c:v>45519</c:v>
                </c:pt>
                <c:pt idx="247">
                  <c:v>29570</c:v>
                </c:pt>
                <c:pt idx="248">
                  <c:v>53345</c:v>
                </c:pt>
                <c:pt idx="249">
                  <c:v>58191</c:v>
                </c:pt>
                <c:pt idx="250">
                  <c:v>67761</c:v>
                </c:pt>
                <c:pt idx="251">
                  <c:v>70751</c:v>
                </c:pt>
                <c:pt idx="252">
                  <c:v>71640</c:v>
                </c:pt>
                <c:pt idx="253">
                  <c:v>36308</c:v>
                </c:pt>
                <c:pt idx="254">
                  <c:v>33583</c:v>
                </c:pt>
                <c:pt idx="255">
                  <c:v>59222</c:v>
                </c:pt>
                <c:pt idx="256">
                  <c:v>65212</c:v>
                </c:pt>
                <c:pt idx="257">
                  <c:v>69999</c:v>
                </c:pt>
                <c:pt idx="258">
                  <c:v>72151</c:v>
                </c:pt>
                <c:pt idx="259">
                  <c:v>73648</c:v>
                </c:pt>
                <c:pt idx="260">
                  <c:v>42340</c:v>
                </c:pt>
                <c:pt idx="261">
                  <c:v>35006</c:v>
                </c:pt>
                <c:pt idx="262">
                  <c:v>56164</c:v>
                </c:pt>
                <c:pt idx="263">
                  <c:v>61991</c:v>
                </c:pt>
                <c:pt idx="264">
                  <c:v>66270</c:v>
                </c:pt>
                <c:pt idx="265">
                  <c:v>76937</c:v>
                </c:pt>
                <c:pt idx="266">
                  <c:v>65800</c:v>
                </c:pt>
                <c:pt idx="267">
                  <c:v>35663</c:v>
                </c:pt>
                <c:pt idx="268">
                  <c:v>32051</c:v>
                </c:pt>
                <c:pt idx="269">
                  <c:v>57706</c:v>
                </c:pt>
                <c:pt idx="270">
                  <c:v>64366</c:v>
                </c:pt>
                <c:pt idx="271">
                  <c:v>70810</c:v>
                </c:pt>
                <c:pt idx="272">
                  <c:v>65617</c:v>
                </c:pt>
                <c:pt idx="273">
                  <c:v>70894</c:v>
                </c:pt>
                <c:pt idx="274">
                  <c:v>37568</c:v>
                </c:pt>
                <c:pt idx="275">
                  <c:v>29454</c:v>
                </c:pt>
                <c:pt idx="276">
                  <c:v>56296</c:v>
                </c:pt>
                <c:pt idx="277">
                  <c:v>27322</c:v>
                </c:pt>
                <c:pt idx="278">
                  <c:v>58562</c:v>
                </c:pt>
                <c:pt idx="279">
                  <c:v>69466</c:v>
                </c:pt>
                <c:pt idx="280">
                  <c:v>71817</c:v>
                </c:pt>
                <c:pt idx="281">
                  <c:v>33370</c:v>
                </c:pt>
                <c:pt idx="282">
                  <c:v>33317</c:v>
                </c:pt>
                <c:pt idx="283">
                  <c:v>57928</c:v>
                </c:pt>
                <c:pt idx="284">
                  <c:v>69149</c:v>
                </c:pt>
                <c:pt idx="285">
                  <c:v>69628</c:v>
                </c:pt>
                <c:pt idx="286">
                  <c:v>68401</c:v>
                </c:pt>
                <c:pt idx="287">
                  <c:v>71998</c:v>
                </c:pt>
                <c:pt idx="288">
                  <c:v>35569</c:v>
                </c:pt>
                <c:pt idx="289">
                  <c:v>32515</c:v>
                </c:pt>
                <c:pt idx="290">
                  <c:v>59121</c:v>
                </c:pt>
                <c:pt idx="291">
                  <c:v>67836</c:v>
                </c:pt>
                <c:pt idx="292">
                  <c:v>66245</c:v>
                </c:pt>
                <c:pt idx="293">
                  <c:v>69784</c:v>
                </c:pt>
                <c:pt idx="294">
                  <c:v>61887</c:v>
                </c:pt>
                <c:pt idx="295">
                  <c:v>32036</c:v>
                </c:pt>
                <c:pt idx="296">
                  <c:v>33101</c:v>
                </c:pt>
                <c:pt idx="297">
                  <c:v>56469</c:v>
                </c:pt>
                <c:pt idx="298">
                  <c:v>61001</c:v>
                </c:pt>
                <c:pt idx="299">
                  <c:v>70394</c:v>
                </c:pt>
                <c:pt idx="300">
                  <c:v>65163</c:v>
                </c:pt>
                <c:pt idx="301">
                  <c:v>63153</c:v>
                </c:pt>
                <c:pt idx="302">
                  <c:v>29444</c:v>
                </c:pt>
                <c:pt idx="303">
                  <c:v>30731</c:v>
                </c:pt>
                <c:pt idx="304">
                  <c:v>58076</c:v>
                </c:pt>
                <c:pt idx="305">
                  <c:v>63115</c:v>
                </c:pt>
                <c:pt idx="306">
                  <c:v>62946</c:v>
                </c:pt>
                <c:pt idx="307">
                  <c:v>64081</c:v>
                </c:pt>
                <c:pt idx="308">
                  <c:v>64571</c:v>
                </c:pt>
                <c:pt idx="309">
                  <c:v>28457</c:v>
                </c:pt>
                <c:pt idx="310">
                  <c:v>31183</c:v>
                </c:pt>
                <c:pt idx="311">
                  <c:v>59530</c:v>
                </c:pt>
                <c:pt idx="312">
                  <c:v>62777</c:v>
                </c:pt>
                <c:pt idx="313">
                  <c:v>62663</c:v>
                </c:pt>
                <c:pt idx="314">
                  <c:v>65103</c:v>
                </c:pt>
                <c:pt idx="315">
                  <c:v>59603</c:v>
                </c:pt>
                <c:pt idx="316">
                  <c:v>29894</c:v>
                </c:pt>
                <c:pt idx="317">
                  <c:v>25543</c:v>
                </c:pt>
                <c:pt idx="318">
                  <c:v>55975</c:v>
                </c:pt>
                <c:pt idx="319">
                  <c:v>56184</c:v>
                </c:pt>
                <c:pt idx="320">
                  <c:v>74793</c:v>
                </c:pt>
                <c:pt idx="321">
                  <c:v>62457</c:v>
                </c:pt>
                <c:pt idx="322">
                  <c:v>61913</c:v>
                </c:pt>
                <c:pt idx="323">
                  <c:v>27674</c:v>
                </c:pt>
                <c:pt idx="324">
                  <c:v>28130</c:v>
                </c:pt>
                <c:pt idx="325">
                  <c:v>58196</c:v>
                </c:pt>
                <c:pt idx="326">
                  <c:v>63459</c:v>
                </c:pt>
                <c:pt idx="327">
                  <c:v>67128</c:v>
                </c:pt>
                <c:pt idx="328">
                  <c:v>63506</c:v>
                </c:pt>
                <c:pt idx="329">
                  <c:v>62888</c:v>
                </c:pt>
                <c:pt idx="330">
                  <c:v>29687</c:v>
                </c:pt>
                <c:pt idx="331">
                  <c:v>31003</c:v>
                </c:pt>
                <c:pt idx="332">
                  <c:v>55457</c:v>
                </c:pt>
                <c:pt idx="333">
                  <c:v>60775</c:v>
                </c:pt>
                <c:pt idx="334">
                  <c:v>61692</c:v>
                </c:pt>
                <c:pt idx="335">
                  <c:v>66997</c:v>
                </c:pt>
                <c:pt idx="336">
                  <c:v>62776</c:v>
                </c:pt>
                <c:pt idx="337">
                  <c:v>30859</c:v>
                </c:pt>
                <c:pt idx="338">
                  <c:v>28438</c:v>
                </c:pt>
                <c:pt idx="339">
                  <c:v>60132</c:v>
                </c:pt>
                <c:pt idx="340">
                  <c:v>65004</c:v>
                </c:pt>
                <c:pt idx="341">
                  <c:v>65713</c:v>
                </c:pt>
                <c:pt idx="342">
                  <c:v>63472</c:v>
                </c:pt>
                <c:pt idx="343">
                  <c:v>66272</c:v>
                </c:pt>
                <c:pt idx="344">
                  <c:v>34623</c:v>
                </c:pt>
                <c:pt idx="345">
                  <c:v>28577</c:v>
                </c:pt>
                <c:pt idx="346">
                  <c:v>57787</c:v>
                </c:pt>
                <c:pt idx="347">
                  <c:v>64543</c:v>
                </c:pt>
                <c:pt idx="348">
                  <c:v>64748</c:v>
                </c:pt>
                <c:pt idx="349">
                  <c:v>65749</c:v>
                </c:pt>
                <c:pt idx="350">
                  <c:v>70044</c:v>
                </c:pt>
                <c:pt idx="351">
                  <c:v>33385</c:v>
                </c:pt>
                <c:pt idx="352">
                  <c:v>31732</c:v>
                </c:pt>
                <c:pt idx="353">
                  <c:v>60118</c:v>
                </c:pt>
                <c:pt idx="354">
                  <c:v>65163</c:v>
                </c:pt>
                <c:pt idx="355">
                  <c:v>68780</c:v>
                </c:pt>
                <c:pt idx="356">
                  <c:v>62300</c:v>
                </c:pt>
                <c:pt idx="357">
                  <c:v>70755</c:v>
                </c:pt>
                <c:pt idx="358">
                  <c:v>35942</c:v>
                </c:pt>
                <c:pt idx="359">
                  <c:v>32052</c:v>
                </c:pt>
                <c:pt idx="360">
                  <c:v>59307</c:v>
                </c:pt>
                <c:pt idx="361">
                  <c:v>67499</c:v>
                </c:pt>
                <c:pt idx="362">
                  <c:v>65172</c:v>
                </c:pt>
                <c:pt idx="363">
                  <c:v>64399</c:v>
                </c:pt>
                <c:pt idx="364">
                  <c:v>63929</c:v>
                </c:pt>
                <c:pt idx="365">
                  <c:v>30341</c:v>
                </c:pt>
                <c:pt idx="366">
                  <c:v>30808</c:v>
                </c:pt>
                <c:pt idx="367">
                  <c:v>58417</c:v>
                </c:pt>
                <c:pt idx="368">
                  <c:v>67958</c:v>
                </c:pt>
                <c:pt idx="369">
                  <c:v>66029</c:v>
                </c:pt>
                <c:pt idx="370">
                  <c:v>64329</c:v>
                </c:pt>
                <c:pt idx="371">
                  <c:v>67583</c:v>
                </c:pt>
                <c:pt idx="372">
                  <c:v>35610</c:v>
                </c:pt>
                <c:pt idx="373">
                  <c:v>27007</c:v>
                </c:pt>
                <c:pt idx="374">
                  <c:v>55448</c:v>
                </c:pt>
                <c:pt idx="375">
                  <c:v>35831</c:v>
                </c:pt>
                <c:pt idx="376">
                  <c:v>56400</c:v>
                </c:pt>
                <c:pt idx="377">
                  <c:v>67060</c:v>
                </c:pt>
                <c:pt idx="378">
                  <c:v>69266</c:v>
                </c:pt>
                <c:pt idx="379">
                  <c:v>31464</c:v>
                </c:pt>
                <c:pt idx="380">
                  <c:v>31963</c:v>
                </c:pt>
                <c:pt idx="381">
                  <c:v>61250</c:v>
                </c:pt>
                <c:pt idx="382">
                  <c:v>67697</c:v>
                </c:pt>
                <c:pt idx="383">
                  <c:v>72604</c:v>
                </c:pt>
                <c:pt idx="384">
                  <c:v>74482</c:v>
                </c:pt>
                <c:pt idx="385">
                  <c:v>78956</c:v>
                </c:pt>
                <c:pt idx="386">
                  <c:v>28848</c:v>
                </c:pt>
                <c:pt idx="387">
                  <c:v>30838</c:v>
                </c:pt>
                <c:pt idx="388">
                  <c:v>61359</c:v>
                </c:pt>
                <c:pt idx="389">
                  <c:v>68161</c:v>
                </c:pt>
                <c:pt idx="390">
                  <c:v>70230</c:v>
                </c:pt>
                <c:pt idx="391">
                  <c:v>73252</c:v>
                </c:pt>
                <c:pt idx="392">
                  <c:v>66919</c:v>
                </c:pt>
                <c:pt idx="393">
                  <c:v>30442</c:v>
                </c:pt>
                <c:pt idx="394">
                  <c:v>31262</c:v>
                </c:pt>
                <c:pt idx="395">
                  <c:v>60975</c:v>
                </c:pt>
                <c:pt idx="396">
                  <c:v>62633</c:v>
                </c:pt>
                <c:pt idx="397">
                  <c:v>65687</c:v>
                </c:pt>
                <c:pt idx="398">
                  <c:v>69033</c:v>
                </c:pt>
                <c:pt idx="399">
                  <c:v>68228</c:v>
                </c:pt>
                <c:pt idx="400">
                  <c:v>31816</c:v>
                </c:pt>
                <c:pt idx="401">
                  <c:v>31123</c:v>
                </c:pt>
                <c:pt idx="402">
                  <c:v>55154</c:v>
                </c:pt>
                <c:pt idx="403">
                  <c:v>65104</c:v>
                </c:pt>
                <c:pt idx="404">
                  <c:v>65903</c:v>
                </c:pt>
                <c:pt idx="405">
                  <c:v>68671</c:v>
                </c:pt>
                <c:pt idx="406">
                  <c:v>63106</c:v>
                </c:pt>
                <c:pt idx="407">
                  <c:v>27659</c:v>
                </c:pt>
                <c:pt idx="408">
                  <c:v>30299</c:v>
                </c:pt>
                <c:pt idx="409">
                  <c:v>59899</c:v>
                </c:pt>
                <c:pt idx="410">
                  <c:v>63824</c:v>
                </c:pt>
                <c:pt idx="411">
                  <c:v>71442</c:v>
                </c:pt>
                <c:pt idx="412">
                  <c:v>73278</c:v>
                </c:pt>
                <c:pt idx="413">
                  <c:v>67965</c:v>
                </c:pt>
                <c:pt idx="414">
                  <c:v>30615</c:v>
                </c:pt>
                <c:pt idx="415">
                  <c:v>31365</c:v>
                </c:pt>
                <c:pt idx="416">
                  <c:v>59828</c:v>
                </c:pt>
                <c:pt idx="417">
                  <c:v>68777</c:v>
                </c:pt>
                <c:pt idx="418">
                  <c:v>69371</c:v>
                </c:pt>
                <c:pt idx="419">
                  <c:v>67414</c:v>
                </c:pt>
                <c:pt idx="420">
                  <c:v>76463</c:v>
                </c:pt>
                <c:pt idx="421">
                  <c:v>30233</c:v>
                </c:pt>
                <c:pt idx="422">
                  <c:v>25388</c:v>
                </c:pt>
                <c:pt idx="423">
                  <c:v>63674</c:v>
                </c:pt>
                <c:pt idx="424">
                  <c:v>65427</c:v>
                </c:pt>
                <c:pt idx="425">
                  <c:v>68263</c:v>
                </c:pt>
                <c:pt idx="426">
                  <c:v>77544</c:v>
                </c:pt>
                <c:pt idx="427">
                  <c:v>68248</c:v>
                </c:pt>
                <c:pt idx="428">
                  <c:v>40777</c:v>
                </c:pt>
                <c:pt idx="429">
                  <c:v>29493</c:v>
                </c:pt>
                <c:pt idx="430">
                  <c:v>59511</c:v>
                </c:pt>
                <c:pt idx="431">
                  <c:v>68958</c:v>
                </c:pt>
                <c:pt idx="432">
                  <c:v>70164</c:v>
                </c:pt>
                <c:pt idx="433">
                  <c:v>76379</c:v>
                </c:pt>
                <c:pt idx="434">
                  <c:v>64414</c:v>
                </c:pt>
                <c:pt idx="435">
                  <c:v>37591</c:v>
                </c:pt>
                <c:pt idx="436">
                  <c:v>28046</c:v>
                </c:pt>
                <c:pt idx="437">
                  <c:v>64190</c:v>
                </c:pt>
                <c:pt idx="438">
                  <c:v>65894</c:v>
                </c:pt>
                <c:pt idx="439">
                  <c:v>68921</c:v>
                </c:pt>
                <c:pt idx="440">
                  <c:v>63263</c:v>
                </c:pt>
                <c:pt idx="441">
                  <c:v>69626</c:v>
                </c:pt>
                <c:pt idx="442">
                  <c:v>59377</c:v>
                </c:pt>
                <c:pt idx="443">
                  <c:v>31024</c:v>
                </c:pt>
                <c:pt idx="444">
                  <c:v>66344</c:v>
                </c:pt>
                <c:pt idx="445">
                  <c:v>64853</c:v>
                </c:pt>
                <c:pt idx="446">
                  <c:v>59778</c:v>
                </c:pt>
                <c:pt idx="447">
                  <c:v>56405</c:v>
                </c:pt>
                <c:pt idx="448">
                  <c:v>67437</c:v>
                </c:pt>
                <c:pt idx="449">
                  <c:v>58960</c:v>
                </c:pt>
                <c:pt idx="450">
                  <c:v>32637</c:v>
                </c:pt>
                <c:pt idx="451">
                  <c:v>71703</c:v>
                </c:pt>
                <c:pt idx="452">
                  <c:v>72619</c:v>
                </c:pt>
                <c:pt idx="453">
                  <c:v>73305</c:v>
                </c:pt>
                <c:pt idx="454">
                  <c:v>72056</c:v>
                </c:pt>
                <c:pt idx="455">
                  <c:v>65504</c:v>
                </c:pt>
                <c:pt idx="456">
                  <c:v>47149</c:v>
                </c:pt>
                <c:pt idx="457">
                  <c:v>29932</c:v>
                </c:pt>
                <c:pt idx="458">
                  <c:v>56264</c:v>
                </c:pt>
                <c:pt idx="459">
                  <c:v>63525</c:v>
                </c:pt>
                <c:pt idx="460">
                  <c:v>63968</c:v>
                </c:pt>
                <c:pt idx="461">
                  <c:v>66484</c:v>
                </c:pt>
                <c:pt idx="462">
                  <c:v>42020</c:v>
                </c:pt>
                <c:pt idx="463">
                  <c:v>18247</c:v>
                </c:pt>
                <c:pt idx="464">
                  <c:v>28868</c:v>
                </c:pt>
                <c:pt idx="465">
                  <c:v>58130</c:v>
                </c:pt>
                <c:pt idx="466">
                  <c:v>57720</c:v>
                </c:pt>
                <c:pt idx="467">
                  <c:v>71381</c:v>
                </c:pt>
                <c:pt idx="468">
                  <c:v>73857</c:v>
                </c:pt>
                <c:pt idx="469">
                  <c:v>76912</c:v>
                </c:pt>
                <c:pt idx="470">
                  <c:v>37654</c:v>
                </c:pt>
                <c:pt idx="471">
                  <c:v>27990</c:v>
                </c:pt>
                <c:pt idx="472">
                  <c:v>64043</c:v>
                </c:pt>
                <c:pt idx="473">
                  <c:v>78333</c:v>
                </c:pt>
                <c:pt idx="474">
                  <c:v>77882</c:v>
                </c:pt>
                <c:pt idx="475">
                  <c:v>72595</c:v>
                </c:pt>
                <c:pt idx="476">
                  <c:v>71837</c:v>
                </c:pt>
                <c:pt idx="477">
                  <c:v>37342</c:v>
                </c:pt>
                <c:pt idx="478">
                  <c:v>26928</c:v>
                </c:pt>
                <c:pt idx="479">
                  <c:v>70183</c:v>
                </c:pt>
                <c:pt idx="480">
                  <c:v>70557</c:v>
                </c:pt>
                <c:pt idx="481">
                  <c:v>73993</c:v>
                </c:pt>
                <c:pt idx="482">
                  <c:v>74220</c:v>
                </c:pt>
                <c:pt idx="483">
                  <c:v>76819</c:v>
                </c:pt>
                <c:pt idx="484">
                  <c:v>31186</c:v>
                </c:pt>
                <c:pt idx="485">
                  <c:v>32886</c:v>
                </c:pt>
                <c:pt idx="486">
                  <c:v>61629</c:v>
                </c:pt>
                <c:pt idx="487">
                  <c:v>68192</c:v>
                </c:pt>
                <c:pt idx="488">
                  <c:v>67726</c:v>
                </c:pt>
                <c:pt idx="489">
                  <c:v>34493</c:v>
                </c:pt>
                <c:pt idx="490">
                  <c:v>34937</c:v>
                </c:pt>
                <c:pt idx="491">
                  <c:v>27962</c:v>
                </c:pt>
                <c:pt idx="492">
                  <c:v>31815</c:v>
                </c:pt>
                <c:pt idx="493">
                  <c:v>71077</c:v>
                </c:pt>
                <c:pt idx="494">
                  <c:v>65790</c:v>
                </c:pt>
                <c:pt idx="495">
                  <c:v>72383</c:v>
                </c:pt>
                <c:pt idx="496">
                  <c:v>33118</c:v>
                </c:pt>
                <c:pt idx="497">
                  <c:v>37015</c:v>
                </c:pt>
                <c:pt idx="498">
                  <c:v>42507</c:v>
                </c:pt>
                <c:pt idx="499">
                  <c:v>28874</c:v>
                </c:pt>
                <c:pt idx="500">
                  <c:v>67069</c:v>
                </c:pt>
                <c:pt idx="501">
                  <c:v>77350</c:v>
                </c:pt>
                <c:pt idx="502">
                  <c:v>79484</c:v>
                </c:pt>
                <c:pt idx="503">
                  <c:v>78536</c:v>
                </c:pt>
                <c:pt idx="504">
                  <c:v>75586</c:v>
                </c:pt>
                <c:pt idx="505">
                  <c:v>50607</c:v>
                </c:pt>
                <c:pt idx="506">
                  <c:v>25103</c:v>
                </c:pt>
                <c:pt idx="507">
                  <c:v>67585</c:v>
                </c:pt>
                <c:pt idx="508">
                  <c:v>67282</c:v>
                </c:pt>
                <c:pt idx="509">
                  <c:v>77192</c:v>
                </c:pt>
                <c:pt idx="510">
                  <c:v>71509</c:v>
                </c:pt>
                <c:pt idx="511">
                  <c:v>73171</c:v>
                </c:pt>
                <c:pt idx="512">
                  <c:v>36542</c:v>
                </c:pt>
                <c:pt idx="513">
                  <c:v>34056</c:v>
                </c:pt>
                <c:pt idx="514">
                  <c:v>65670</c:v>
                </c:pt>
                <c:pt idx="515">
                  <c:v>69985</c:v>
                </c:pt>
                <c:pt idx="516">
                  <c:v>74652</c:v>
                </c:pt>
                <c:pt idx="517">
                  <c:v>68766</c:v>
                </c:pt>
                <c:pt idx="518">
                  <c:v>71955</c:v>
                </c:pt>
                <c:pt idx="519">
                  <c:v>34038</c:v>
                </c:pt>
                <c:pt idx="520">
                  <c:v>30881</c:v>
                </c:pt>
                <c:pt idx="521">
                  <c:v>62701</c:v>
                </c:pt>
                <c:pt idx="522">
                  <c:v>67022</c:v>
                </c:pt>
                <c:pt idx="523">
                  <c:v>71355</c:v>
                </c:pt>
                <c:pt idx="524">
                  <c:v>69509</c:v>
                </c:pt>
                <c:pt idx="525">
                  <c:v>71767</c:v>
                </c:pt>
                <c:pt idx="526">
                  <c:v>31467</c:v>
                </c:pt>
                <c:pt idx="527">
                  <c:v>26887</c:v>
                </c:pt>
                <c:pt idx="528">
                  <c:v>68844</c:v>
                </c:pt>
                <c:pt idx="529">
                  <c:v>71944</c:v>
                </c:pt>
                <c:pt idx="530">
                  <c:v>75521</c:v>
                </c:pt>
                <c:pt idx="531">
                  <c:v>71633</c:v>
                </c:pt>
                <c:pt idx="532">
                  <c:v>76031</c:v>
                </c:pt>
                <c:pt idx="533">
                  <c:v>31769</c:v>
                </c:pt>
                <c:pt idx="534">
                  <c:v>31743</c:v>
                </c:pt>
                <c:pt idx="535">
                  <c:v>63628</c:v>
                </c:pt>
                <c:pt idx="536">
                  <c:v>62893</c:v>
                </c:pt>
                <c:pt idx="537">
                  <c:v>73885</c:v>
                </c:pt>
                <c:pt idx="538">
                  <c:v>75022</c:v>
                </c:pt>
                <c:pt idx="539">
                  <c:v>69036</c:v>
                </c:pt>
                <c:pt idx="540">
                  <c:v>36409</c:v>
                </c:pt>
                <c:pt idx="541">
                  <c:v>29966</c:v>
                </c:pt>
                <c:pt idx="542">
                  <c:v>62788</c:v>
                </c:pt>
                <c:pt idx="543">
                  <c:v>67373</c:v>
                </c:pt>
                <c:pt idx="544">
                  <c:v>75221</c:v>
                </c:pt>
                <c:pt idx="545">
                  <c:v>71394</c:v>
                </c:pt>
                <c:pt idx="546">
                  <c:v>71867</c:v>
                </c:pt>
                <c:pt idx="547">
                  <c:v>35705</c:v>
                </c:pt>
                <c:pt idx="548">
                  <c:v>30952</c:v>
                </c:pt>
                <c:pt idx="549">
                  <c:v>64483</c:v>
                </c:pt>
                <c:pt idx="550">
                  <c:v>62945</c:v>
                </c:pt>
                <c:pt idx="551">
                  <c:v>75446</c:v>
                </c:pt>
                <c:pt idx="552">
                  <c:v>72371</c:v>
                </c:pt>
                <c:pt idx="553">
                  <c:v>17319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'Daily Velocity'!D3</c:f>
              <c:strCache>
                <c:ptCount val="1"/>
                <c:pt idx="0">
                  <c:v>7-Day Moving Avg</c:v>
                </c:pt>
              </c:strCache>
            </c:strRef>
          </c:tx>
          <c:spPr>
            <a:solidFill>
              <a:srgbClr val="2f5496"/>
            </a:solidFill>
            <a:ln w="21960">
              <a:solidFill>
                <a:srgbClr val="2f549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196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Velocity'!$A$4:$A$557</c:f>
              <c:strCache>
                <c:ptCount val="554"/>
                <c:pt idx="0">
                  <c:v>2024-08-22</c:v>
                </c:pt>
                <c:pt idx="1">
                  <c:v>2024-08-23</c:v>
                </c:pt>
                <c:pt idx="2">
                  <c:v>2024-08-24</c:v>
                </c:pt>
                <c:pt idx="3">
                  <c:v>2024-08-25</c:v>
                </c:pt>
                <c:pt idx="4">
                  <c:v>2024-08-26</c:v>
                </c:pt>
                <c:pt idx="5">
                  <c:v>2024-08-27</c:v>
                </c:pt>
                <c:pt idx="6">
                  <c:v>2024-08-28</c:v>
                </c:pt>
                <c:pt idx="7">
                  <c:v>2024-08-29</c:v>
                </c:pt>
                <c:pt idx="8">
                  <c:v>2024-08-30</c:v>
                </c:pt>
                <c:pt idx="9">
                  <c:v>2024-08-31</c:v>
                </c:pt>
                <c:pt idx="10">
                  <c:v>2024-09-01</c:v>
                </c:pt>
                <c:pt idx="11">
                  <c:v>2024-09-02</c:v>
                </c:pt>
                <c:pt idx="12">
                  <c:v>2024-09-03</c:v>
                </c:pt>
                <c:pt idx="13">
                  <c:v>2024-09-04</c:v>
                </c:pt>
                <c:pt idx="14">
                  <c:v>2024-09-05</c:v>
                </c:pt>
                <c:pt idx="15">
                  <c:v>2024-09-06</c:v>
                </c:pt>
                <c:pt idx="16">
                  <c:v>2024-09-07</c:v>
                </c:pt>
                <c:pt idx="17">
                  <c:v>2024-09-08</c:v>
                </c:pt>
                <c:pt idx="18">
                  <c:v>2024-09-09</c:v>
                </c:pt>
                <c:pt idx="19">
                  <c:v>2024-09-10</c:v>
                </c:pt>
                <c:pt idx="20">
                  <c:v>2024-09-11</c:v>
                </c:pt>
                <c:pt idx="21">
                  <c:v>2024-09-12</c:v>
                </c:pt>
                <c:pt idx="22">
                  <c:v>2024-09-13</c:v>
                </c:pt>
                <c:pt idx="23">
                  <c:v>2024-09-14</c:v>
                </c:pt>
                <c:pt idx="24">
                  <c:v>2024-09-15</c:v>
                </c:pt>
                <c:pt idx="25">
                  <c:v>2024-09-16</c:v>
                </c:pt>
                <c:pt idx="26">
                  <c:v>2024-09-17</c:v>
                </c:pt>
                <c:pt idx="27">
                  <c:v>2024-09-18</c:v>
                </c:pt>
                <c:pt idx="28">
                  <c:v>2024-09-19</c:v>
                </c:pt>
                <c:pt idx="29">
                  <c:v>2024-09-20</c:v>
                </c:pt>
                <c:pt idx="30">
                  <c:v>2024-09-21</c:v>
                </c:pt>
                <c:pt idx="31">
                  <c:v>2024-09-22</c:v>
                </c:pt>
                <c:pt idx="32">
                  <c:v>2024-09-23</c:v>
                </c:pt>
                <c:pt idx="33">
                  <c:v>2024-09-24</c:v>
                </c:pt>
                <c:pt idx="34">
                  <c:v>2024-09-25</c:v>
                </c:pt>
                <c:pt idx="35">
                  <c:v>2024-09-26</c:v>
                </c:pt>
                <c:pt idx="36">
                  <c:v>2024-09-27</c:v>
                </c:pt>
                <c:pt idx="37">
                  <c:v>2024-09-28</c:v>
                </c:pt>
                <c:pt idx="38">
                  <c:v>2024-09-29</c:v>
                </c:pt>
                <c:pt idx="39">
                  <c:v>2024-09-30</c:v>
                </c:pt>
                <c:pt idx="40">
                  <c:v>2024-10-01</c:v>
                </c:pt>
                <c:pt idx="41">
                  <c:v>2024-10-02</c:v>
                </c:pt>
                <c:pt idx="42">
                  <c:v>2024-10-03</c:v>
                </c:pt>
                <c:pt idx="43">
                  <c:v>2024-10-04</c:v>
                </c:pt>
                <c:pt idx="44">
                  <c:v>2024-10-05</c:v>
                </c:pt>
                <c:pt idx="45">
                  <c:v>2024-10-06</c:v>
                </c:pt>
                <c:pt idx="46">
                  <c:v>2024-10-07</c:v>
                </c:pt>
                <c:pt idx="47">
                  <c:v>2024-10-08</c:v>
                </c:pt>
                <c:pt idx="48">
                  <c:v>2024-10-09</c:v>
                </c:pt>
                <c:pt idx="49">
                  <c:v>2024-10-10</c:v>
                </c:pt>
                <c:pt idx="50">
                  <c:v>2024-10-11</c:v>
                </c:pt>
                <c:pt idx="51">
                  <c:v>2024-10-12</c:v>
                </c:pt>
                <c:pt idx="52">
                  <c:v>2024-10-13</c:v>
                </c:pt>
                <c:pt idx="53">
                  <c:v>2024-10-14</c:v>
                </c:pt>
                <c:pt idx="54">
                  <c:v>2024-10-15</c:v>
                </c:pt>
                <c:pt idx="55">
                  <c:v>2024-10-16</c:v>
                </c:pt>
                <c:pt idx="56">
                  <c:v>2024-10-17</c:v>
                </c:pt>
                <c:pt idx="57">
                  <c:v>2024-10-18</c:v>
                </c:pt>
                <c:pt idx="58">
                  <c:v>2024-10-19</c:v>
                </c:pt>
                <c:pt idx="59">
                  <c:v>2024-10-20</c:v>
                </c:pt>
                <c:pt idx="60">
                  <c:v>2024-10-21</c:v>
                </c:pt>
                <c:pt idx="61">
                  <c:v>2024-10-22</c:v>
                </c:pt>
                <c:pt idx="62">
                  <c:v>2024-10-23</c:v>
                </c:pt>
                <c:pt idx="63">
                  <c:v>2024-10-24</c:v>
                </c:pt>
                <c:pt idx="64">
                  <c:v>2024-10-25</c:v>
                </c:pt>
                <c:pt idx="65">
                  <c:v>2024-10-26</c:v>
                </c:pt>
                <c:pt idx="66">
                  <c:v>2024-10-27</c:v>
                </c:pt>
                <c:pt idx="67">
                  <c:v>2024-10-28</c:v>
                </c:pt>
                <c:pt idx="68">
                  <c:v>2024-10-29</c:v>
                </c:pt>
                <c:pt idx="69">
                  <c:v>2024-10-30</c:v>
                </c:pt>
                <c:pt idx="70">
                  <c:v>2024-10-31</c:v>
                </c:pt>
                <c:pt idx="71">
                  <c:v>2024-11-01</c:v>
                </c:pt>
                <c:pt idx="72">
                  <c:v>2024-11-02</c:v>
                </c:pt>
                <c:pt idx="73">
                  <c:v>2024-11-03</c:v>
                </c:pt>
                <c:pt idx="74">
                  <c:v>2024-11-04</c:v>
                </c:pt>
                <c:pt idx="75">
                  <c:v>2024-11-05</c:v>
                </c:pt>
                <c:pt idx="76">
                  <c:v>2024-11-06</c:v>
                </c:pt>
                <c:pt idx="77">
                  <c:v>2024-11-07</c:v>
                </c:pt>
                <c:pt idx="78">
                  <c:v>2024-11-08</c:v>
                </c:pt>
                <c:pt idx="79">
                  <c:v>2024-11-09</c:v>
                </c:pt>
                <c:pt idx="80">
                  <c:v>2024-11-10</c:v>
                </c:pt>
                <c:pt idx="81">
                  <c:v>2024-11-11</c:v>
                </c:pt>
                <c:pt idx="82">
                  <c:v>2024-11-12</c:v>
                </c:pt>
                <c:pt idx="83">
                  <c:v>2024-11-13</c:v>
                </c:pt>
                <c:pt idx="84">
                  <c:v>2024-11-14</c:v>
                </c:pt>
                <c:pt idx="85">
                  <c:v>2024-11-15</c:v>
                </c:pt>
                <c:pt idx="86">
                  <c:v>2024-11-16</c:v>
                </c:pt>
                <c:pt idx="87">
                  <c:v>2024-11-17</c:v>
                </c:pt>
                <c:pt idx="88">
                  <c:v>2024-11-18</c:v>
                </c:pt>
                <c:pt idx="89">
                  <c:v>2024-11-19</c:v>
                </c:pt>
                <c:pt idx="90">
                  <c:v>2024-11-20</c:v>
                </c:pt>
                <c:pt idx="91">
                  <c:v>2024-11-21</c:v>
                </c:pt>
                <c:pt idx="92">
                  <c:v>2024-11-22</c:v>
                </c:pt>
                <c:pt idx="93">
                  <c:v>2024-11-23</c:v>
                </c:pt>
                <c:pt idx="94">
                  <c:v>2024-11-24</c:v>
                </c:pt>
                <c:pt idx="95">
                  <c:v>2024-11-25</c:v>
                </c:pt>
                <c:pt idx="96">
                  <c:v>2024-11-26</c:v>
                </c:pt>
                <c:pt idx="97">
                  <c:v>2024-11-27</c:v>
                </c:pt>
                <c:pt idx="98">
                  <c:v>2024-11-28</c:v>
                </c:pt>
                <c:pt idx="99">
                  <c:v>2024-11-29</c:v>
                </c:pt>
                <c:pt idx="100">
                  <c:v>2024-11-30</c:v>
                </c:pt>
                <c:pt idx="101">
                  <c:v>2024-12-01</c:v>
                </c:pt>
                <c:pt idx="102">
                  <c:v>2024-12-02</c:v>
                </c:pt>
                <c:pt idx="103">
                  <c:v>2024-12-03</c:v>
                </c:pt>
                <c:pt idx="104">
                  <c:v>2024-12-04</c:v>
                </c:pt>
                <c:pt idx="105">
                  <c:v>2024-12-05</c:v>
                </c:pt>
                <c:pt idx="106">
                  <c:v>2024-12-06</c:v>
                </c:pt>
                <c:pt idx="107">
                  <c:v>2024-12-07</c:v>
                </c:pt>
                <c:pt idx="108">
                  <c:v>2024-12-08</c:v>
                </c:pt>
                <c:pt idx="109">
                  <c:v>2024-12-09</c:v>
                </c:pt>
                <c:pt idx="110">
                  <c:v>2024-12-10</c:v>
                </c:pt>
                <c:pt idx="111">
                  <c:v>2024-12-11</c:v>
                </c:pt>
                <c:pt idx="112">
                  <c:v>2024-12-12</c:v>
                </c:pt>
                <c:pt idx="113">
                  <c:v>2024-12-13</c:v>
                </c:pt>
                <c:pt idx="114">
                  <c:v>2024-12-14</c:v>
                </c:pt>
                <c:pt idx="115">
                  <c:v>2024-12-15</c:v>
                </c:pt>
                <c:pt idx="116">
                  <c:v>2024-12-16</c:v>
                </c:pt>
                <c:pt idx="117">
                  <c:v>2024-12-17</c:v>
                </c:pt>
                <c:pt idx="118">
                  <c:v>2024-12-18</c:v>
                </c:pt>
                <c:pt idx="119">
                  <c:v>2024-12-19</c:v>
                </c:pt>
                <c:pt idx="120">
                  <c:v>2024-12-20</c:v>
                </c:pt>
                <c:pt idx="121">
                  <c:v>2024-12-21</c:v>
                </c:pt>
                <c:pt idx="122">
                  <c:v>2024-12-22</c:v>
                </c:pt>
                <c:pt idx="123">
                  <c:v>2024-12-23</c:v>
                </c:pt>
                <c:pt idx="124">
                  <c:v>2024-12-24</c:v>
                </c:pt>
                <c:pt idx="125">
                  <c:v>2024-12-25</c:v>
                </c:pt>
                <c:pt idx="126">
                  <c:v>2024-12-26</c:v>
                </c:pt>
                <c:pt idx="127">
                  <c:v>2024-12-27</c:v>
                </c:pt>
                <c:pt idx="128">
                  <c:v>2024-12-28</c:v>
                </c:pt>
                <c:pt idx="129">
                  <c:v>2024-12-29</c:v>
                </c:pt>
                <c:pt idx="130">
                  <c:v>2024-12-30</c:v>
                </c:pt>
                <c:pt idx="131">
                  <c:v>2024-12-31</c:v>
                </c:pt>
                <c:pt idx="132">
                  <c:v>2025-01-01</c:v>
                </c:pt>
                <c:pt idx="133">
                  <c:v>2025-01-02</c:v>
                </c:pt>
                <c:pt idx="134">
                  <c:v>2025-01-03</c:v>
                </c:pt>
                <c:pt idx="135">
                  <c:v>2025-01-04</c:v>
                </c:pt>
                <c:pt idx="136">
                  <c:v>2025-01-05</c:v>
                </c:pt>
                <c:pt idx="137">
                  <c:v>2025-01-06</c:v>
                </c:pt>
                <c:pt idx="138">
                  <c:v>2025-01-07</c:v>
                </c:pt>
                <c:pt idx="139">
                  <c:v>2025-01-08</c:v>
                </c:pt>
                <c:pt idx="140">
                  <c:v>2025-01-09</c:v>
                </c:pt>
                <c:pt idx="141">
                  <c:v>2025-01-10</c:v>
                </c:pt>
                <c:pt idx="142">
                  <c:v>2025-01-11</c:v>
                </c:pt>
                <c:pt idx="143">
                  <c:v>2025-01-12</c:v>
                </c:pt>
                <c:pt idx="144">
                  <c:v>2025-01-13</c:v>
                </c:pt>
                <c:pt idx="145">
                  <c:v>2025-01-14</c:v>
                </c:pt>
                <c:pt idx="146">
                  <c:v>2025-01-15</c:v>
                </c:pt>
                <c:pt idx="147">
                  <c:v>2025-01-16</c:v>
                </c:pt>
                <c:pt idx="148">
                  <c:v>2025-01-17</c:v>
                </c:pt>
                <c:pt idx="149">
                  <c:v>2025-01-18</c:v>
                </c:pt>
                <c:pt idx="150">
                  <c:v>2025-01-19</c:v>
                </c:pt>
                <c:pt idx="151">
                  <c:v>2025-01-20</c:v>
                </c:pt>
                <c:pt idx="152">
                  <c:v>2025-01-21</c:v>
                </c:pt>
                <c:pt idx="153">
                  <c:v>2025-01-22</c:v>
                </c:pt>
                <c:pt idx="154">
                  <c:v>2025-01-23</c:v>
                </c:pt>
                <c:pt idx="155">
                  <c:v>2025-01-24</c:v>
                </c:pt>
                <c:pt idx="156">
                  <c:v>2025-01-25</c:v>
                </c:pt>
                <c:pt idx="157">
                  <c:v>2025-01-26</c:v>
                </c:pt>
                <c:pt idx="158">
                  <c:v>2025-01-27</c:v>
                </c:pt>
                <c:pt idx="159">
                  <c:v>2025-01-28</c:v>
                </c:pt>
                <c:pt idx="160">
                  <c:v>2025-01-29</c:v>
                </c:pt>
                <c:pt idx="161">
                  <c:v>2025-01-30</c:v>
                </c:pt>
                <c:pt idx="162">
                  <c:v>2025-01-31</c:v>
                </c:pt>
                <c:pt idx="163">
                  <c:v>2025-02-01</c:v>
                </c:pt>
                <c:pt idx="164">
                  <c:v>2025-02-02</c:v>
                </c:pt>
                <c:pt idx="165">
                  <c:v>2025-02-03</c:v>
                </c:pt>
                <c:pt idx="166">
                  <c:v>2025-02-04</c:v>
                </c:pt>
                <c:pt idx="167">
                  <c:v>2025-02-05</c:v>
                </c:pt>
                <c:pt idx="168">
                  <c:v>2025-02-06</c:v>
                </c:pt>
                <c:pt idx="169">
                  <c:v>2025-02-07</c:v>
                </c:pt>
                <c:pt idx="170">
                  <c:v>2025-02-08</c:v>
                </c:pt>
                <c:pt idx="171">
                  <c:v>2025-02-09</c:v>
                </c:pt>
                <c:pt idx="172">
                  <c:v>2025-02-10</c:v>
                </c:pt>
                <c:pt idx="173">
                  <c:v>2025-02-11</c:v>
                </c:pt>
                <c:pt idx="174">
                  <c:v>2025-02-12</c:v>
                </c:pt>
                <c:pt idx="175">
                  <c:v>2025-02-13</c:v>
                </c:pt>
                <c:pt idx="176">
                  <c:v>2025-02-14</c:v>
                </c:pt>
                <c:pt idx="177">
                  <c:v>2025-02-15</c:v>
                </c:pt>
                <c:pt idx="178">
                  <c:v>2025-02-16</c:v>
                </c:pt>
                <c:pt idx="179">
                  <c:v>2025-02-17</c:v>
                </c:pt>
                <c:pt idx="180">
                  <c:v>2025-02-18</c:v>
                </c:pt>
                <c:pt idx="181">
                  <c:v>2025-02-19</c:v>
                </c:pt>
                <c:pt idx="182">
                  <c:v>2025-02-20</c:v>
                </c:pt>
                <c:pt idx="183">
                  <c:v>2025-02-21</c:v>
                </c:pt>
                <c:pt idx="184">
                  <c:v>2025-02-22</c:v>
                </c:pt>
                <c:pt idx="185">
                  <c:v>2025-02-23</c:v>
                </c:pt>
                <c:pt idx="186">
                  <c:v>2025-02-24</c:v>
                </c:pt>
                <c:pt idx="187">
                  <c:v>2025-02-25</c:v>
                </c:pt>
                <c:pt idx="188">
                  <c:v>2025-02-26</c:v>
                </c:pt>
                <c:pt idx="189">
                  <c:v>2025-02-27</c:v>
                </c:pt>
                <c:pt idx="190">
                  <c:v>2025-02-28</c:v>
                </c:pt>
                <c:pt idx="191">
                  <c:v>2025-03-01</c:v>
                </c:pt>
                <c:pt idx="192">
                  <c:v>2025-03-02</c:v>
                </c:pt>
                <c:pt idx="193">
                  <c:v>2025-03-03</c:v>
                </c:pt>
                <c:pt idx="194">
                  <c:v>2025-03-04</c:v>
                </c:pt>
                <c:pt idx="195">
                  <c:v>2025-03-05</c:v>
                </c:pt>
                <c:pt idx="196">
                  <c:v>2025-03-06</c:v>
                </c:pt>
                <c:pt idx="197">
                  <c:v>2025-03-07</c:v>
                </c:pt>
                <c:pt idx="198">
                  <c:v>2025-03-08</c:v>
                </c:pt>
                <c:pt idx="199">
                  <c:v>2025-03-09</c:v>
                </c:pt>
                <c:pt idx="200">
                  <c:v>2025-03-10</c:v>
                </c:pt>
                <c:pt idx="201">
                  <c:v>2025-03-11</c:v>
                </c:pt>
                <c:pt idx="202">
                  <c:v>2025-03-12</c:v>
                </c:pt>
                <c:pt idx="203">
                  <c:v>2025-03-13</c:v>
                </c:pt>
                <c:pt idx="204">
                  <c:v>2025-03-14</c:v>
                </c:pt>
                <c:pt idx="205">
                  <c:v>2025-03-15</c:v>
                </c:pt>
                <c:pt idx="206">
                  <c:v>2025-03-16</c:v>
                </c:pt>
                <c:pt idx="207">
                  <c:v>2025-03-17</c:v>
                </c:pt>
                <c:pt idx="208">
                  <c:v>2025-03-18</c:v>
                </c:pt>
                <c:pt idx="209">
                  <c:v>2025-03-19</c:v>
                </c:pt>
                <c:pt idx="210">
                  <c:v>2025-03-20</c:v>
                </c:pt>
                <c:pt idx="211">
                  <c:v>2025-03-21</c:v>
                </c:pt>
                <c:pt idx="212">
                  <c:v>2025-03-22</c:v>
                </c:pt>
                <c:pt idx="213">
                  <c:v>2025-03-23</c:v>
                </c:pt>
                <c:pt idx="214">
                  <c:v>2025-03-24</c:v>
                </c:pt>
                <c:pt idx="215">
                  <c:v>2025-03-25</c:v>
                </c:pt>
                <c:pt idx="216">
                  <c:v>2025-03-26</c:v>
                </c:pt>
                <c:pt idx="217">
                  <c:v>2025-03-27</c:v>
                </c:pt>
                <c:pt idx="218">
                  <c:v>2025-03-28</c:v>
                </c:pt>
                <c:pt idx="219">
                  <c:v>2025-03-29</c:v>
                </c:pt>
                <c:pt idx="220">
                  <c:v>2025-03-30</c:v>
                </c:pt>
                <c:pt idx="221">
                  <c:v>2025-03-31</c:v>
                </c:pt>
                <c:pt idx="222">
                  <c:v>2025-04-01</c:v>
                </c:pt>
                <c:pt idx="223">
                  <c:v>2025-04-02</c:v>
                </c:pt>
                <c:pt idx="224">
                  <c:v>2025-04-03</c:v>
                </c:pt>
                <c:pt idx="225">
                  <c:v>2025-04-04</c:v>
                </c:pt>
                <c:pt idx="226">
                  <c:v>2025-04-05</c:v>
                </c:pt>
                <c:pt idx="227">
                  <c:v>2025-04-06</c:v>
                </c:pt>
                <c:pt idx="228">
                  <c:v>2025-04-07</c:v>
                </c:pt>
                <c:pt idx="229">
                  <c:v>2025-04-08</c:v>
                </c:pt>
                <c:pt idx="230">
                  <c:v>2025-04-09</c:v>
                </c:pt>
                <c:pt idx="231">
                  <c:v>2025-04-10</c:v>
                </c:pt>
                <c:pt idx="232">
                  <c:v>2025-04-11</c:v>
                </c:pt>
                <c:pt idx="233">
                  <c:v>2025-04-12</c:v>
                </c:pt>
                <c:pt idx="234">
                  <c:v>2025-04-13</c:v>
                </c:pt>
                <c:pt idx="235">
                  <c:v>2025-04-14</c:v>
                </c:pt>
                <c:pt idx="236">
                  <c:v>2025-04-15</c:v>
                </c:pt>
                <c:pt idx="237">
                  <c:v>2025-04-16</c:v>
                </c:pt>
                <c:pt idx="238">
                  <c:v>2025-04-17</c:v>
                </c:pt>
                <c:pt idx="239">
                  <c:v>2025-04-18</c:v>
                </c:pt>
                <c:pt idx="240">
                  <c:v>2025-04-19</c:v>
                </c:pt>
                <c:pt idx="241">
                  <c:v>2025-04-20</c:v>
                </c:pt>
                <c:pt idx="242">
                  <c:v>2025-04-21</c:v>
                </c:pt>
                <c:pt idx="243">
                  <c:v>2025-04-22</c:v>
                </c:pt>
                <c:pt idx="244">
                  <c:v>2025-04-23</c:v>
                </c:pt>
                <c:pt idx="245">
                  <c:v>2025-04-24</c:v>
                </c:pt>
                <c:pt idx="246">
                  <c:v>2025-04-25</c:v>
                </c:pt>
                <c:pt idx="247">
                  <c:v>2025-04-26</c:v>
                </c:pt>
                <c:pt idx="248">
                  <c:v>2025-04-27</c:v>
                </c:pt>
                <c:pt idx="249">
                  <c:v>2025-04-28</c:v>
                </c:pt>
                <c:pt idx="250">
                  <c:v>2025-04-29</c:v>
                </c:pt>
                <c:pt idx="251">
                  <c:v>2025-04-30</c:v>
                </c:pt>
                <c:pt idx="252">
                  <c:v>2025-05-01</c:v>
                </c:pt>
                <c:pt idx="253">
                  <c:v>2025-05-02</c:v>
                </c:pt>
                <c:pt idx="254">
                  <c:v>2025-05-03</c:v>
                </c:pt>
                <c:pt idx="255">
                  <c:v>2025-05-04</c:v>
                </c:pt>
                <c:pt idx="256">
                  <c:v>2025-05-05</c:v>
                </c:pt>
                <c:pt idx="257">
                  <c:v>2025-05-06</c:v>
                </c:pt>
                <c:pt idx="258">
                  <c:v>2025-05-07</c:v>
                </c:pt>
                <c:pt idx="259">
                  <c:v>2025-05-08</c:v>
                </c:pt>
                <c:pt idx="260">
                  <c:v>2025-05-09</c:v>
                </c:pt>
                <c:pt idx="261">
                  <c:v>2025-05-10</c:v>
                </c:pt>
                <c:pt idx="262">
                  <c:v>2025-05-11</c:v>
                </c:pt>
                <c:pt idx="263">
                  <c:v>2025-05-12</c:v>
                </c:pt>
                <c:pt idx="264">
                  <c:v>2025-05-13</c:v>
                </c:pt>
                <c:pt idx="265">
                  <c:v>2025-05-14</c:v>
                </c:pt>
                <c:pt idx="266">
                  <c:v>2025-05-15</c:v>
                </c:pt>
                <c:pt idx="267">
                  <c:v>2025-05-16</c:v>
                </c:pt>
                <c:pt idx="268">
                  <c:v>2025-05-17</c:v>
                </c:pt>
                <c:pt idx="269">
                  <c:v>2025-05-18</c:v>
                </c:pt>
                <c:pt idx="270">
                  <c:v>2025-05-19</c:v>
                </c:pt>
                <c:pt idx="271">
                  <c:v>2025-05-20</c:v>
                </c:pt>
                <c:pt idx="272">
                  <c:v>2025-05-21</c:v>
                </c:pt>
                <c:pt idx="273">
                  <c:v>2025-05-22</c:v>
                </c:pt>
                <c:pt idx="274">
                  <c:v>2025-05-23</c:v>
                </c:pt>
                <c:pt idx="275">
                  <c:v>2025-05-24</c:v>
                </c:pt>
                <c:pt idx="276">
                  <c:v>2025-05-25</c:v>
                </c:pt>
                <c:pt idx="277">
                  <c:v>2025-05-26</c:v>
                </c:pt>
                <c:pt idx="278">
                  <c:v>2025-05-27</c:v>
                </c:pt>
                <c:pt idx="279">
                  <c:v>2025-05-28</c:v>
                </c:pt>
                <c:pt idx="280">
                  <c:v>2025-05-29</c:v>
                </c:pt>
                <c:pt idx="281">
                  <c:v>2025-05-30</c:v>
                </c:pt>
                <c:pt idx="282">
                  <c:v>2025-05-31</c:v>
                </c:pt>
                <c:pt idx="283">
                  <c:v>2025-06-01</c:v>
                </c:pt>
                <c:pt idx="284">
                  <c:v>2025-06-02</c:v>
                </c:pt>
                <c:pt idx="285">
                  <c:v>2025-06-03</c:v>
                </c:pt>
                <c:pt idx="286">
                  <c:v>2025-06-04</c:v>
                </c:pt>
                <c:pt idx="287">
                  <c:v>2025-06-05</c:v>
                </c:pt>
                <c:pt idx="288">
                  <c:v>2025-06-06</c:v>
                </c:pt>
                <c:pt idx="289">
                  <c:v>2025-06-07</c:v>
                </c:pt>
                <c:pt idx="290">
                  <c:v>2025-06-08</c:v>
                </c:pt>
                <c:pt idx="291">
                  <c:v>2025-06-09</c:v>
                </c:pt>
                <c:pt idx="292">
                  <c:v>2025-06-10</c:v>
                </c:pt>
                <c:pt idx="293">
                  <c:v>2025-06-11</c:v>
                </c:pt>
                <c:pt idx="294">
                  <c:v>2025-06-12</c:v>
                </c:pt>
                <c:pt idx="295">
                  <c:v>2025-06-13</c:v>
                </c:pt>
                <c:pt idx="296">
                  <c:v>2025-06-14</c:v>
                </c:pt>
                <c:pt idx="297">
                  <c:v>2025-06-15</c:v>
                </c:pt>
                <c:pt idx="298">
                  <c:v>2025-06-16</c:v>
                </c:pt>
                <c:pt idx="299">
                  <c:v>2025-06-17</c:v>
                </c:pt>
                <c:pt idx="300">
                  <c:v>2025-06-18</c:v>
                </c:pt>
                <c:pt idx="301">
                  <c:v>2025-06-19</c:v>
                </c:pt>
                <c:pt idx="302">
                  <c:v>2025-06-20</c:v>
                </c:pt>
                <c:pt idx="303">
                  <c:v>2025-06-21</c:v>
                </c:pt>
                <c:pt idx="304">
                  <c:v>2025-06-22</c:v>
                </c:pt>
                <c:pt idx="305">
                  <c:v>2025-06-23</c:v>
                </c:pt>
                <c:pt idx="306">
                  <c:v>2025-06-24</c:v>
                </c:pt>
                <c:pt idx="307">
                  <c:v>2025-06-25</c:v>
                </c:pt>
                <c:pt idx="308">
                  <c:v>2025-06-26</c:v>
                </c:pt>
                <c:pt idx="309">
                  <c:v>2025-06-27</c:v>
                </c:pt>
                <c:pt idx="310">
                  <c:v>2025-06-28</c:v>
                </c:pt>
                <c:pt idx="311">
                  <c:v>2025-06-29</c:v>
                </c:pt>
                <c:pt idx="312">
                  <c:v>2025-06-30</c:v>
                </c:pt>
                <c:pt idx="313">
                  <c:v>2025-07-01</c:v>
                </c:pt>
                <c:pt idx="314">
                  <c:v>2025-07-02</c:v>
                </c:pt>
                <c:pt idx="315">
                  <c:v>2025-07-03</c:v>
                </c:pt>
                <c:pt idx="316">
                  <c:v>2025-07-04</c:v>
                </c:pt>
                <c:pt idx="317">
                  <c:v>2025-07-05</c:v>
                </c:pt>
                <c:pt idx="318">
                  <c:v>2025-07-06</c:v>
                </c:pt>
                <c:pt idx="319">
                  <c:v>2025-07-07</c:v>
                </c:pt>
                <c:pt idx="320">
                  <c:v>2025-07-08</c:v>
                </c:pt>
                <c:pt idx="321">
                  <c:v>2025-07-09</c:v>
                </c:pt>
                <c:pt idx="322">
                  <c:v>2025-07-10</c:v>
                </c:pt>
                <c:pt idx="323">
                  <c:v>2025-07-11</c:v>
                </c:pt>
                <c:pt idx="324">
                  <c:v>2025-07-12</c:v>
                </c:pt>
                <c:pt idx="325">
                  <c:v>2025-07-13</c:v>
                </c:pt>
                <c:pt idx="326">
                  <c:v>2025-07-14</c:v>
                </c:pt>
                <c:pt idx="327">
                  <c:v>2025-07-15</c:v>
                </c:pt>
                <c:pt idx="328">
                  <c:v>2025-07-16</c:v>
                </c:pt>
                <c:pt idx="329">
                  <c:v>2025-07-17</c:v>
                </c:pt>
                <c:pt idx="330">
                  <c:v>2025-07-18</c:v>
                </c:pt>
                <c:pt idx="331">
                  <c:v>2025-07-19</c:v>
                </c:pt>
                <c:pt idx="332">
                  <c:v>2025-07-20</c:v>
                </c:pt>
                <c:pt idx="333">
                  <c:v>2025-07-21</c:v>
                </c:pt>
                <c:pt idx="334">
                  <c:v>2025-07-22</c:v>
                </c:pt>
                <c:pt idx="335">
                  <c:v>2025-07-23</c:v>
                </c:pt>
                <c:pt idx="336">
                  <c:v>2025-07-24</c:v>
                </c:pt>
                <c:pt idx="337">
                  <c:v>2025-07-25</c:v>
                </c:pt>
                <c:pt idx="338">
                  <c:v>2025-07-26</c:v>
                </c:pt>
                <c:pt idx="339">
                  <c:v>2025-07-27</c:v>
                </c:pt>
                <c:pt idx="340">
                  <c:v>2025-07-28</c:v>
                </c:pt>
                <c:pt idx="341">
                  <c:v>2025-07-29</c:v>
                </c:pt>
                <c:pt idx="342">
                  <c:v>2025-07-30</c:v>
                </c:pt>
                <c:pt idx="343">
                  <c:v>2025-07-31</c:v>
                </c:pt>
                <c:pt idx="344">
                  <c:v>2025-08-01</c:v>
                </c:pt>
                <c:pt idx="345">
                  <c:v>2025-08-02</c:v>
                </c:pt>
                <c:pt idx="346">
                  <c:v>2025-08-03</c:v>
                </c:pt>
                <c:pt idx="347">
                  <c:v>2025-08-04</c:v>
                </c:pt>
                <c:pt idx="348">
                  <c:v>2025-08-05</c:v>
                </c:pt>
                <c:pt idx="349">
                  <c:v>2025-08-06</c:v>
                </c:pt>
                <c:pt idx="350">
                  <c:v>2025-08-07</c:v>
                </c:pt>
                <c:pt idx="351">
                  <c:v>2025-08-08</c:v>
                </c:pt>
                <c:pt idx="352">
                  <c:v>2025-08-09</c:v>
                </c:pt>
                <c:pt idx="353">
                  <c:v>2025-08-10</c:v>
                </c:pt>
                <c:pt idx="354">
                  <c:v>2025-08-11</c:v>
                </c:pt>
                <c:pt idx="355">
                  <c:v>2025-08-12</c:v>
                </c:pt>
                <c:pt idx="356">
                  <c:v>2025-08-13</c:v>
                </c:pt>
                <c:pt idx="357">
                  <c:v>2025-08-14</c:v>
                </c:pt>
                <c:pt idx="358">
                  <c:v>2025-08-15</c:v>
                </c:pt>
                <c:pt idx="359">
                  <c:v>2025-08-16</c:v>
                </c:pt>
                <c:pt idx="360">
                  <c:v>2025-08-17</c:v>
                </c:pt>
                <c:pt idx="361">
                  <c:v>2025-08-18</c:v>
                </c:pt>
                <c:pt idx="362">
                  <c:v>2025-08-19</c:v>
                </c:pt>
                <c:pt idx="363">
                  <c:v>2025-08-20</c:v>
                </c:pt>
                <c:pt idx="364">
                  <c:v>2025-08-21</c:v>
                </c:pt>
                <c:pt idx="365">
                  <c:v>2025-08-22</c:v>
                </c:pt>
                <c:pt idx="366">
                  <c:v>2025-08-23</c:v>
                </c:pt>
                <c:pt idx="367">
                  <c:v>2025-08-24</c:v>
                </c:pt>
                <c:pt idx="368">
                  <c:v>2025-08-25</c:v>
                </c:pt>
                <c:pt idx="369">
                  <c:v>2025-08-26</c:v>
                </c:pt>
                <c:pt idx="370">
                  <c:v>2025-08-27</c:v>
                </c:pt>
                <c:pt idx="371">
                  <c:v>2025-08-28</c:v>
                </c:pt>
                <c:pt idx="372">
                  <c:v>2025-08-29</c:v>
                </c:pt>
                <c:pt idx="373">
                  <c:v>2025-08-30</c:v>
                </c:pt>
                <c:pt idx="374">
                  <c:v>2025-08-31</c:v>
                </c:pt>
                <c:pt idx="375">
                  <c:v>2025-09-01</c:v>
                </c:pt>
                <c:pt idx="376">
                  <c:v>2025-09-02</c:v>
                </c:pt>
                <c:pt idx="377">
                  <c:v>2025-09-03</c:v>
                </c:pt>
                <c:pt idx="378">
                  <c:v>2025-09-04</c:v>
                </c:pt>
                <c:pt idx="379">
                  <c:v>2025-09-05</c:v>
                </c:pt>
                <c:pt idx="380">
                  <c:v>2025-09-06</c:v>
                </c:pt>
                <c:pt idx="381">
                  <c:v>2025-09-07</c:v>
                </c:pt>
                <c:pt idx="382">
                  <c:v>2025-09-08</c:v>
                </c:pt>
                <c:pt idx="383">
                  <c:v>2025-09-09</c:v>
                </c:pt>
                <c:pt idx="384">
                  <c:v>2025-09-10</c:v>
                </c:pt>
                <c:pt idx="385">
                  <c:v>2025-09-11</c:v>
                </c:pt>
                <c:pt idx="386">
                  <c:v>2025-09-12</c:v>
                </c:pt>
                <c:pt idx="387">
                  <c:v>2025-09-13</c:v>
                </c:pt>
                <c:pt idx="388">
                  <c:v>2025-09-14</c:v>
                </c:pt>
                <c:pt idx="389">
                  <c:v>2025-09-15</c:v>
                </c:pt>
                <c:pt idx="390">
                  <c:v>2025-09-16</c:v>
                </c:pt>
                <c:pt idx="391">
                  <c:v>2025-09-17</c:v>
                </c:pt>
                <c:pt idx="392">
                  <c:v>2025-09-18</c:v>
                </c:pt>
                <c:pt idx="393">
                  <c:v>2025-09-19</c:v>
                </c:pt>
                <c:pt idx="394">
                  <c:v>2025-09-20</c:v>
                </c:pt>
                <c:pt idx="395">
                  <c:v>2025-09-21</c:v>
                </c:pt>
                <c:pt idx="396">
                  <c:v>2025-09-22</c:v>
                </c:pt>
                <c:pt idx="397">
                  <c:v>2025-09-23</c:v>
                </c:pt>
                <c:pt idx="398">
                  <c:v>2025-09-24</c:v>
                </c:pt>
                <c:pt idx="399">
                  <c:v>2025-09-25</c:v>
                </c:pt>
                <c:pt idx="400">
                  <c:v>2025-09-26</c:v>
                </c:pt>
                <c:pt idx="401">
                  <c:v>2025-09-27</c:v>
                </c:pt>
                <c:pt idx="402">
                  <c:v>2025-09-28</c:v>
                </c:pt>
                <c:pt idx="403">
                  <c:v>2025-09-29</c:v>
                </c:pt>
                <c:pt idx="404">
                  <c:v>2025-09-30</c:v>
                </c:pt>
                <c:pt idx="405">
                  <c:v>2025-10-01</c:v>
                </c:pt>
                <c:pt idx="406">
                  <c:v>2025-10-02</c:v>
                </c:pt>
                <c:pt idx="407">
                  <c:v>2025-10-03</c:v>
                </c:pt>
                <c:pt idx="408">
                  <c:v>2025-10-04</c:v>
                </c:pt>
                <c:pt idx="409">
                  <c:v>2025-10-05</c:v>
                </c:pt>
                <c:pt idx="410">
                  <c:v>2025-10-06</c:v>
                </c:pt>
                <c:pt idx="411">
                  <c:v>2025-10-07</c:v>
                </c:pt>
                <c:pt idx="412">
                  <c:v>2025-10-08</c:v>
                </c:pt>
                <c:pt idx="413">
                  <c:v>2025-10-09</c:v>
                </c:pt>
                <c:pt idx="414">
                  <c:v>2025-10-10</c:v>
                </c:pt>
                <c:pt idx="415">
                  <c:v>2025-10-11</c:v>
                </c:pt>
                <c:pt idx="416">
                  <c:v>2025-10-12</c:v>
                </c:pt>
                <c:pt idx="417">
                  <c:v>2025-10-13</c:v>
                </c:pt>
                <c:pt idx="418">
                  <c:v>2025-10-14</c:v>
                </c:pt>
                <c:pt idx="419">
                  <c:v>2025-10-15</c:v>
                </c:pt>
                <c:pt idx="420">
                  <c:v>2025-10-16</c:v>
                </c:pt>
                <c:pt idx="421">
                  <c:v>2025-10-17</c:v>
                </c:pt>
                <c:pt idx="422">
                  <c:v>2025-10-18</c:v>
                </c:pt>
                <c:pt idx="423">
                  <c:v>2025-10-19</c:v>
                </c:pt>
                <c:pt idx="424">
                  <c:v>2025-10-20</c:v>
                </c:pt>
                <c:pt idx="425">
                  <c:v>2025-10-21</c:v>
                </c:pt>
                <c:pt idx="426">
                  <c:v>2025-10-22</c:v>
                </c:pt>
                <c:pt idx="427">
                  <c:v>2025-10-23</c:v>
                </c:pt>
                <c:pt idx="428">
                  <c:v>2025-10-24</c:v>
                </c:pt>
                <c:pt idx="429">
                  <c:v>2025-10-25</c:v>
                </c:pt>
                <c:pt idx="430">
                  <c:v>2025-10-26</c:v>
                </c:pt>
                <c:pt idx="431">
                  <c:v>2025-10-27</c:v>
                </c:pt>
                <c:pt idx="432">
                  <c:v>2025-10-28</c:v>
                </c:pt>
                <c:pt idx="433">
                  <c:v>2025-10-29</c:v>
                </c:pt>
                <c:pt idx="434">
                  <c:v>2025-10-30</c:v>
                </c:pt>
                <c:pt idx="435">
                  <c:v>2025-10-31</c:v>
                </c:pt>
                <c:pt idx="436">
                  <c:v>2025-11-01</c:v>
                </c:pt>
                <c:pt idx="437">
                  <c:v>2025-11-02</c:v>
                </c:pt>
                <c:pt idx="438">
                  <c:v>2025-11-03</c:v>
                </c:pt>
                <c:pt idx="439">
                  <c:v>2025-11-04</c:v>
                </c:pt>
                <c:pt idx="440">
                  <c:v>2025-11-05</c:v>
                </c:pt>
                <c:pt idx="441">
                  <c:v>2025-11-06</c:v>
                </c:pt>
                <c:pt idx="442">
                  <c:v>2025-11-07</c:v>
                </c:pt>
                <c:pt idx="443">
                  <c:v>2025-11-08</c:v>
                </c:pt>
                <c:pt idx="444">
                  <c:v>2025-11-09</c:v>
                </c:pt>
                <c:pt idx="445">
                  <c:v>2025-11-10</c:v>
                </c:pt>
                <c:pt idx="446">
                  <c:v>2025-11-11</c:v>
                </c:pt>
                <c:pt idx="447">
                  <c:v>2025-11-12</c:v>
                </c:pt>
                <c:pt idx="448">
                  <c:v>2025-11-13</c:v>
                </c:pt>
                <c:pt idx="449">
                  <c:v>2025-11-14</c:v>
                </c:pt>
                <c:pt idx="450">
                  <c:v>2025-11-15</c:v>
                </c:pt>
                <c:pt idx="451">
                  <c:v>2025-11-16</c:v>
                </c:pt>
                <c:pt idx="452">
                  <c:v>2025-11-17</c:v>
                </c:pt>
                <c:pt idx="453">
                  <c:v>2025-11-18</c:v>
                </c:pt>
                <c:pt idx="454">
                  <c:v>2025-11-19</c:v>
                </c:pt>
                <c:pt idx="455">
                  <c:v>2025-11-20</c:v>
                </c:pt>
                <c:pt idx="456">
                  <c:v>2025-11-21</c:v>
                </c:pt>
                <c:pt idx="457">
                  <c:v>2025-11-22</c:v>
                </c:pt>
                <c:pt idx="458">
                  <c:v>2025-11-23</c:v>
                </c:pt>
                <c:pt idx="459">
                  <c:v>2025-11-24</c:v>
                </c:pt>
                <c:pt idx="460">
                  <c:v>2025-11-25</c:v>
                </c:pt>
                <c:pt idx="461">
                  <c:v>2025-11-26</c:v>
                </c:pt>
                <c:pt idx="462">
                  <c:v>2025-11-27</c:v>
                </c:pt>
                <c:pt idx="463">
                  <c:v>2025-11-28</c:v>
                </c:pt>
                <c:pt idx="464">
                  <c:v>2025-11-29</c:v>
                </c:pt>
                <c:pt idx="465">
                  <c:v>2025-11-30</c:v>
                </c:pt>
                <c:pt idx="466">
                  <c:v>2025-12-01</c:v>
                </c:pt>
                <c:pt idx="467">
                  <c:v>2025-12-02</c:v>
                </c:pt>
                <c:pt idx="468">
                  <c:v>2025-12-03</c:v>
                </c:pt>
                <c:pt idx="469">
                  <c:v>2025-12-04</c:v>
                </c:pt>
                <c:pt idx="470">
                  <c:v>2025-12-05</c:v>
                </c:pt>
                <c:pt idx="471">
                  <c:v>2025-12-06</c:v>
                </c:pt>
                <c:pt idx="472">
                  <c:v>2025-12-07</c:v>
                </c:pt>
                <c:pt idx="473">
                  <c:v>2025-12-08</c:v>
                </c:pt>
                <c:pt idx="474">
                  <c:v>2025-12-09</c:v>
                </c:pt>
                <c:pt idx="475">
                  <c:v>2025-12-10</c:v>
                </c:pt>
                <c:pt idx="476">
                  <c:v>2025-12-11</c:v>
                </c:pt>
                <c:pt idx="477">
                  <c:v>2025-12-12</c:v>
                </c:pt>
                <c:pt idx="478">
                  <c:v>2025-12-13</c:v>
                </c:pt>
                <c:pt idx="479">
                  <c:v>2025-12-14</c:v>
                </c:pt>
                <c:pt idx="480">
                  <c:v>2025-12-15</c:v>
                </c:pt>
                <c:pt idx="481">
                  <c:v>2025-12-16</c:v>
                </c:pt>
                <c:pt idx="482">
                  <c:v>2025-12-17</c:v>
                </c:pt>
                <c:pt idx="483">
                  <c:v>2025-12-18</c:v>
                </c:pt>
                <c:pt idx="484">
                  <c:v>2025-12-19</c:v>
                </c:pt>
                <c:pt idx="485">
                  <c:v>2025-12-20</c:v>
                </c:pt>
                <c:pt idx="486">
                  <c:v>2025-12-21</c:v>
                </c:pt>
                <c:pt idx="487">
                  <c:v>2025-12-22</c:v>
                </c:pt>
                <c:pt idx="488">
                  <c:v>2025-12-23</c:v>
                </c:pt>
                <c:pt idx="489">
                  <c:v>2025-12-24</c:v>
                </c:pt>
                <c:pt idx="490">
                  <c:v>2025-12-25</c:v>
                </c:pt>
                <c:pt idx="491">
                  <c:v>2025-12-26</c:v>
                </c:pt>
                <c:pt idx="492">
                  <c:v>2025-12-27</c:v>
                </c:pt>
                <c:pt idx="493">
                  <c:v>2025-12-28</c:v>
                </c:pt>
                <c:pt idx="494">
                  <c:v>2025-12-29</c:v>
                </c:pt>
                <c:pt idx="495">
                  <c:v>2025-12-30</c:v>
                </c:pt>
                <c:pt idx="496">
                  <c:v>2025-12-31</c:v>
                </c:pt>
                <c:pt idx="497">
                  <c:v>2026-01-01</c:v>
                </c:pt>
                <c:pt idx="498">
                  <c:v>2026-01-02</c:v>
                </c:pt>
                <c:pt idx="499">
                  <c:v>2026-01-03</c:v>
                </c:pt>
                <c:pt idx="500">
                  <c:v>2026-01-04</c:v>
                </c:pt>
                <c:pt idx="501">
                  <c:v>2026-01-05</c:v>
                </c:pt>
                <c:pt idx="502">
                  <c:v>2026-01-06</c:v>
                </c:pt>
                <c:pt idx="503">
                  <c:v>2026-01-07</c:v>
                </c:pt>
                <c:pt idx="504">
                  <c:v>2026-01-08</c:v>
                </c:pt>
                <c:pt idx="505">
                  <c:v>2026-01-09</c:v>
                </c:pt>
                <c:pt idx="506">
                  <c:v>2026-01-10</c:v>
                </c:pt>
                <c:pt idx="507">
                  <c:v>2026-01-11</c:v>
                </c:pt>
                <c:pt idx="508">
                  <c:v>2026-01-12</c:v>
                </c:pt>
                <c:pt idx="509">
                  <c:v>2026-01-13</c:v>
                </c:pt>
                <c:pt idx="510">
                  <c:v>2026-01-14</c:v>
                </c:pt>
                <c:pt idx="511">
                  <c:v>2026-01-15</c:v>
                </c:pt>
                <c:pt idx="512">
                  <c:v>2026-01-16</c:v>
                </c:pt>
                <c:pt idx="513">
                  <c:v>2026-01-17</c:v>
                </c:pt>
                <c:pt idx="514">
                  <c:v>2026-01-18</c:v>
                </c:pt>
                <c:pt idx="515">
                  <c:v>2026-01-19</c:v>
                </c:pt>
                <c:pt idx="516">
                  <c:v>2026-01-20</c:v>
                </c:pt>
                <c:pt idx="517">
                  <c:v>2026-01-21</c:v>
                </c:pt>
                <c:pt idx="518">
                  <c:v>2026-01-22</c:v>
                </c:pt>
                <c:pt idx="519">
                  <c:v>2026-01-23</c:v>
                </c:pt>
                <c:pt idx="520">
                  <c:v>2026-01-24</c:v>
                </c:pt>
                <c:pt idx="521">
                  <c:v>2026-01-25</c:v>
                </c:pt>
                <c:pt idx="522">
                  <c:v>2026-01-26</c:v>
                </c:pt>
                <c:pt idx="523">
                  <c:v>2026-01-27</c:v>
                </c:pt>
                <c:pt idx="524">
                  <c:v>2026-01-28</c:v>
                </c:pt>
                <c:pt idx="525">
                  <c:v>2026-01-29</c:v>
                </c:pt>
                <c:pt idx="526">
                  <c:v>2026-01-30</c:v>
                </c:pt>
                <c:pt idx="527">
                  <c:v>2026-01-31</c:v>
                </c:pt>
                <c:pt idx="528">
                  <c:v>2026-02-01</c:v>
                </c:pt>
                <c:pt idx="529">
                  <c:v>2026-02-02</c:v>
                </c:pt>
                <c:pt idx="530">
                  <c:v>2026-02-03</c:v>
                </c:pt>
                <c:pt idx="531">
                  <c:v>2026-02-04</c:v>
                </c:pt>
                <c:pt idx="532">
                  <c:v>2026-02-05</c:v>
                </c:pt>
                <c:pt idx="533">
                  <c:v>2026-02-06</c:v>
                </c:pt>
                <c:pt idx="534">
                  <c:v>2026-02-07</c:v>
                </c:pt>
                <c:pt idx="535">
                  <c:v>2026-02-08</c:v>
                </c:pt>
                <c:pt idx="536">
                  <c:v>2026-02-09</c:v>
                </c:pt>
                <c:pt idx="537">
                  <c:v>2026-02-10</c:v>
                </c:pt>
                <c:pt idx="538">
                  <c:v>2026-02-11</c:v>
                </c:pt>
                <c:pt idx="539">
                  <c:v>2026-02-12</c:v>
                </c:pt>
                <c:pt idx="540">
                  <c:v>2026-02-13</c:v>
                </c:pt>
                <c:pt idx="541">
                  <c:v>2026-02-14</c:v>
                </c:pt>
                <c:pt idx="542">
                  <c:v>2026-02-15</c:v>
                </c:pt>
                <c:pt idx="543">
                  <c:v>2026-02-16</c:v>
                </c:pt>
                <c:pt idx="544">
                  <c:v>2026-02-17</c:v>
                </c:pt>
                <c:pt idx="545">
                  <c:v>2026-02-18</c:v>
                </c:pt>
                <c:pt idx="546">
                  <c:v>2026-02-19</c:v>
                </c:pt>
                <c:pt idx="547">
                  <c:v>2026-02-20</c:v>
                </c:pt>
                <c:pt idx="548">
                  <c:v>2026-02-21</c:v>
                </c:pt>
                <c:pt idx="549">
                  <c:v>2026-02-22</c:v>
                </c:pt>
                <c:pt idx="550">
                  <c:v>2026-02-23</c:v>
                </c:pt>
                <c:pt idx="551">
                  <c:v>2026-02-24</c:v>
                </c:pt>
                <c:pt idx="552">
                  <c:v>2026-02-25</c:v>
                </c:pt>
                <c:pt idx="553">
                  <c:v>2026-02-26</c:v>
                </c:pt>
              </c:strCache>
            </c:strRef>
          </c:cat>
          <c:val>
            <c:numRef>
              <c:f>'Daily Velocity'!$D$4:$D$557</c:f>
              <c:numCache>
                <c:formatCode>#,##0</c:formatCode>
                <c:ptCount val="554"/>
                <c:pt idx="6">
                  <c:v>44448.2857142857</c:v>
                </c:pt>
                <c:pt idx="7">
                  <c:v>44911.7142857143</c:v>
                </c:pt>
                <c:pt idx="8">
                  <c:v>45256.8571428571</c:v>
                </c:pt>
                <c:pt idx="9">
                  <c:v>44570.5714285714</c:v>
                </c:pt>
                <c:pt idx="10">
                  <c:v>43440</c:v>
                </c:pt>
                <c:pt idx="11">
                  <c:v>39246.5714285714</c:v>
                </c:pt>
                <c:pt idx="12">
                  <c:v>38980.5714285714</c:v>
                </c:pt>
                <c:pt idx="13">
                  <c:v>39835.5714285714</c:v>
                </c:pt>
                <c:pt idx="14">
                  <c:v>39880</c:v>
                </c:pt>
                <c:pt idx="15">
                  <c:v>39903.8571428571</c:v>
                </c:pt>
                <c:pt idx="16">
                  <c:v>40534.7142857143</c:v>
                </c:pt>
                <c:pt idx="17">
                  <c:v>41938.8571428571</c:v>
                </c:pt>
                <c:pt idx="18">
                  <c:v>45788.8571428571</c:v>
                </c:pt>
                <c:pt idx="19">
                  <c:v>45507.2857142857</c:v>
                </c:pt>
                <c:pt idx="20">
                  <c:v>44245.8571428571</c:v>
                </c:pt>
                <c:pt idx="21">
                  <c:v>43652</c:v>
                </c:pt>
                <c:pt idx="22">
                  <c:v>43149</c:v>
                </c:pt>
                <c:pt idx="23">
                  <c:v>43256.4285714286</c:v>
                </c:pt>
                <c:pt idx="24">
                  <c:v>43005.4285714286</c:v>
                </c:pt>
                <c:pt idx="25">
                  <c:v>42841.2857142857</c:v>
                </c:pt>
                <c:pt idx="26">
                  <c:v>43041.4285714286</c:v>
                </c:pt>
                <c:pt idx="27">
                  <c:v>43060.7142857143</c:v>
                </c:pt>
                <c:pt idx="28">
                  <c:v>42917.5714285714</c:v>
                </c:pt>
                <c:pt idx="29">
                  <c:v>42846</c:v>
                </c:pt>
                <c:pt idx="30">
                  <c:v>42007.8571428571</c:v>
                </c:pt>
                <c:pt idx="31">
                  <c:v>42126</c:v>
                </c:pt>
                <c:pt idx="32">
                  <c:v>42190.8571428571</c:v>
                </c:pt>
                <c:pt idx="33">
                  <c:v>42105.1428571429</c:v>
                </c:pt>
                <c:pt idx="34">
                  <c:v>41776.2857142857</c:v>
                </c:pt>
                <c:pt idx="35">
                  <c:v>42028</c:v>
                </c:pt>
                <c:pt idx="36">
                  <c:v>41372.7142857143</c:v>
                </c:pt>
                <c:pt idx="37">
                  <c:v>42031.7142857143</c:v>
                </c:pt>
                <c:pt idx="38">
                  <c:v>40725.7142857143</c:v>
                </c:pt>
                <c:pt idx="39">
                  <c:v>40929.2857142857</c:v>
                </c:pt>
                <c:pt idx="40">
                  <c:v>41079.4285714286</c:v>
                </c:pt>
                <c:pt idx="41">
                  <c:v>41170</c:v>
                </c:pt>
                <c:pt idx="42">
                  <c:v>40979.4285714286</c:v>
                </c:pt>
                <c:pt idx="43">
                  <c:v>41771</c:v>
                </c:pt>
                <c:pt idx="44">
                  <c:v>41592.7142857143</c:v>
                </c:pt>
                <c:pt idx="45">
                  <c:v>42556.8571428571</c:v>
                </c:pt>
                <c:pt idx="46">
                  <c:v>42458.7142857143</c:v>
                </c:pt>
                <c:pt idx="47">
                  <c:v>42130.2857142857</c:v>
                </c:pt>
                <c:pt idx="48">
                  <c:v>42080.8571428571</c:v>
                </c:pt>
                <c:pt idx="49">
                  <c:v>42166.2857142857</c:v>
                </c:pt>
                <c:pt idx="50">
                  <c:v>41821.4285714286</c:v>
                </c:pt>
                <c:pt idx="51">
                  <c:v>42249</c:v>
                </c:pt>
                <c:pt idx="52">
                  <c:v>42303.2857142857</c:v>
                </c:pt>
                <c:pt idx="53">
                  <c:v>41995.8571428571</c:v>
                </c:pt>
                <c:pt idx="54">
                  <c:v>42640.7142857143</c:v>
                </c:pt>
                <c:pt idx="55">
                  <c:v>42995</c:v>
                </c:pt>
                <c:pt idx="56">
                  <c:v>43290.8571428571</c:v>
                </c:pt>
                <c:pt idx="57">
                  <c:v>43462</c:v>
                </c:pt>
                <c:pt idx="58">
                  <c:v>43345.5714285714</c:v>
                </c:pt>
                <c:pt idx="59">
                  <c:v>43574.5714285714</c:v>
                </c:pt>
                <c:pt idx="60">
                  <c:v>43733.8571428571</c:v>
                </c:pt>
                <c:pt idx="61">
                  <c:v>43737.8571428571</c:v>
                </c:pt>
                <c:pt idx="62">
                  <c:v>43877.8571428571</c:v>
                </c:pt>
                <c:pt idx="63">
                  <c:v>44086</c:v>
                </c:pt>
                <c:pt idx="64">
                  <c:v>43740.5714285714</c:v>
                </c:pt>
                <c:pt idx="65">
                  <c:v>43879.8571428571</c:v>
                </c:pt>
                <c:pt idx="66">
                  <c:v>43850.2857142857</c:v>
                </c:pt>
                <c:pt idx="67">
                  <c:v>44071.8571428571</c:v>
                </c:pt>
                <c:pt idx="68">
                  <c:v>43433.8571428571</c:v>
                </c:pt>
                <c:pt idx="69">
                  <c:v>43451.5714285714</c:v>
                </c:pt>
                <c:pt idx="70">
                  <c:v>43126</c:v>
                </c:pt>
                <c:pt idx="71">
                  <c:v>42064</c:v>
                </c:pt>
                <c:pt idx="72">
                  <c:v>42388.5714285714</c:v>
                </c:pt>
                <c:pt idx="73">
                  <c:v>42848.2857142857</c:v>
                </c:pt>
                <c:pt idx="74">
                  <c:v>42098</c:v>
                </c:pt>
                <c:pt idx="75">
                  <c:v>42425.2857142857</c:v>
                </c:pt>
                <c:pt idx="76">
                  <c:v>42255.7142857143</c:v>
                </c:pt>
                <c:pt idx="77">
                  <c:v>41878</c:v>
                </c:pt>
                <c:pt idx="78">
                  <c:v>43238.2857142857</c:v>
                </c:pt>
                <c:pt idx="79">
                  <c:v>42285.4285714286</c:v>
                </c:pt>
                <c:pt idx="80">
                  <c:v>41833.4285714286</c:v>
                </c:pt>
                <c:pt idx="81">
                  <c:v>41977.5714285714</c:v>
                </c:pt>
                <c:pt idx="82">
                  <c:v>41647.4285714286</c:v>
                </c:pt>
                <c:pt idx="83">
                  <c:v>41968.7142857143</c:v>
                </c:pt>
                <c:pt idx="84">
                  <c:v>42032.5714285714</c:v>
                </c:pt>
                <c:pt idx="85">
                  <c:v>41701.2857142857</c:v>
                </c:pt>
                <c:pt idx="86">
                  <c:v>41862.1428571429</c:v>
                </c:pt>
                <c:pt idx="87">
                  <c:v>42130.2857142857</c:v>
                </c:pt>
                <c:pt idx="88">
                  <c:v>42303</c:v>
                </c:pt>
                <c:pt idx="89">
                  <c:v>42301.8571428571</c:v>
                </c:pt>
                <c:pt idx="90">
                  <c:v>42116.1428571429</c:v>
                </c:pt>
                <c:pt idx="91">
                  <c:v>42271</c:v>
                </c:pt>
                <c:pt idx="92">
                  <c:v>43375</c:v>
                </c:pt>
                <c:pt idx="93">
                  <c:v>43785.7142857143</c:v>
                </c:pt>
                <c:pt idx="94">
                  <c:v>43743.2857142857</c:v>
                </c:pt>
                <c:pt idx="95">
                  <c:v>43609</c:v>
                </c:pt>
                <c:pt idx="96">
                  <c:v>43808.1428571429</c:v>
                </c:pt>
                <c:pt idx="97">
                  <c:v>42681.2857142857</c:v>
                </c:pt>
                <c:pt idx="98">
                  <c:v>39052.4285714286</c:v>
                </c:pt>
                <c:pt idx="99">
                  <c:v>36704.1428571429</c:v>
                </c:pt>
                <c:pt idx="100">
                  <c:v>36646.2857142857</c:v>
                </c:pt>
                <c:pt idx="101">
                  <c:v>36700.2857142857</c:v>
                </c:pt>
                <c:pt idx="102">
                  <c:v>37161.8571428571</c:v>
                </c:pt>
                <c:pt idx="103">
                  <c:v>37562.4285714286</c:v>
                </c:pt>
                <c:pt idx="104">
                  <c:v>39336.8571428571</c:v>
                </c:pt>
                <c:pt idx="105">
                  <c:v>43986.1428571429</c:v>
                </c:pt>
                <c:pt idx="106">
                  <c:v>47121.2857142857</c:v>
                </c:pt>
                <c:pt idx="107">
                  <c:v>46941.7142857143</c:v>
                </c:pt>
                <c:pt idx="108">
                  <c:v>47337.8571428571</c:v>
                </c:pt>
                <c:pt idx="109">
                  <c:v>47750</c:v>
                </c:pt>
                <c:pt idx="110">
                  <c:v>47736.2857142857</c:v>
                </c:pt>
                <c:pt idx="111">
                  <c:v>48007.5714285714</c:v>
                </c:pt>
                <c:pt idx="112">
                  <c:v>47967.5714285714</c:v>
                </c:pt>
                <c:pt idx="113">
                  <c:v>46874.2857142857</c:v>
                </c:pt>
                <c:pt idx="114">
                  <c:v>47530.1428571429</c:v>
                </c:pt>
                <c:pt idx="115">
                  <c:v>47300.8571428571</c:v>
                </c:pt>
                <c:pt idx="116">
                  <c:v>46981</c:v>
                </c:pt>
                <c:pt idx="117">
                  <c:v>47253.1428571429</c:v>
                </c:pt>
                <c:pt idx="118">
                  <c:v>47277.1428571429</c:v>
                </c:pt>
                <c:pt idx="119">
                  <c:v>46754.4285714286</c:v>
                </c:pt>
                <c:pt idx="120">
                  <c:v>47558.1428571429</c:v>
                </c:pt>
                <c:pt idx="121">
                  <c:v>47283</c:v>
                </c:pt>
                <c:pt idx="122">
                  <c:v>47529.8571428571</c:v>
                </c:pt>
                <c:pt idx="123">
                  <c:v>46929.1428571429</c:v>
                </c:pt>
                <c:pt idx="124">
                  <c:v>40661.4285714286</c:v>
                </c:pt>
                <c:pt idx="125">
                  <c:v>35399.1428571429</c:v>
                </c:pt>
                <c:pt idx="126">
                  <c:v>35363.1428571429</c:v>
                </c:pt>
                <c:pt idx="127">
                  <c:v>35011.4285714286</c:v>
                </c:pt>
                <c:pt idx="128">
                  <c:v>34746</c:v>
                </c:pt>
                <c:pt idx="129">
                  <c:v>35189.8571428571</c:v>
                </c:pt>
                <c:pt idx="130">
                  <c:v>36153.7142857143</c:v>
                </c:pt>
                <c:pt idx="131">
                  <c:v>37286</c:v>
                </c:pt>
                <c:pt idx="132">
                  <c:v>38019.5714285714</c:v>
                </c:pt>
                <c:pt idx="133">
                  <c:v>38491.8571428571</c:v>
                </c:pt>
                <c:pt idx="134">
                  <c:v>38831.8571428571</c:v>
                </c:pt>
                <c:pt idx="135">
                  <c:v>39703.1428571429</c:v>
                </c:pt>
                <c:pt idx="136">
                  <c:v>40817.2857142857</c:v>
                </c:pt>
                <c:pt idx="137">
                  <c:v>41275.5714285714</c:v>
                </c:pt>
                <c:pt idx="138">
                  <c:v>46302.1428571429</c:v>
                </c:pt>
                <c:pt idx="139">
                  <c:v>50960</c:v>
                </c:pt>
                <c:pt idx="140">
                  <c:v>51423.1428571429</c:v>
                </c:pt>
                <c:pt idx="141">
                  <c:v>51542.1428571429</c:v>
                </c:pt>
                <c:pt idx="142">
                  <c:v>50911.4285714286</c:v>
                </c:pt>
                <c:pt idx="143">
                  <c:v>51100.2857142857</c:v>
                </c:pt>
                <c:pt idx="144">
                  <c:v>51396.5714285714</c:v>
                </c:pt>
                <c:pt idx="145">
                  <c:v>51355.1428571429</c:v>
                </c:pt>
                <c:pt idx="146">
                  <c:v>50773.7142857143</c:v>
                </c:pt>
                <c:pt idx="147">
                  <c:v>50491.7142857143</c:v>
                </c:pt>
                <c:pt idx="148">
                  <c:v>50597.8571428571</c:v>
                </c:pt>
                <c:pt idx="149">
                  <c:v>51182.7142857143</c:v>
                </c:pt>
                <c:pt idx="150">
                  <c:v>50450.1428571429</c:v>
                </c:pt>
                <c:pt idx="151">
                  <c:v>49482.2857142857</c:v>
                </c:pt>
                <c:pt idx="152">
                  <c:v>48542.4285714286</c:v>
                </c:pt>
                <c:pt idx="153">
                  <c:v>48529.5714285714</c:v>
                </c:pt>
                <c:pt idx="154">
                  <c:v>46632.2857142857</c:v>
                </c:pt>
                <c:pt idx="155">
                  <c:v>43653.1428571429</c:v>
                </c:pt>
                <c:pt idx="156">
                  <c:v>43018.2857142857</c:v>
                </c:pt>
                <c:pt idx="157">
                  <c:v>43982.8571428571</c:v>
                </c:pt>
                <c:pt idx="158">
                  <c:v>43866.2857142857</c:v>
                </c:pt>
                <c:pt idx="159">
                  <c:v>45527.2857142857</c:v>
                </c:pt>
                <c:pt idx="160">
                  <c:v>47700.1428571429</c:v>
                </c:pt>
                <c:pt idx="161">
                  <c:v>51313.1428571429</c:v>
                </c:pt>
                <c:pt idx="162">
                  <c:v>52615</c:v>
                </c:pt>
                <c:pt idx="163">
                  <c:v>53691</c:v>
                </c:pt>
                <c:pt idx="164">
                  <c:v>54209.7142857143</c:v>
                </c:pt>
                <c:pt idx="165">
                  <c:v>55644.5714285714</c:v>
                </c:pt>
                <c:pt idx="166">
                  <c:v>55213.4285714286</c:v>
                </c:pt>
                <c:pt idx="167">
                  <c:v>54233</c:v>
                </c:pt>
                <c:pt idx="168">
                  <c:v>55254.2857142857</c:v>
                </c:pt>
                <c:pt idx="169">
                  <c:v>54212.8571428571</c:v>
                </c:pt>
                <c:pt idx="170">
                  <c:v>54572.5714285714</c:v>
                </c:pt>
                <c:pt idx="171">
                  <c:v>54541</c:v>
                </c:pt>
                <c:pt idx="172">
                  <c:v>54497</c:v>
                </c:pt>
                <c:pt idx="173">
                  <c:v>55475.8571428571</c:v>
                </c:pt>
                <c:pt idx="174">
                  <c:v>55454.1428571429</c:v>
                </c:pt>
                <c:pt idx="175">
                  <c:v>55664</c:v>
                </c:pt>
                <c:pt idx="176">
                  <c:v>55982</c:v>
                </c:pt>
                <c:pt idx="177">
                  <c:v>55948.7142857143</c:v>
                </c:pt>
                <c:pt idx="178">
                  <c:v>56402.8571428571</c:v>
                </c:pt>
                <c:pt idx="179">
                  <c:v>56558.2857142857</c:v>
                </c:pt>
                <c:pt idx="180">
                  <c:v>57153.8571428571</c:v>
                </c:pt>
                <c:pt idx="181">
                  <c:v>57651.5714285714</c:v>
                </c:pt>
                <c:pt idx="182">
                  <c:v>55111.8571428571</c:v>
                </c:pt>
                <c:pt idx="183">
                  <c:v>55032.5714285714</c:v>
                </c:pt>
                <c:pt idx="184">
                  <c:v>54566.4285714286</c:v>
                </c:pt>
                <c:pt idx="185">
                  <c:v>53324.4285714286</c:v>
                </c:pt>
                <c:pt idx="186">
                  <c:v>51931.5714285714</c:v>
                </c:pt>
                <c:pt idx="187">
                  <c:v>50112.5714285714</c:v>
                </c:pt>
                <c:pt idx="188">
                  <c:v>49049.5714285714</c:v>
                </c:pt>
                <c:pt idx="189">
                  <c:v>48568.8571428571</c:v>
                </c:pt>
                <c:pt idx="190">
                  <c:v>48905.8571428571</c:v>
                </c:pt>
                <c:pt idx="191">
                  <c:v>48125.1428571429</c:v>
                </c:pt>
                <c:pt idx="192">
                  <c:v>48353.7142857143</c:v>
                </c:pt>
                <c:pt idx="193">
                  <c:v>49737.5714285714</c:v>
                </c:pt>
                <c:pt idx="194">
                  <c:v>50390.5714285714</c:v>
                </c:pt>
                <c:pt idx="195">
                  <c:v>50540.5714285714</c:v>
                </c:pt>
                <c:pt idx="196">
                  <c:v>51075</c:v>
                </c:pt>
                <c:pt idx="197">
                  <c:v>51470</c:v>
                </c:pt>
                <c:pt idx="198">
                  <c:v>52263.8571428571</c:v>
                </c:pt>
                <c:pt idx="199">
                  <c:v>52396</c:v>
                </c:pt>
                <c:pt idx="200">
                  <c:v>52248.5714285714</c:v>
                </c:pt>
                <c:pt idx="201">
                  <c:v>52390.2857142857</c:v>
                </c:pt>
                <c:pt idx="202">
                  <c:v>52404</c:v>
                </c:pt>
                <c:pt idx="203">
                  <c:v>52087.1428571429</c:v>
                </c:pt>
                <c:pt idx="204">
                  <c:v>51013</c:v>
                </c:pt>
                <c:pt idx="205">
                  <c:v>51205.7142857143</c:v>
                </c:pt>
                <c:pt idx="206">
                  <c:v>51039</c:v>
                </c:pt>
                <c:pt idx="207">
                  <c:v>50856.7142857143</c:v>
                </c:pt>
                <c:pt idx="208">
                  <c:v>50757.1428571429</c:v>
                </c:pt>
                <c:pt idx="209">
                  <c:v>50689.7142857143</c:v>
                </c:pt>
                <c:pt idx="210">
                  <c:v>50485.8571428571</c:v>
                </c:pt>
                <c:pt idx="211">
                  <c:v>51585.5714285714</c:v>
                </c:pt>
                <c:pt idx="212">
                  <c:v>51451.1428571429</c:v>
                </c:pt>
                <c:pt idx="213">
                  <c:v>50294</c:v>
                </c:pt>
                <c:pt idx="214">
                  <c:v>50373.7142857143</c:v>
                </c:pt>
                <c:pt idx="215">
                  <c:v>50625.5714285714</c:v>
                </c:pt>
                <c:pt idx="216">
                  <c:v>49722.8571428571</c:v>
                </c:pt>
                <c:pt idx="217">
                  <c:v>49522.8571428571</c:v>
                </c:pt>
                <c:pt idx="218">
                  <c:v>49239.1428571429</c:v>
                </c:pt>
                <c:pt idx="219">
                  <c:v>49412.1428571429</c:v>
                </c:pt>
                <c:pt idx="220">
                  <c:v>50207.2857142857</c:v>
                </c:pt>
                <c:pt idx="221">
                  <c:v>49808.7142857143</c:v>
                </c:pt>
                <c:pt idx="222">
                  <c:v>49466.5714285714</c:v>
                </c:pt>
                <c:pt idx="223">
                  <c:v>50273.4285714286</c:v>
                </c:pt>
                <c:pt idx="224">
                  <c:v>51191</c:v>
                </c:pt>
                <c:pt idx="225">
                  <c:v>51176</c:v>
                </c:pt>
                <c:pt idx="226">
                  <c:v>50781.8571428571</c:v>
                </c:pt>
                <c:pt idx="227">
                  <c:v>51393.7142857143</c:v>
                </c:pt>
                <c:pt idx="228">
                  <c:v>51902.7142857143</c:v>
                </c:pt>
                <c:pt idx="229">
                  <c:v>52042.8571428571</c:v>
                </c:pt>
                <c:pt idx="230">
                  <c:v>52098.5714285714</c:v>
                </c:pt>
                <c:pt idx="231">
                  <c:v>51836.4285714286</c:v>
                </c:pt>
                <c:pt idx="232">
                  <c:v>51650.2857142857</c:v>
                </c:pt>
                <c:pt idx="233">
                  <c:v>51471</c:v>
                </c:pt>
                <c:pt idx="234">
                  <c:v>51601.7142857143</c:v>
                </c:pt>
                <c:pt idx="235">
                  <c:v>51902.4285714286</c:v>
                </c:pt>
                <c:pt idx="236">
                  <c:v>52103</c:v>
                </c:pt>
                <c:pt idx="237">
                  <c:v>52200.8571428571</c:v>
                </c:pt>
                <c:pt idx="238">
                  <c:v>53747.4285714286</c:v>
                </c:pt>
                <c:pt idx="239">
                  <c:v>53907.2857142857</c:v>
                </c:pt>
                <c:pt idx="240">
                  <c:v>54491.1428571429</c:v>
                </c:pt>
                <c:pt idx="241">
                  <c:v>54079.8571428571</c:v>
                </c:pt>
                <c:pt idx="242">
                  <c:v>52986.8571428571</c:v>
                </c:pt>
                <c:pt idx="243">
                  <c:v>52608.2857142857</c:v>
                </c:pt>
                <c:pt idx="244">
                  <c:v>52473.2857142857</c:v>
                </c:pt>
                <c:pt idx="245">
                  <c:v>50864.1428571429</c:v>
                </c:pt>
                <c:pt idx="246">
                  <c:v>52653.4285714286</c:v>
                </c:pt>
                <c:pt idx="247">
                  <c:v>52435.8571428571</c:v>
                </c:pt>
                <c:pt idx="248">
                  <c:v>52402.2857142857</c:v>
                </c:pt>
                <c:pt idx="249">
                  <c:v>52568.7142857143</c:v>
                </c:pt>
                <c:pt idx="250">
                  <c:v>53482.1428571429</c:v>
                </c:pt>
                <c:pt idx="251">
                  <c:v>55012</c:v>
                </c:pt>
                <c:pt idx="252">
                  <c:v>56682.4285714286</c:v>
                </c:pt>
                <c:pt idx="253">
                  <c:v>55366.5714285714</c:v>
                </c:pt>
                <c:pt idx="254">
                  <c:v>55939.8571428571</c:v>
                </c:pt>
                <c:pt idx="255">
                  <c:v>56779.4285714286</c:v>
                </c:pt>
                <c:pt idx="256">
                  <c:v>57782.4285714286</c:v>
                </c:pt>
                <c:pt idx="257">
                  <c:v>58102.1428571429</c:v>
                </c:pt>
                <c:pt idx="258">
                  <c:v>58302.1428571429</c:v>
                </c:pt>
                <c:pt idx="259">
                  <c:v>58589</c:v>
                </c:pt>
                <c:pt idx="260">
                  <c:v>59450.7142857143</c:v>
                </c:pt>
                <c:pt idx="261">
                  <c:v>59654</c:v>
                </c:pt>
                <c:pt idx="262">
                  <c:v>59217.1428571429</c:v>
                </c:pt>
                <c:pt idx="263">
                  <c:v>58757</c:v>
                </c:pt>
                <c:pt idx="264">
                  <c:v>58224.2857142857</c:v>
                </c:pt>
                <c:pt idx="265">
                  <c:v>58908</c:v>
                </c:pt>
                <c:pt idx="266">
                  <c:v>57786.8571428571</c:v>
                </c:pt>
                <c:pt idx="267">
                  <c:v>56833</c:v>
                </c:pt>
                <c:pt idx="268">
                  <c:v>56410.8571428571</c:v>
                </c:pt>
                <c:pt idx="269">
                  <c:v>56631.1428571429</c:v>
                </c:pt>
                <c:pt idx="270">
                  <c:v>56970.4285714286</c:v>
                </c:pt>
                <c:pt idx="271">
                  <c:v>57619</c:v>
                </c:pt>
                <c:pt idx="272">
                  <c:v>56001.8571428571</c:v>
                </c:pt>
                <c:pt idx="273">
                  <c:v>56729.5714285714</c:v>
                </c:pt>
                <c:pt idx="274">
                  <c:v>57001.7142857143</c:v>
                </c:pt>
                <c:pt idx="275">
                  <c:v>56630.7142857143</c:v>
                </c:pt>
                <c:pt idx="276">
                  <c:v>56429.2857142857</c:v>
                </c:pt>
                <c:pt idx="277">
                  <c:v>51137.2857142857</c:v>
                </c:pt>
                <c:pt idx="278">
                  <c:v>49387.5714285714</c:v>
                </c:pt>
                <c:pt idx="279">
                  <c:v>49937.4285714286</c:v>
                </c:pt>
                <c:pt idx="280">
                  <c:v>50069.2857142857</c:v>
                </c:pt>
                <c:pt idx="281">
                  <c:v>49469.5714285714</c:v>
                </c:pt>
                <c:pt idx="282">
                  <c:v>50021.4285714286</c:v>
                </c:pt>
                <c:pt idx="283">
                  <c:v>50254.5714285714</c:v>
                </c:pt>
                <c:pt idx="284">
                  <c:v>56229.8571428571</c:v>
                </c:pt>
                <c:pt idx="285">
                  <c:v>57810.7142857143</c:v>
                </c:pt>
                <c:pt idx="286">
                  <c:v>57658.5714285714</c:v>
                </c:pt>
                <c:pt idx="287">
                  <c:v>57684.4285714286</c:v>
                </c:pt>
                <c:pt idx="288">
                  <c:v>57998.5714285714</c:v>
                </c:pt>
                <c:pt idx="289">
                  <c:v>57884</c:v>
                </c:pt>
                <c:pt idx="290">
                  <c:v>58054.4285714286</c:v>
                </c:pt>
                <c:pt idx="291">
                  <c:v>57866.8571428571</c:v>
                </c:pt>
                <c:pt idx="292">
                  <c:v>57383.5714285714</c:v>
                </c:pt>
                <c:pt idx="293">
                  <c:v>57581.1428571429</c:v>
                </c:pt>
                <c:pt idx="294">
                  <c:v>56136.7142857143</c:v>
                </c:pt>
                <c:pt idx="295">
                  <c:v>55632</c:v>
                </c:pt>
                <c:pt idx="296">
                  <c:v>55715.7142857143</c:v>
                </c:pt>
                <c:pt idx="297">
                  <c:v>55336.8571428571</c:v>
                </c:pt>
                <c:pt idx="298">
                  <c:v>54360.4285714286</c:v>
                </c:pt>
                <c:pt idx="299">
                  <c:v>54953.1428571429</c:v>
                </c:pt>
                <c:pt idx="300">
                  <c:v>54293</c:v>
                </c:pt>
                <c:pt idx="301">
                  <c:v>54473.8571428571</c:v>
                </c:pt>
                <c:pt idx="302">
                  <c:v>54103.5714285714</c:v>
                </c:pt>
                <c:pt idx="303">
                  <c:v>53765</c:v>
                </c:pt>
                <c:pt idx="304">
                  <c:v>53994.5714285714</c:v>
                </c:pt>
                <c:pt idx="305">
                  <c:v>54296.5714285714</c:v>
                </c:pt>
                <c:pt idx="306">
                  <c:v>53232.5714285714</c:v>
                </c:pt>
                <c:pt idx="307">
                  <c:v>53078</c:v>
                </c:pt>
                <c:pt idx="308">
                  <c:v>53280.5714285714</c:v>
                </c:pt>
                <c:pt idx="309">
                  <c:v>53139.5714285714</c:v>
                </c:pt>
                <c:pt idx="310">
                  <c:v>53204.1428571429</c:v>
                </c:pt>
                <c:pt idx="311">
                  <c:v>53411.8571428571</c:v>
                </c:pt>
                <c:pt idx="312">
                  <c:v>53363.5714285714</c:v>
                </c:pt>
                <c:pt idx="313">
                  <c:v>53323.1428571429</c:v>
                </c:pt>
                <c:pt idx="314">
                  <c:v>53469.1428571429</c:v>
                </c:pt>
                <c:pt idx="315">
                  <c:v>52759.4285714286</c:v>
                </c:pt>
                <c:pt idx="316">
                  <c:v>52964.7142857143</c:v>
                </c:pt>
                <c:pt idx="317">
                  <c:v>52159</c:v>
                </c:pt>
                <c:pt idx="318">
                  <c:v>51651.1428571429</c:v>
                </c:pt>
                <c:pt idx="319">
                  <c:v>50709.2857142857</c:v>
                </c:pt>
                <c:pt idx="320">
                  <c:v>52442.1428571429</c:v>
                </c:pt>
                <c:pt idx="321">
                  <c:v>52064.1428571429</c:v>
                </c:pt>
                <c:pt idx="322">
                  <c:v>52394.1428571429</c:v>
                </c:pt>
                <c:pt idx="323">
                  <c:v>52077</c:v>
                </c:pt>
                <c:pt idx="324">
                  <c:v>52446.5714285714</c:v>
                </c:pt>
                <c:pt idx="325">
                  <c:v>52763.8571428571</c:v>
                </c:pt>
                <c:pt idx="326">
                  <c:v>53803.1428571429</c:v>
                </c:pt>
                <c:pt idx="327">
                  <c:v>52708.1428571429</c:v>
                </c:pt>
                <c:pt idx="328">
                  <c:v>52858</c:v>
                </c:pt>
                <c:pt idx="329">
                  <c:v>52997.2857142857</c:v>
                </c:pt>
                <c:pt idx="330">
                  <c:v>53284.8571428571</c:v>
                </c:pt>
                <c:pt idx="331">
                  <c:v>53695.2857142857</c:v>
                </c:pt>
                <c:pt idx="332">
                  <c:v>53304</c:v>
                </c:pt>
                <c:pt idx="333">
                  <c:v>52920.5714285714</c:v>
                </c:pt>
                <c:pt idx="334">
                  <c:v>52144</c:v>
                </c:pt>
                <c:pt idx="335">
                  <c:v>52642.7142857143</c:v>
                </c:pt>
                <c:pt idx="336">
                  <c:v>52626.7142857143</c:v>
                </c:pt>
                <c:pt idx="337">
                  <c:v>52794.1428571429</c:v>
                </c:pt>
                <c:pt idx="338">
                  <c:v>52427.7142857143</c:v>
                </c:pt>
                <c:pt idx="339">
                  <c:v>53095.5714285714</c:v>
                </c:pt>
                <c:pt idx="340">
                  <c:v>53699.7142857143</c:v>
                </c:pt>
                <c:pt idx="341">
                  <c:v>54274.1428571429</c:v>
                </c:pt>
                <c:pt idx="342">
                  <c:v>53770.5714285714</c:v>
                </c:pt>
                <c:pt idx="343">
                  <c:v>54270</c:v>
                </c:pt>
                <c:pt idx="344">
                  <c:v>54807.7142857143</c:v>
                </c:pt>
                <c:pt idx="345">
                  <c:v>54827.5714285714</c:v>
                </c:pt>
                <c:pt idx="346">
                  <c:v>54492.5714285714</c:v>
                </c:pt>
                <c:pt idx="347">
                  <c:v>54426.7142857143</c:v>
                </c:pt>
                <c:pt idx="348">
                  <c:v>54288.8571428571</c:v>
                </c:pt>
                <c:pt idx="349">
                  <c:v>54614.1428571429</c:v>
                </c:pt>
                <c:pt idx="350">
                  <c:v>55153</c:v>
                </c:pt>
                <c:pt idx="351">
                  <c:v>54976.1428571429</c:v>
                </c:pt>
                <c:pt idx="352">
                  <c:v>55426.8571428571</c:v>
                </c:pt>
                <c:pt idx="353">
                  <c:v>55759.8571428571</c:v>
                </c:pt>
                <c:pt idx="354">
                  <c:v>55848.4285714286</c:v>
                </c:pt>
                <c:pt idx="355">
                  <c:v>56424.4285714286</c:v>
                </c:pt>
                <c:pt idx="356">
                  <c:v>55931.7142857143</c:v>
                </c:pt>
                <c:pt idx="357">
                  <c:v>56033.2857142857</c:v>
                </c:pt>
                <c:pt idx="358">
                  <c:v>56398.5714285714</c:v>
                </c:pt>
                <c:pt idx="359">
                  <c:v>56444.2857142857</c:v>
                </c:pt>
                <c:pt idx="360">
                  <c:v>56328.4285714286</c:v>
                </c:pt>
                <c:pt idx="361">
                  <c:v>56662.1428571429</c:v>
                </c:pt>
                <c:pt idx="362">
                  <c:v>56146.7142857143</c:v>
                </c:pt>
                <c:pt idx="363">
                  <c:v>56446.5714285714</c:v>
                </c:pt>
                <c:pt idx="364">
                  <c:v>55471.4285714286</c:v>
                </c:pt>
                <c:pt idx="365">
                  <c:v>54671.2857142857</c:v>
                </c:pt>
                <c:pt idx="366">
                  <c:v>54493.5714285714</c:v>
                </c:pt>
                <c:pt idx="367">
                  <c:v>54366.4285714286</c:v>
                </c:pt>
                <c:pt idx="368">
                  <c:v>54432</c:v>
                </c:pt>
                <c:pt idx="369">
                  <c:v>54554.4285714286</c:v>
                </c:pt>
                <c:pt idx="370">
                  <c:v>54544.4285714286</c:v>
                </c:pt>
                <c:pt idx="371">
                  <c:v>55066.4285714286</c:v>
                </c:pt>
                <c:pt idx="372">
                  <c:v>55819.1428571429</c:v>
                </c:pt>
                <c:pt idx="373">
                  <c:v>55276.1428571429</c:v>
                </c:pt>
                <c:pt idx="374">
                  <c:v>54852</c:v>
                </c:pt>
                <c:pt idx="375">
                  <c:v>50262.4285714286</c:v>
                </c:pt>
                <c:pt idx="376">
                  <c:v>48886.8571428571</c:v>
                </c:pt>
                <c:pt idx="377">
                  <c:v>49277</c:v>
                </c:pt>
                <c:pt idx="378">
                  <c:v>49517.4285714286</c:v>
                </c:pt>
                <c:pt idx="379">
                  <c:v>48925.1428571429</c:v>
                </c:pt>
                <c:pt idx="380">
                  <c:v>49633.1428571429</c:v>
                </c:pt>
                <c:pt idx="381">
                  <c:v>50462</c:v>
                </c:pt>
                <c:pt idx="382">
                  <c:v>55014.2857142857</c:v>
                </c:pt>
                <c:pt idx="383">
                  <c:v>57329.1428571429</c:v>
                </c:pt>
                <c:pt idx="384">
                  <c:v>58389.4285714286</c:v>
                </c:pt>
                <c:pt idx="385">
                  <c:v>59773.7142857143</c:v>
                </c:pt>
                <c:pt idx="386">
                  <c:v>59400</c:v>
                </c:pt>
                <c:pt idx="387">
                  <c:v>59239.2857142857</c:v>
                </c:pt>
                <c:pt idx="388">
                  <c:v>59254.8571428571</c:v>
                </c:pt>
                <c:pt idx="389">
                  <c:v>59321.1428571429</c:v>
                </c:pt>
                <c:pt idx="390">
                  <c:v>58982</c:v>
                </c:pt>
                <c:pt idx="391">
                  <c:v>58806.2857142857</c:v>
                </c:pt>
                <c:pt idx="392">
                  <c:v>57086.7142857143</c:v>
                </c:pt>
                <c:pt idx="393">
                  <c:v>57314.4285714286</c:v>
                </c:pt>
                <c:pt idx="394">
                  <c:v>57375</c:v>
                </c:pt>
                <c:pt idx="395">
                  <c:v>57320.1428571429</c:v>
                </c:pt>
                <c:pt idx="396">
                  <c:v>56530.4285714286</c:v>
                </c:pt>
                <c:pt idx="397">
                  <c:v>55881.4285714286</c:v>
                </c:pt>
                <c:pt idx="398">
                  <c:v>55278.7142857143</c:v>
                </c:pt>
                <c:pt idx="399">
                  <c:v>55465.7142857143</c:v>
                </c:pt>
                <c:pt idx="400">
                  <c:v>55662</c:v>
                </c:pt>
                <c:pt idx="401">
                  <c:v>55642.1428571429</c:v>
                </c:pt>
                <c:pt idx="402">
                  <c:v>54810.5714285714</c:v>
                </c:pt>
                <c:pt idx="403">
                  <c:v>55163.5714285714</c:v>
                </c:pt>
                <c:pt idx="404">
                  <c:v>55194.4285714286</c:v>
                </c:pt>
                <c:pt idx="405">
                  <c:v>55142.7142857143</c:v>
                </c:pt>
                <c:pt idx="406">
                  <c:v>54411</c:v>
                </c:pt>
                <c:pt idx="407">
                  <c:v>53817.1428571429</c:v>
                </c:pt>
                <c:pt idx="408">
                  <c:v>53699.4285714286</c:v>
                </c:pt>
                <c:pt idx="409">
                  <c:v>54377.2857142857</c:v>
                </c:pt>
                <c:pt idx="410">
                  <c:v>54194.4285714286</c:v>
                </c:pt>
                <c:pt idx="411">
                  <c:v>54985.7142857143</c:v>
                </c:pt>
                <c:pt idx="412">
                  <c:v>55643.8571428571</c:v>
                </c:pt>
                <c:pt idx="413">
                  <c:v>56338</c:v>
                </c:pt>
                <c:pt idx="414">
                  <c:v>56760.2857142857</c:v>
                </c:pt>
                <c:pt idx="415">
                  <c:v>56912.5714285714</c:v>
                </c:pt>
                <c:pt idx="416">
                  <c:v>56902.4285714286</c:v>
                </c:pt>
                <c:pt idx="417">
                  <c:v>57610</c:v>
                </c:pt>
                <c:pt idx="418">
                  <c:v>57314.1428571429</c:v>
                </c:pt>
                <c:pt idx="419">
                  <c:v>56476.4285714286</c:v>
                </c:pt>
                <c:pt idx="420">
                  <c:v>57690.4285714286</c:v>
                </c:pt>
                <c:pt idx="421">
                  <c:v>57635.8571428571</c:v>
                </c:pt>
                <c:pt idx="422">
                  <c:v>56782</c:v>
                </c:pt>
                <c:pt idx="423">
                  <c:v>57331.4285714286</c:v>
                </c:pt>
                <c:pt idx="424">
                  <c:v>56852.8571428571</c:v>
                </c:pt>
                <c:pt idx="425">
                  <c:v>56694.5714285714</c:v>
                </c:pt>
                <c:pt idx="426">
                  <c:v>58141.7142857143</c:v>
                </c:pt>
                <c:pt idx="427">
                  <c:v>56968.1428571429</c:v>
                </c:pt>
                <c:pt idx="428">
                  <c:v>58474.4285714286</c:v>
                </c:pt>
                <c:pt idx="429">
                  <c:v>59060.8571428571</c:v>
                </c:pt>
                <c:pt idx="430">
                  <c:v>58466.1428571429</c:v>
                </c:pt>
                <c:pt idx="431">
                  <c:v>58970.5714285714</c:v>
                </c:pt>
                <c:pt idx="432">
                  <c:v>59242.1428571429</c:v>
                </c:pt>
                <c:pt idx="433">
                  <c:v>59075.7142857143</c:v>
                </c:pt>
                <c:pt idx="434">
                  <c:v>58528</c:v>
                </c:pt>
                <c:pt idx="435">
                  <c:v>58072.8571428571</c:v>
                </c:pt>
                <c:pt idx="436">
                  <c:v>57866.1428571429</c:v>
                </c:pt>
                <c:pt idx="437">
                  <c:v>58534.5714285714</c:v>
                </c:pt>
                <c:pt idx="438">
                  <c:v>58096.8571428571</c:v>
                </c:pt>
                <c:pt idx="439">
                  <c:v>57919.2857142857</c:v>
                </c:pt>
                <c:pt idx="440">
                  <c:v>56045.5714285714</c:v>
                </c:pt>
                <c:pt idx="441">
                  <c:v>56790.1428571429</c:v>
                </c:pt>
                <c:pt idx="442">
                  <c:v>59902.4285714286</c:v>
                </c:pt>
                <c:pt idx="443">
                  <c:v>60327.8571428571</c:v>
                </c:pt>
                <c:pt idx="444">
                  <c:v>60635.5714285714</c:v>
                </c:pt>
                <c:pt idx="445">
                  <c:v>60486.8571428571</c:v>
                </c:pt>
                <c:pt idx="446">
                  <c:v>59180.7142857143</c:v>
                </c:pt>
                <c:pt idx="447">
                  <c:v>58201</c:v>
                </c:pt>
                <c:pt idx="448">
                  <c:v>57888.2857142857</c:v>
                </c:pt>
                <c:pt idx="449">
                  <c:v>57828.7142857143</c:v>
                </c:pt>
                <c:pt idx="450">
                  <c:v>58059.1428571429</c:v>
                </c:pt>
                <c:pt idx="451">
                  <c:v>58824.7142857143</c:v>
                </c:pt>
                <c:pt idx="452">
                  <c:v>59934.1428571429</c:v>
                </c:pt>
                <c:pt idx="453">
                  <c:v>61866.5714285714</c:v>
                </c:pt>
                <c:pt idx="454">
                  <c:v>64102.4285714286</c:v>
                </c:pt>
                <c:pt idx="455">
                  <c:v>63826.2857142857</c:v>
                </c:pt>
                <c:pt idx="456">
                  <c:v>62139</c:v>
                </c:pt>
                <c:pt idx="457">
                  <c:v>61752.5714285714</c:v>
                </c:pt>
                <c:pt idx="458">
                  <c:v>59547</c:v>
                </c:pt>
                <c:pt idx="459">
                  <c:v>58247.8571428571</c:v>
                </c:pt>
                <c:pt idx="460">
                  <c:v>56914</c:v>
                </c:pt>
                <c:pt idx="461">
                  <c:v>56118</c:v>
                </c:pt>
                <c:pt idx="462">
                  <c:v>52763.1428571429</c:v>
                </c:pt>
                <c:pt idx="463">
                  <c:v>48634.2857142857</c:v>
                </c:pt>
                <c:pt idx="464">
                  <c:v>48482.2857142857</c:v>
                </c:pt>
                <c:pt idx="465">
                  <c:v>48748.8571428571</c:v>
                </c:pt>
                <c:pt idx="466">
                  <c:v>47919.5714285714</c:v>
                </c:pt>
                <c:pt idx="467">
                  <c:v>48978.5714285714</c:v>
                </c:pt>
                <c:pt idx="468">
                  <c:v>50031.8571428571</c:v>
                </c:pt>
                <c:pt idx="469">
                  <c:v>55016.4285714286</c:v>
                </c:pt>
                <c:pt idx="470">
                  <c:v>57788.8571428571</c:v>
                </c:pt>
                <c:pt idx="471">
                  <c:v>57663.4285714286</c:v>
                </c:pt>
                <c:pt idx="472">
                  <c:v>58508.1428571429</c:v>
                </c:pt>
                <c:pt idx="473">
                  <c:v>61452.8571428571</c:v>
                </c:pt>
                <c:pt idx="474">
                  <c:v>62381.5714285714</c:v>
                </c:pt>
                <c:pt idx="475">
                  <c:v>62201.2857142857</c:v>
                </c:pt>
                <c:pt idx="476">
                  <c:v>61476.2857142857</c:v>
                </c:pt>
                <c:pt idx="477">
                  <c:v>61431.7142857143</c:v>
                </c:pt>
                <c:pt idx="478">
                  <c:v>61280</c:v>
                </c:pt>
                <c:pt idx="479">
                  <c:v>62157.1428571429</c:v>
                </c:pt>
                <c:pt idx="480">
                  <c:v>61046.2857142857</c:v>
                </c:pt>
                <c:pt idx="481">
                  <c:v>60490.7142857143</c:v>
                </c:pt>
                <c:pt idx="482">
                  <c:v>60722.8571428571</c:v>
                </c:pt>
                <c:pt idx="483">
                  <c:v>61434.5714285714</c:v>
                </c:pt>
                <c:pt idx="484">
                  <c:v>60555.1428571429</c:v>
                </c:pt>
                <c:pt idx="485">
                  <c:v>61406.2857142857</c:v>
                </c:pt>
                <c:pt idx="486">
                  <c:v>60184.2857142857</c:v>
                </c:pt>
                <c:pt idx="487">
                  <c:v>59846.4285714286</c:v>
                </c:pt>
                <c:pt idx="488">
                  <c:v>58951.1428571429</c:v>
                </c:pt>
                <c:pt idx="489">
                  <c:v>53275.8571428571</c:v>
                </c:pt>
                <c:pt idx="490">
                  <c:v>47292.7142857143</c:v>
                </c:pt>
                <c:pt idx="491">
                  <c:v>46832.1428571429</c:v>
                </c:pt>
                <c:pt idx="492">
                  <c:v>46679.1428571429</c:v>
                </c:pt>
                <c:pt idx="493">
                  <c:v>48028.8571428571</c:v>
                </c:pt>
                <c:pt idx="494">
                  <c:v>47685.7142857143</c:v>
                </c:pt>
                <c:pt idx="495">
                  <c:v>48351</c:v>
                </c:pt>
                <c:pt idx="496">
                  <c:v>48154.5714285714</c:v>
                </c:pt>
                <c:pt idx="497">
                  <c:v>48451.4285714286</c:v>
                </c:pt>
                <c:pt idx="498">
                  <c:v>50529.2857142857</c:v>
                </c:pt>
                <c:pt idx="499">
                  <c:v>50109.1428571429</c:v>
                </c:pt>
                <c:pt idx="500">
                  <c:v>49536.5714285714</c:v>
                </c:pt>
                <c:pt idx="501">
                  <c:v>51188</c:v>
                </c:pt>
                <c:pt idx="502">
                  <c:v>52202.4285714286</c:v>
                </c:pt>
                <c:pt idx="503">
                  <c:v>58690.7142857143</c:v>
                </c:pt>
                <c:pt idx="504">
                  <c:v>64200.8571428571</c:v>
                </c:pt>
                <c:pt idx="505">
                  <c:v>65358</c:v>
                </c:pt>
                <c:pt idx="506">
                  <c:v>64819.2857142857</c:v>
                </c:pt>
                <c:pt idx="507">
                  <c:v>64893</c:v>
                </c:pt>
                <c:pt idx="508">
                  <c:v>63454.7142857143</c:v>
                </c:pt>
                <c:pt idx="509">
                  <c:v>63127.2857142857</c:v>
                </c:pt>
                <c:pt idx="510">
                  <c:v>62123.4285714286</c:v>
                </c:pt>
                <c:pt idx="511">
                  <c:v>61778.4285714286</c:v>
                </c:pt>
                <c:pt idx="512">
                  <c:v>59769.1428571429</c:v>
                </c:pt>
                <c:pt idx="513">
                  <c:v>61048.1428571429</c:v>
                </c:pt>
                <c:pt idx="514">
                  <c:v>60774.5714285714</c:v>
                </c:pt>
                <c:pt idx="515">
                  <c:v>61160.7142857143</c:v>
                </c:pt>
                <c:pt idx="516">
                  <c:v>60797.8571428571</c:v>
                </c:pt>
                <c:pt idx="517">
                  <c:v>60406</c:v>
                </c:pt>
                <c:pt idx="518">
                  <c:v>60232.2857142857</c:v>
                </c:pt>
                <c:pt idx="519">
                  <c:v>59874.5714285714</c:v>
                </c:pt>
                <c:pt idx="520">
                  <c:v>59421</c:v>
                </c:pt>
                <c:pt idx="521">
                  <c:v>58996.8571428571</c:v>
                </c:pt>
                <c:pt idx="522">
                  <c:v>58573.5714285714</c:v>
                </c:pt>
                <c:pt idx="523">
                  <c:v>58102.5714285714</c:v>
                </c:pt>
                <c:pt idx="524">
                  <c:v>58208.7142857143</c:v>
                </c:pt>
                <c:pt idx="525">
                  <c:v>58181.8571428571</c:v>
                </c:pt>
                <c:pt idx="526">
                  <c:v>57814.5714285714</c:v>
                </c:pt>
                <c:pt idx="527">
                  <c:v>57244</c:v>
                </c:pt>
                <c:pt idx="528">
                  <c:v>58121.5714285714</c:v>
                </c:pt>
                <c:pt idx="529">
                  <c:v>58824.7142857143</c:v>
                </c:pt>
                <c:pt idx="530">
                  <c:v>59419.8571428571</c:v>
                </c:pt>
                <c:pt idx="531">
                  <c:v>59723.2857142857</c:v>
                </c:pt>
                <c:pt idx="532">
                  <c:v>60332.4285714286</c:v>
                </c:pt>
                <c:pt idx="533">
                  <c:v>60375.5714285714</c:v>
                </c:pt>
                <c:pt idx="534">
                  <c:v>61069.2857142857</c:v>
                </c:pt>
                <c:pt idx="535">
                  <c:v>60324.1428571429</c:v>
                </c:pt>
                <c:pt idx="536">
                  <c:v>59031.1428571429</c:v>
                </c:pt>
                <c:pt idx="537">
                  <c:v>58797.4285714286</c:v>
                </c:pt>
                <c:pt idx="538">
                  <c:v>59281.5714285714</c:v>
                </c:pt>
                <c:pt idx="539">
                  <c:v>58282.2857142857</c:v>
                </c:pt>
                <c:pt idx="540">
                  <c:v>58945.1428571429</c:v>
                </c:pt>
                <c:pt idx="541">
                  <c:v>58691.2857142857</c:v>
                </c:pt>
                <c:pt idx="542">
                  <c:v>58571.2857142857</c:v>
                </c:pt>
                <c:pt idx="543">
                  <c:v>59211.2857142857</c:v>
                </c:pt>
                <c:pt idx="544">
                  <c:v>59402.1428571429</c:v>
                </c:pt>
                <c:pt idx="545">
                  <c:v>58883.8571428571</c:v>
                </c:pt>
                <c:pt idx="546">
                  <c:v>59288.2857142857</c:v>
                </c:pt>
                <c:pt idx="547">
                  <c:v>59187.7142857143</c:v>
                </c:pt>
                <c:pt idx="548">
                  <c:v>59328.5714285714</c:v>
                </c:pt>
                <c:pt idx="549">
                  <c:v>59570.7142857143</c:v>
                </c:pt>
                <c:pt idx="550">
                  <c:v>58938.1428571429</c:v>
                </c:pt>
                <c:pt idx="551">
                  <c:v>58970.2857142857</c:v>
                </c:pt>
                <c:pt idx="552">
                  <c:v>59109.8571428571</c:v>
                </c:pt>
                <c:pt idx="553">
                  <c:v>51317.2857142857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'Daily Velocity'!E3</c:f>
              <c:strCache>
                <c:ptCount val="1"/>
                <c:pt idx="0">
                  <c:v>30-Day Moving Avg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Velocity'!$A$4:$A$557</c:f>
              <c:strCache>
                <c:ptCount val="554"/>
                <c:pt idx="0">
                  <c:v>2024-08-22</c:v>
                </c:pt>
                <c:pt idx="1">
                  <c:v>2024-08-23</c:v>
                </c:pt>
                <c:pt idx="2">
                  <c:v>2024-08-24</c:v>
                </c:pt>
                <c:pt idx="3">
                  <c:v>2024-08-25</c:v>
                </c:pt>
                <c:pt idx="4">
                  <c:v>2024-08-26</c:v>
                </c:pt>
                <c:pt idx="5">
                  <c:v>2024-08-27</c:v>
                </c:pt>
                <c:pt idx="6">
                  <c:v>2024-08-28</c:v>
                </c:pt>
                <c:pt idx="7">
                  <c:v>2024-08-29</c:v>
                </c:pt>
                <c:pt idx="8">
                  <c:v>2024-08-30</c:v>
                </c:pt>
                <c:pt idx="9">
                  <c:v>2024-08-31</c:v>
                </c:pt>
                <c:pt idx="10">
                  <c:v>2024-09-01</c:v>
                </c:pt>
                <c:pt idx="11">
                  <c:v>2024-09-02</c:v>
                </c:pt>
                <c:pt idx="12">
                  <c:v>2024-09-03</c:v>
                </c:pt>
                <c:pt idx="13">
                  <c:v>2024-09-04</c:v>
                </c:pt>
                <c:pt idx="14">
                  <c:v>2024-09-05</c:v>
                </c:pt>
                <c:pt idx="15">
                  <c:v>2024-09-06</c:v>
                </c:pt>
                <c:pt idx="16">
                  <c:v>2024-09-07</c:v>
                </c:pt>
                <c:pt idx="17">
                  <c:v>2024-09-08</c:v>
                </c:pt>
                <c:pt idx="18">
                  <c:v>2024-09-09</c:v>
                </c:pt>
                <c:pt idx="19">
                  <c:v>2024-09-10</c:v>
                </c:pt>
                <c:pt idx="20">
                  <c:v>2024-09-11</c:v>
                </c:pt>
                <c:pt idx="21">
                  <c:v>2024-09-12</c:v>
                </c:pt>
                <c:pt idx="22">
                  <c:v>2024-09-13</c:v>
                </c:pt>
                <c:pt idx="23">
                  <c:v>2024-09-14</c:v>
                </c:pt>
                <c:pt idx="24">
                  <c:v>2024-09-15</c:v>
                </c:pt>
                <c:pt idx="25">
                  <c:v>2024-09-16</c:v>
                </c:pt>
                <c:pt idx="26">
                  <c:v>2024-09-17</c:v>
                </c:pt>
                <c:pt idx="27">
                  <c:v>2024-09-18</c:v>
                </c:pt>
                <c:pt idx="28">
                  <c:v>2024-09-19</c:v>
                </c:pt>
                <c:pt idx="29">
                  <c:v>2024-09-20</c:v>
                </c:pt>
                <c:pt idx="30">
                  <c:v>2024-09-21</c:v>
                </c:pt>
                <c:pt idx="31">
                  <c:v>2024-09-22</c:v>
                </c:pt>
                <c:pt idx="32">
                  <c:v>2024-09-23</c:v>
                </c:pt>
                <c:pt idx="33">
                  <c:v>2024-09-24</c:v>
                </c:pt>
                <c:pt idx="34">
                  <c:v>2024-09-25</c:v>
                </c:pt>
                <c:pt idx="35">
                  <c:v>2024-09-26</c:v>
                </c:pt>
                <c:pt idx="36">
                  <c:v>2024-09-27</c:v>
                </c:pt>
                <c:pt idx="37">
                  <c:v>2024-09-28</c:v>
                </c:pt>
                <c:pt idx="38">
                  <c:v>2024-09-29</c:v>
                </c:pt>
                <c:pt idx="39">
                  <c:v>2024-09-30</c:v>
                </c:pt>
                <c:pt idx="40">
                  <c:v>2024-10-01</c:v>
                </c:pt>
                <c:pt idx="41">
                  <c:v>2024-10-02</c:v>
                </c:pt>
                <c:pt idx="42">
                  <c:v>2024-10-03</c:v>
                </c:pt>
                <c:pt idx="43">
                  <c:v>2024-10-04</c:v>
                </c:pt>
                <c:pt idx="44">
                  <c:v>2024-10-05</c:v>
                </c:pt>
                <c:pt idx="45">
                  <c:v>2024-10-06</c:v>
                </c:pt>
                <c:pt idx="46">
                  <c:v>2024-10-07</c:v>
                </c:pt>
                <c:pt idx="47">
                  <c:v>2024-10-08</c:v>
                </c:pt>
                <c:pt idx="48">
                  <c:v>2024-10-09</c:v>
                </c:pt>
                <c:pt idx="49">
                  <c:v>2024-10-10</c:v>
                </c:pt>
                <c:pt idx="50">
                  <c:v>2024-10-11</c:v>
                </c:pt>
                <c:pt idx="51">
                  <c:v>2024-10-12</c:v>
                </c:pt>
                <c:pt idx="52">
                  <c:v>2024-10-13</c:v>
                </c:pt>
                <c:pt idx="53">
                  <c:v>2024-10-14</c:v>
                </c:pt>
                <c:pt idx="54">
                  <c:v>2024-10-15</c:v>
                </c:pt>
                <c:pt idx="55">
                  <c:v>2024-10-16</c:v>
                </c:pt>
                <c:pt idx="56">
                  <c:v>2024-10-17</c:v>
                </c:pt>
                <c:pt idx="57">
                  <c:v>2024-10-18</c:v>
                </c:pt>
                <c:pt idx="58">
                  <c:v>2024-10-19</c:v>
                </c:pt>
                <c:pt idx="59">
                  <c:v>2024-10-20</c:v>
                </c:pt>
                <c:pt idx="60">
                  <c:v>2024-10-21</c:v>
                </c:pt>
                <c:pt idx="61">
                  <c:v>2024-10-22</c:v>
                </c:pt>
                <c:pt idx="62">
                  <c:v>2024-10-23</c:v>
                </c:pt>
                <c:pt idx="63">
                  <c:v>2024-10-24</c:v>
                </c:pt>
                <c:pt idx="64">
                  <c:v>2024-10-25</c:v>
                </c:pt>
                <c:pt idx="65">
                  <c:v>2024-10-26</c:v>
                </c:pt>
                <c:pt idx="66">
                  <c:v>2024-10-27</c:v>
                </c:pt>
                <c:pt idx="67">
                  <c:v>2024-10-28</c:v>
                </c:pt>
                <c:pt idx="68">
                  <c:v>2024-10-29</c:v>
                </c:pt>
                <c:pt idx="69">
                  <c:v>2024-10-30</c:v>
                </c:pt>
                <c:pt idx="70">
                  <c:v>2024-10-31</c:v>
                </c:pt>
                <c:pt idx="71">
                  <c:v>2024-11-01</c:v>
                </c:pt>
                <c:pt idx="72">
                  <c:v>2024-11-02</c:v>
                </c:pt>
                <c:pt idx="73">
                  <c:v>2024-11-03</c:v>
                </c:pt>
                <c:pt idx="74">
                  <c:v>2024-11-04</c:v>
                </c:pt>
                <c:pt idx="75">
                  <c:v>2024-11-05</c:v>
                </c:pt>
                <c:pt idx="76">
                  <c:v>2024-11-06</c:v>
                </c:pt>
                <c:pt idx="77">
                  <c:v>2024-11-07</c:v>
                </c:pt>
                <c:pt idx="78">
                  <c:v>2024-11-08</c:v>
                </c:pt>
                <c:pt idx="79">
                  <c:v>2024-11-09</c:v>
                </c:pt>
                <c:pt idx="80">
                  <c:v>2024-11-10</c:v>
                </c:pt>
                <c:pt idx="81">
                  <c:v>2024-11-11</c:v>
                </c:pt>
                <c:pt idx="82">
                  <c:v>2024-11-12</c:v>
                </c:pt>
                <c:pt idx="83">
                  <c:v>2024-11-13</c:v>
                </c:pt>
                <c:pt idx="84">
                  <c:v>2024-11-14</c:v>
                </c:pt>
                <c:pt idx="85">
                  <c:v>2024-11-15</c:v>
                </c:pt>
                <c:pt idx="86">
                  <c:v>2024-11-16</c:v>
                </c:pt>
                <c:pt idx="87">
                  <c:v>2024-11-17</c:v>
                </c:pt>
                <c:pt idx="88">
                  <c:v>2024-11-18</c:v>
                </c:pt>
                <c:pt idx="89">
                  <c:v>2024-11-19</c:v>
                </c:pt>
                <c:pt idx="90">
                  <c:v>2024-11-20</c:v>
                </c:pt>
                <c:pt idx="91">
                  <c:v>2024-11-21</c:v>
                </c:pt>
                <c:pt idx="92">
                  <c:v>2024-11-22</c:v>
                </c:pt>
                <c:pt idx="93">
                  <c:v>2024-11-23</c:v>
                </c:pt>
                <c:pt idx="94">
                  <c:v>2024-11-24</c:v>
                </c:pt>
                <c:pt idx="95">
                  <c:v>2024-11-25</c:v>
                </c:pt>
                <c:pt idx="96">
                  <c:v>2024-11-26</c:v>
                </c:pt>
                <c:pt idx="97">
                  <c:v>2024-11-27</c:v>
                </c:pt>
                <c:pt idx="98">
                  <c:v>2024-11-28</c:v>
                </c:pt>
                <c:pt idx="99">
                  <c:v>2024-11-29</c:v>
                </c:pt>
                <c:pt idx="100">
                  <c:v>2024-11-30</c:v>
                </c:pt>
                <c:pt idx="101">
                  <c:v>2024-12-01</c:v>
                </c:pt>
                <c:pt idx="102">
                  <c:v>2024-12-02</c:v>
                </c:pt>
                <c:pt idx="103">
                  <c:v>2024-12-03</c:v>
                </c:pt>
                <c:pt idx="104">
                  <c:v>2024-12-04</c:v>
                </c:pt>
                <c:pt idx="105">
                  <c:v>2024-12-05</c:v>
                </c:pt>
                <c:pt idx="106">
                  <c:v>2024-12-06</c:v>
                </c:pt>
                <c:pt idx="107">
                  <c:v>2024-12-07</c:v>
                </c:pt>
                <c:pt idx="108">
                  <c:v>2024-12-08</c:v>
                </c:pt>
                <c:pt idx="109">
                  <c:v>2024-12-09</c:v>
                </c:pt>
                <c:pt idx="110">
                  <c:v>2024-12-10</c:v>
                </c:pt>
                <c:pt idx="111">
                  <c:v>2024-12-11</c:v>
                </c:pt>
                <c:pt idx="112">
                  <c:v>2024-12-12</c:v>
                </c:pt>
                <c:pt idx="113">
                  <c:v>2024-12-13</c:v>
                </c:pt>
                <c:pt idx="114">
                  <c:v>2024-12-14</c:v>
                </c:pt>
                <c:pt idx="115">
                  <c:v>2024-12-15</c:v>
                </c:pt>
                <c:pt idx="116">
                  <c:v>2024-12-16</c:v>
                </c:pt>
                <c:pt idx="117">
                  <c:v>2024-12-17</c:v>
                </c:pt>
                <c:pt idx="118">
                  <c:v>2024-12-18</c:v>
                </c:pt>
                <c:pt idx="119">
                  <c:v>2024-12-19</c:v>
                </c:pt>
                <c:pt idx="120">
                  <c:v>2024-12-20</c:v>
                </c:pt>
                <c:pt idx="121">
                  <c:v>2024-12-21</c:v>
                </c:pt>
                <c:pt idx="122">
                  <c:v>2024-12-22</c:v>
                </c:pt>
                <c:pt idx="123">
                  <c:v>2024-12-23</c:v>
                </c:pt>
                <c:pt idx="124">
                  <c:v>2024-12-24</c:v>
                </c:pt>
                <c:pt idx="125">
                  <c:v>2024-12-25</c:v>
                </c:pt>
                <c:pt idx="126">
                  <c:v>2024-12-26</c:v>
                </c:pt>
                <c:pt idx="127">
                  <c:v>2024-12-27</c:v>
                </c:pt>
                <c:pt idx="128">
                  <c:v>2024-12-28</c:v>
                </c:pt>
                <c:pt idx="129">
                  <c:v>2024-12-29</c:v>
                </c:pt>
                <c:pt idx="130">
                  <c:v>2024-12-30</c:v>
                </c:pt>
                <c:pt idx="131">
                  <c:v>2024-12-31</c:v>
                </c:pt>
                <c:pt idx="132">
                  <c:v>2025-01-01</c:v>
                </c:pt>
                <c:pt idx="133">
                  <c:v>2025-01-02</c:v>
                </c:pt>
                <c:pt idx="134">
                  <c:v>2025-01-03</c:v>
                </c:pt>
                <c:pt idx="135">
                  <c:v>2025-01-04</c:v>
                </c:pt>
                <c:pt idx="136">
                  <c:v>2025-01-05</c:v>
                </c:pt>
                <c:pt idx="137">
                  <c:v>2025-01-06</c:v>
                </c:pt>
                <c:pt idx="138">
                  <c:v>2025-01-07</c:v>
                </c:pt>
                <c:pt idx="139">
                  <c:v>2025-01-08</c:v>
                </c:pt>
                <c:pt idx="140">
                  <c:v>2025-01-09</c:v>
                </c:pt>
                <c:pt idx="141">
                  <c:v>2025-01-10</c:v>
                </c:pt>
                <c:pt idx="142">
                  <c:v>2025-01-11</c:v>
                </c:pt>
                <c:pt idx="143">
                  <c:v>2025-01-12</c:v>
                </c:pt>
                <c:pt idx="144">
                  <c:v>2025-01-13</c:v>
                </c:pt>
                <c:pt idx="145">
                  <c:v>2025-01-14</c:v>
                </c:pt>
                <c:pt idx="146">
                  <c:v>2025-01-15</c:v>
                </c:pt>
                <c:pt idx="147">
                  <c:v>2025-01-16</c:v>
                </c:pt>
                <c:pt idx="148">
                  <c:v>2025-01-17</c:v>
                </c:pt>
                <c:pt idx="149">
                  <c:v>2025-01-18</c:v>
                </c:pt>
                <c:pt idx="150">
                  <c:v>2025-01-19</c:v>
                </c:pt>
                <c:pt idx="151">
                  <c:v>2025-01-20</c:v>
                </c:pt>
                <c:pt idx="152">
                  <c:v>2025-01-21</c:v>
                </c:pt>
                <c:pt idx="153">
                  <c:v>2025-01-22</c:v>
                </c:pt>
                <c:pt idx="154">
                  <c:v>2025-01-23</c:v>
                </c:pt>
                <c:pt idx="155">
                  <c:v>2025-01-24</c:v>
                </c:pt>
                <c:pt idx="156">
                  <c:v>2025-01-25</c:v>
                </c:pt>
                <c:pt idx="157">
                  <c:v>2025-01-26</c:v>
                </c:pt>
                <c:pt idx="158">
                  <c:v>2025-01-27</c:v>
                </c:pt>
                <c:pt idx="159">
                  <c:v>2025-01-28</c:v>
                </c:pt>
                <c:pt idx="160">
                  <c:v>2025-01-29</c:v>
                </c:pt>
                <c:pt idx="161">
                  <c:v>2025-01-30</c:v>
                </c:pt>
                <c:pt idx="162">
                  <c:v>2025-01-31</c:v>
                </c:pt>
                <c:pt idx="163">
                  <c:v>2025-02-01</c:v>
                </c:pt>
                <c:pt idx="164">
                  <c:v>2025-02-02</c:v>
                </c:pt>
                <c:pt idx="165">
                  <c:v>2025-02-03</c:v>
                </c:pt>
                <c:pt idx="166">
                  <c:v>2025-02-04</c:v>
                </c:pt>
                <c:pt idx="167">
                  <c:v>2025-02-05</c:v>
                </c:pt>
                <c:pt idx="168">
                  <c:v>2025-02-06</c:v>
                </c:pt>
                <c:pt idx="169">
                  <c:v>2025-02-07</c:v>
                </c:pt>
                <c:pt idx="170">
                  <c:v>2025-02-08</c:v>
                </c:pt>
                <c:pt idx="171">
                  <c:v>2025-02-09</c:v>
                </c:pt>
                <c:pt idx="172">
                  <c:v>2025-02-10</c:v>
                </c:pt>
                <c:pt idx="173">
                  <c:v>2025-02-11</c:v>
                </c:pt>
                <c:pt idx="174">
                  <c:v>2025-02-12</c:v>
                </c:pt>
                <c:pt idx="175">
                  <c:v>2025-02-13</c:v>
                </c:pt>
                <c:pt idx="176">
                  <c:v>2025-02-14</c:v>
                </c:pt>
                <c:pt idx="177">
                  <c:v>2025-02-15</c:v>
                </c:pt>
                <c:pt idx="178">
                  <c:v>2025-02-16</c:v>
                </c:pt>
                <c:pt idx="179">
                  <c:v>2025-02-17</c:v>
                </c:pt>
                <c:pt idx="180">
                  <c:v>2025-02-18</c:v>
                </c:pt>
                <c:pt idx="181">
                  <c:v>2025-02-19</c:v>
                </c:pt>
                <c:pt idx="182">
                  <c:v>2025-02-20</c:v>
                </c:pt>
                <c:pt idx="183">
                  <c:v>2025-02-21</c:v>
                </c:pt>
                <c:pt idx="184">
                  <c:v>2025-02-22</c:v>
                </c:pt>
                <c:pt idx="185">
                  <c:v>2025-02-23</c:v>
                </c:pt>
                <c:pt idx="186">
                  <c:v>2025-02-24</c:v>
                </c:pt>
                <c:pt idx="187">
                  <c:v>2025-02-25</c:v>
                </c:pt>
                <c:pt idx="188">
                  <c:v>2025-02-26</c:v>
                </c:pt>
                <c:pt idx="189">
                  <c:v>2025-02-27</c:v>
                </c:pt>
                <c:pt idx="190">
                  <c:v>2025-02-28</c:v>
                </c:pt>
                <c:pt idx="191">
                  <c:v>2025-03-01</c:v>
                </c:pt>
                <c:pt idx="192">
                  <c:v>2025-03-02</c:v>
                </c:pt>
                <c:pt idx="193">
                  <c:v>2025-03-03</c:v>
                </c:pt>
                <c:pt idx="194">
                  <c:v>2025-03-04</c:v>
                </c:pt>
                <c:pt idx="195">
                  <c:v>2025-03-05</c:v>
                </c:pt>
                <c:pt idx="196">
                  <c:v>2025-03-06</c:v>
                </c:pt>
                <c:pt idx="197">
                  <c:v>2025-03-07</c:v>
                </c:pt>
                <c:pt idx="198">
                  <c:v>2025-03-08</c:v>
                </c:pt>
                <c:pt idx="199">
                  <c:v>2025-03-09</c:v>
                </c:pt>
                <c:pt idx="200">
                  <c:v>2025-03-10</c:v>
                </c:pt>
                <c:pt idx="201">
                  <c:v>2025-03-11</c:v>
                </c:pt>
                <c:pt idx="202">
                  <c:v>2025-03-12</c:v>
                </c:pt>
                <c:pt idx="203">
                  <c:v>2025-03-13</c:v>
                </c:pt>
                <c:pt idx="204">
                  <c:v>2025-03-14</c:v>
                </c:pt>
                <c:pt idx="205">
                  <c:v>2025-03-15</c:v>
                </c:pt>
                <c:pt idx="206">
                  <c:v>2025-03-16</c:v>
                </c:pt>
                <c:pt idx="207">
                  <c:v>2025-03-17</c:v>
                </c:pt>
                <c:pt idx="208">
                  <c:v>2025-03-18</c:v>
                </c:pt>
                <c:pt idx="209">
                  <c:v>2025-03-19</c:v>
                </c:pt>
                <c:pt idx="210">
                  <c:v>2025-03-20</c:v>
                </c:pt>
                <c:pt idx="211">
                  <c:v>2025-03-21</c:v>
                </c:pt>
                <c:pt idx="212">
                  <c:v>2025-03-22</c:v>
                </c:pt>
                <c:pt idx="213">
                  <c:v>2025-03-23</c:v>
                </c:pt>
                <c:pt idx="214">
                  <c:v>2025-03-24</c:v>
                </c:pt>
                <c:pt idx="215">
                  <c:v>2025-03-25</c:v>
                </c:pt>
                <c:pt idx="216">
                  <c:v>2025-03-26</c:v>
                </c:pt>
                <c:pt idx="217">
                  <c:v>2025-03-27</c:v>
                </c:pt>
                <c:pt idx="218">
                  <c:v>2025-03-28</c:v>
                </c:pt>
                <c:pt idx="219">
                  <c:v>2025-03-29</c:v>
                </c:pt>
                <c:pt idx="220">
                  <c:v>2025-03-30</c:v>
                </c:pt>
                <c:pt idx="221">
                  <c:v>2025-03-31</c:v>
                </c:pt>
                <c:pt idx="222">
                  <c:v>2025-04-01</c:v>
                </c:pt>
                <c:pt idx="223">
                  <c:v>2025-04-02</c:v>
                </c:pt>
                <c:pt idx="224">
                  <c:v>2025-04-03</c:v>
                </c:pt>
                <c:pt idx="225">
                  <c:v>2025-04-04</c:v>
                </c:pt>
                <c:pt idx="226">
                  <c:v>2025-04-05</c:v>
                </c:pt>
                <c:pt idx="227">
                  <c:v>2025-04-06</c:v>
                </c:pt>
                <c:pt idx="228">
                  <c:v>2025-04-07</c:v>
                </c:pt>
                <c:pt idx="229">
                  <c:v>2025-04-08</c:v>
                </c:pt>
                <c:pt idx="230">
                  <c:v>2025-04-09</c:v>
                </c:pt>
                <c:pt idx="231">
                  <c:v>2025-04-10</c:v>
                </c:pt>
                <c:pt idx="232">
                  <c:v>2025-04-11</c:v>
                </c:pt>
                <c:pt idx="233">
                  <c:v>2025-04-12</c:v>
                </c:pt>
                <c:pt idx="234">
                  <c:v>2025-04-13</c:v>
                </c:pt>
                <c:pt idx="235">
                  <c:v>2025-04-14</c:v>
                </c:pt>
                <c:pt idx="236">
                  <c:v>2025-04-15</c:v>
                </c:pt>
                <c:pt idx="237">
                  <c:v>2025-04-16</c:v>
                </c:pt>
                <c:pt idx="238">
                  <c:v>2025-04-17</c:v>
                </c:pt>
                <c:pt idx="239">
                  <c:v>2025-04-18</c:v>
                </c:pt>
                <c:pt idx="240">
                  <c:v>2025-04-19</c:v>
                </c:pt>
                <c:pt idx="241">
                  <c:v>2025-04-20</c:v>
                </c:pt>
                <c:pt idx="242">
                  <c:v>2025-04-21</c:v>
                </c:pt>
                <c:pt idx="243">
                  <c:v>2025-04-22</c:v>
                </c:pt>
                <c:pt idx="244">
                  <c:v>2025-04-23</c:v>
                </c:pt>
                <c:pt idx="245">
                  <c:v>2025-04-24</c:v>
                </c:pt>
                <c:pt idx="246">
                  <c:v>2025-04-25</c:v>
                </c:pt>
                <c:pt idx="247">
                  <c:v>2025-04-26</c:v>
                </c:pt>
                <c:pt idx="248">
                  <c:v>2025-04-27</c:v>
                </c:pt>
                <c:pt idx="249">
                  <c:v>2025-04-28</c:v>
                </c:pt>
                <c:pt idx="250">
                  <c:v>2025-04-29</c:v>
                </c:pt>
                <c:pt idx="251">
                  <c:v>2025-04-30</c:v>
                </c:pt>
                <c:pt idx="252">
                  <c:v>2025-05-01</c:v>
                </c:pt>
                <c:pt idx="253">
                  <c:v>2025-05-02</c:v>
                </c:pt>
                <c:pt idx="254">
                  <c:v>2025-05-03</c:v>
                </c:pt>
                <c:pt idx="255">
                  <c:v>2025-05-04</c:v>
                </c:pt>
                <c:pt idx="256">
                  <c:v>2025-05-05</c:v>
                </c:pt>
                <c:pt idx="257">
                  <c:v>2025-05-06</c:v>
                </c:pt>
                <c:pt idx="258">
                  <c:v>2025-05-07</c:v>
                </c:pt>
                <c:pt idx="259">
                  <c:v>2025-05-08</c:v>
                </c:pt>
                <c:pt idx="260">
                  <c:v>2025-05-09</c:v>
                </c:pt>
                <c:pt idx="261">
                  <c:v>2025-05-10</c:v>
                </c:pt>
                <c:pt idx="262">
                  <c:v>2025-05-11</c:v>
                </c:pt>
                <c:pt idx="263">
                  <c:v>2025-05-12</c:v>
                </c:pt>
                <c:pt idx="264">
                  <c:v>2025-05-13</c:v>
                </c:pt>
                <c:pt idx="265">
                  <c:v>2025-05-14</c:v>
                </c:pt>
                <c:pt idx="266">
                  <c:v>2025-05-15</c:v>
                </c:pt>
                <c:pt idx="267">
                  <c:v>2025-05-16</c:v>
                </c:pt>
                <c:pt idx="268">
                  <c:v>2025-05-17</c:v>
                </c:pt>
                <c:pt idx="269">
                  <c:v>2025-05-18</c:v>
                </c:pt>
                <c:pt idx="270">
                  <c:v>2025-05-19</c:v>
                </c:pt>
                <c:pt idx="271">
                  <c:v>2025-05-20</c:v>
                </c:pt>
                <c:pt idx="272">
                  <c:v>2025-05-21</c:v>
                </c:pt>
                <c:pt idx="273">
                  <c:v>2025-05-22</c:v>
                </c:pt>
                <c:pt idx="274">
                  <c:v>2025-05-23</c:v>
                </c:pt>
                <c:pt idx="275">
                  <c:v>2025-05-24</c:v>
                </c:pt>
                <c:pt idx="276">
                  <c:v>2025-05-25</c:v>
                </c:pt>
                <c:pt idx="277">
                  <c:v>2025-05-26</c:v>
                </c:pt>
                <c:pt idx="278">
                  <c:v>2025-05-27</c:v>
                </c:pt>
                <c:pt idx="279">
                  <c:v>2025-05-28</c:v>
                </c:pt>
                <c:pt idx="280">
                  <c:v>2025-05-29</c:v>
                </c:pt>
                <c:pt idx="281">
                  <c:v>2025-05-30</c:v>
                </c:pt>
                <c:pt idx="282">
                  <c:v>2025-05-31</c:v>
                </c:pt>
                <c:pt idx="283">
                  <c:v>2025-06-01</c:v>
                </c:pt>
                <c:pt idx="284">
                  <c:v>2025-06-02</c:v>
                </c:pt>
                <c:pt idx="285">
                  <c:v>2025-06-03</c:v>
                </c:pt>
                <c:pt idx="286">
                  <c:v>2025-06-04</c:v>
                </c:pt>
                <c:pt idx="287">
                  <c:v>2025-06-05</c:v>
                </c:pt>
                <c:pt idx="288">
                  <c:v>2025-06-06</c:v>
                </c:pt>
                <c:pt idx="289">
                  <c:v>2025-06-07</c:v>
                </c:pt>
                <c:pt idx="290">
                  <c:v>2025-06-08</c:v>
                </c:pt>
                <c:pt idx="291">
                  <c:v>2025-06-09</c:v>
                </c:pt>
                <c:pt idx="292">
                  <c:v>2025-06-10</c:v>
                </c:pt>
                <c:pt idx="293">
                  <c:v>2025-06-11</c:v>
                </c:pt>
                <c:pt idx="294">
                  <c:v>2025-06-12</c:v>
                </c:pt>
                <c:pt idx="295">
                  <c:v>2025-06-13</c:v>
                </c:pt>
                <c:pt idx="296">
                  <c:v>2025-06-14</c:v>
                </c:pt>
                <c:pt idx="297">
                  <c:v>2025-06-15</c:v>
                </c:pt>
                <c:pt idx="298">
                  <c:v>2025-06-16</c:v>
                </c:pt>
                <c:pt idx="299">
                  <c:v>2025-06-17</c:v>
                </c:pt>
                <c:pt idx="300">
                  <c:v>2025-06-18</c:v>
                </c:pt>
                <c:pt idx="301">
                  <c:v>2025-06-19</c:v>
                </c:pt>
                <c:pt idx="302">
                  <c:v>2025-06-20</c:v>
                </c:pt>
                <c:pt idx="303">
                  <c:v>2025-06-21</c:v>
                </c:pt>
                <c:pt idx="304">
                  <c:v>2025-06-22</c:v>
                </c:pt>
                <c:pt idx="305">
                  <c:v>2025-06-23</c:v>
                </c:pt>
                <c:pt idx="306">
                  <c:v>2025-06-24</c:v>
                </c:pt>
                <c:pt idx="307">
                  <c:v>2025-06-25</c:v>
                </c:pt>
                <c:pt idx="308">
                  <c:v>2025-06-26</c:v>
                </c:pt>
                <c:pt idx="309">
                  <c:v>2025-06-27</c:v>
                </c:pt>
                <c:pt idx="310">
                  <c:v>2025-06-28</c:v>
                </c:pt>
                <c:pt idx="311">
                  <c:v>2025-06-29</c:v>
                </c:pt>
                <c:pt idx="312">
                  <c:v>2025-06-30</c:v>
                </c:pt>
                <c:pt idx="313">
                  <c:v>2025-07-01</c:v>
                </c:pt>
                <c:pt idx="314">
                  <c:v>2025-07-02</c:v>
                </c:pt>
                <c:pt idx="315">
                  <c:v>2025-07-03</c:v>
                </c:pt>
                <c:pt idx="316">
                  <c:v>2025-07-04</c:v>
                </c:pt>
                <c:pt idx="317">
                  <c:v>2025-07-05</c:v>
                </c:pt>
                <c:pt idx="318">
                  <c:v>2025-07-06</c:v>
                </c:pt>
                <c:pt idx="319">
                  <c:v>2025-07-07</c:v>
                </c:pt>
                <c:pt idx="320">
                  <c:v>2025-07-08</c:v>
                </c:pt>
                <c:pt idx="321">
                  <c:v>2025-07-09</c:v>
                </c:pt>
                <c:pt idx="322">
                  <c:v>2025-07-10</c:v>
                </c:pt>
                <c:pt idx="323">
                  <c:v>2025-07-11</c:v>
                </c:pt>
                <c:pt idx="324">
                  <c:v>2025-07-12</c:v>
                </c:pt>
                <c:pt idx="325">
                  <c:v>2025-07-13</c:v>
                </c:pt>
                <c:pt idx="326">
                  <c:v>2025-07-14</c:v>
                </c:pt>
                <c:pt idx="327">
                  <c:v>2025-07-15</c:v>
                </c:pt>
                <c:pt idx="328">
                  <c:v>2025-07-16</c:v>
                </c:pt>
                <c:pt idx="329">
                  <c:v>2025-07-17</c:v>
                </c:pt>
                <c:pt idx="330">
                  <c:v>2025-07-18</c:v>
                </c:pt>
                <c:pt idx="331">
                  <c:v>2025-07-19</c:v>
                </c:pt>
                <c:pt idx="332">
                  <c:v>2025-07-20</c:v>
                </c:pt>
                <c:pt idx="333">
                  <c:v>2025-07-21</c:v>
                </c:pt>
                <c:pt idx="334">
                  <c:v>2025-07-22</c:v>
                </c:pt>
                <c:pt idx="335">
                  <c:v>2025-07-23</c:v>
                </c:pt>
                <c:pt idx="336">
                  <c:v>2025-07-24</c:v>
                </c:pt>
                <c:pt idx="337">
                  <c:v>2025-07-25</c:v>
                </c:pt>
                <c:pt idx="338">
                  <c:v>2025-07-26</c:v>
                </c:pt>
                <c:pt idx="339">
                  <c:v>2025-07-27</c:v>
                </c:pt>
                <c:pt idx="340">
                  <c:v>2025-07-28</c:v>
                </c:pt>
                <c:pt idx="341">
                  <c:v>2025-07-29</c:v>
                </c:pt>
                <c:pt idx="342">
                  <c:v>2025-07-30</c:v>
                </c:pt>
                <c:pt idx="343">
                  <c:v>2025-07-31</c:v>
                </c:pt>
                <c:pt idx="344">
                  <c:v>2025-08-01</c:v>
                </c:pt>
                <c:pt idx="345">
                  <c:v>2025-08-02</c:v>
                </c:pt>
                <c:pt idx="346">
                  <c:v>2025-08-03</c:v>
                </c:pt>
                <c:pt idx="347">
                  <c:v>2025-08-04</c:v>
                </c:pt>
                <c:pt idx="348">
                  <c:v>2025-08-05</c:v>
                </c:pt>
                <c:pt idx="349">
                  <c:v>2025-08-06</c:v>
                </c:pt>
                <c:pt idx="350">
                  <c:v>2025-08-07</c:v>
                </c:pt>
                <c:pt idx="351">
                  <c:v>2025-08-08</c:v>
                </c:pt>
                <c:pt idx="352">
                  <c:v>2025-08-09</c:v>
                </c:pt>
                <c:pt idx="353">
                  <c:v>2025-08-10</c:v>
                </c:pt>
                <c:pt idx="354">
                  <c:v>2025-08-11</c:v>
                </c:pt>
                <c:pt idx="355">
                  <c:v>2025-08-12</c:v>
                </c:pt>
                <c:pt idx="356">
                  <c:v>2025-08-13</c:v>
                </c:pt>
                <c:pt idx="357">
                  <c:v>2025-08-14</c:v>
                </c:pt>
                <c:pt idx="358">
                  <c:v>2025-08-15</c:v>
                </c:pt>
                <c:pt idx="359">
                  <c:v>2025-08-16</c:v>
                </c:pt>
                <c:pt idx="360">
                  <c:v>2025-08-17</c:v>
                </c:pt>
                <c:pt idx="361">
                  <c:v>2025-08-18</c:v>
                </c:pt>
                <c:pt idx="362">
                  <c:v>2025-08-19</c:v>
                </c:pt>
                <c:pt idx="363">
                  <c:v>2025-08-20</c:v>
                </c:pt>
                <c:pt idx="364">
                  <c:v>2025-08-21</c:v>
                </c:pt>
                <c:pt idx="365">
                  <c:v>2025-08-22</c:v>
                </c:pt>
                <c:pt idx="366">
                  <c:v>2025-08-23</c:v>
                </c:pt>
                <c:pt idx="367">
                  <c:v>2025-08-24</c:v>
                </c:pt>
                <c:pt idx="368">
                  <c:v>2025-08-25</c:v>
                </c:pt>
                <c:pt idx="369">
                  <c:v>2025-08-26</c:v>
                </c:pt>
                <c:pt idx="370">
                  <c:v>2025-08-27</c:v>
                </c:pt>
                <c:pt idx="371">
                  <c:v>2025-08-28</c:v>
                </c:pt>
                <c:pt idx="372">
                  <c:v>2025-08-29</c:v>
                </c:pt>
                <c:pt idx="373">
                  <c:v>2025-08-30</c:v>
                </c:pt>
                <c:pt idx="374">
                  <c:v>2025-08-31</c:v>
                </c:pt>
                <c:pt idx="375">
                  <c:v>2025-09-01</c:v>
                </c:pt>
                <c:pt idx="376">
                  <c:v>2025-09-02</c:v>
                </c:pt>
                <c:pt idx="377">
                  <c:v>2025-09-03</c:v>
                </c:pt>
                <c:pt idx="378">
                  <c:v>2025-09-04</c:v>
                </c:pt>
                <c:pt idx="379">
                  <c:v>2025-09-05</c:v>
                </c:pt>
                <c:pt idx="380">
                  <c:v>2025-09-06</c:v>
                </c:pt>
                <c:pt idx="381">
                  <c:v>2025-09-07</c:v>
                </c:pt>
                <c:pt idx="382">
                  <c:v>2025-09-08</c:v>
                </c:pt>
                <c:pt idx="383">
                  <c:v>2025-09-09</c:v>
                </c:pt>
                <c:pt idx="384">
                  <c:v>2025-09-10</c:v>
                </c:pt>
                <c:pt idx="385">
                  <c:v>2025-09-11</c:v>
                </c:pt>
                <c:pt idx="386">
                  <c:v>2025-09-12</c:v>
                </c:pt>
                <c:pt idx="387">
                  <c:v>2025-09-13</c:v>
                </c:pt>
                <c:pt idx="388">
                  <c:v>2025-09-14</c:v>
                </c:pt>
                <c:pt idx="389">
                  <c:v>2025-09-15</c:v>
                </c:pt>
                <c:pt idx="390">
                  <c:v>2025-09-16</c:v>
                </c:pt>
                <c:pt idx="391">
                  <c:v>2025-09-17</c:v>
                </c:pt>
                <c:pt idx="392">
                  <c:v>2025-09-18</c:v>
                </c:pt>
                <c:pt idx="393">
                  <c:v>2025-09-19</c:v>
                </c:pt>
                <c:pt idx="394">
                  <c:v>2025-09-20</c:v>
                </c:pt>
                <c:pt idx="395">
                  <c:v>2025-09-21</c:v>
                </c:pt>
                <c:pt idx="396">
                  <c:v>2025-09-22</c:v>
                </c:pt>
                <c:pt idx="397">
                  <c:v>2025-09-23</c:v>
                </c:pt>
                <c:pt idx="398">
                  <c:v>2025-09-24</c:v>
                </c:pt>
                <c:pt idx="399">
                  <c:v>2025-09-25</c:v>
                </c:pt>
                <c:pt idx="400">
                  <c:v>2025-09-26</c:v>
                </c:pt>
                <c:pt idx="401">
                  <c:v>2025-09-27</c:v>
                </c:pt>
                <c:pt idx="402">
                  <c:v>2025-09-28</c:v>
                </c:pt>
                <c:pt idx="403">
                  <c:v>2025-09-29</c:v>
                </c:pt>
                <c:pt idx="404">
                  <c:v>2025-09-30</c:v>
                </c:pt>
                <c:pt idx="405">
                  <c:v>2025-10-01</c:v>
                </c:pt>
                <c:pt idx="406">
                  <c:v>2025-10-02</c:v>
                </c:pt>
                <c:pt idx="407">
                  <c:v>2025-10-03</c:v>
                </c:pt>
                <c:pt idx="408">
                  <c:v>2025-10-04</c:v>
                </c:pt>
                <c:pt idx="409">
                  <c:v>2025-10-05</c:v>
                </c:pt>
                <c:pt idx="410">
                  <c:v>2025-10-06</c:v>
                </c:pt>
                <c:pt idx="411">
                  <c:v>2025-10-07</c:v>
                </c:pt>
                <c:pt idx="412">
                  <c:v>2025-10-08</c:v>
                </c:pt>
                <c:pt idx="413">
                  <c:v>2025-10-09</c:v>
                </c:pt>
                <c:pt idx="414">
                  <c:v>2025-10-10</c:v>
                </c:pt>
                <c:pt idx="415">
                  <c:v>2025-10-11</c:v>
                </c:pt>
                <c:pt idx="416">
                  <c:v>2025-10-12</c:v>
                </c:pt>
                <c:pt idx="417">
                  <c:v>2025-10-13</c:v>
                </c:pt>
                <c:pt idx="418">
                  <c:v>2025-10-14</c:v>
                </c:pt>
                <c:pt idx="419">
                  <c:v>2025-10-15</c:v>
                </c:pt>
                <c:pt idx="420">
                  <c:v>2025-10-16</c:v>
                </c:pt>
                <c:pt idx="421">
                  <c:v>2025-10-17</c:v>
                </c:pt>
                <c:pt idx="422">
                  <c:v>2025-10-18</c:v>
                </c:pt>
                <c:pt idx="423">
                  <c:v>2025-10-19</c:v>
                </c:pt>
                <c:pt idx="424">
                  <c:v>2025-10-20</c:v>
                </c:pt>
                <c:pt idx="425">
                  <c:v>2025-10-21</c:v>
                </c:pt>
                <c:pt idx="426">
                  <c:v>2025-10-22</c:v>
                </c:pt>
                <c:pt idx="427">
                  <c:v>2025-10-23</c:v>
                </c:pt>
                <c:pt idx="428">
                  <c:v>2025-10-24</c:v>
                </c:pt>
                <c:pt idx="429">
                  <c:v>2025-10-25</c:v>
                </c:pt>
                <c:pt idx="430">
                  <c:v>2025-10-26</c:v>
                </c:pt>
                <c:pt idx="431">
                  <c:v>2025-10-27</c:v>
                </c:pt>
                <c:pt idx="432">
                  <c:v>2025-10-28</c:v>
                </c:pt>
                <c:pt idx="433">
                  <c:v>2025-10-29</c:v>
                </c:pt>
                <c:pt idx="434">
                  <c:v>2025-10-30</c:v>
                </c:pt>
                <c:pt idx="435">
                  <c:v>2025-10-31</c:v>
                </c:pt>
                <c:pt idx="436">
                  <c:v>2025-11-01</c:v>
                </c:pt>
                <c:pt idx="437">
                  <c:v>2025-11-02</c:v>
                </c:pt>
                <c:pt idx="438">
                  <c:v>2025-11-03</c:v>
                </c:pt>
                <c:pt idx="439">
                  <c:v>2025-11-04</c:v>
                </c:pt>
                <c:pt idx="440">
                  <c:v>2025-11-05</c:v>
                </c:pt>
                <c:pt idx="441">
                  <c:v>2025-11-06</c:v>
                </c:pt>
                <c:pt idx="442">
                  <c:v>2025-11-07</c:v>
                </c:pt>
                <c:pt idx="443">
                  <c:v>2025-11-08</c:v>
                </c:pt>
                <c:pt idx="444">
                  <c:v>2025-11-09</c:v>
                </c:pt>
                <c:pt idx="445">
                  <c:v>2025-11-10</c:v>
                </c:pt>
                <c:pt idx="446">
                  <c:v>2025-11-11</c:v>
                </c:pt>
                <c:pt idx="447">
                  <c:v>2025-11-12</c:v>
                </c:pt>
                <c:pt idx="448">
                  <c:v>2025-11-13</c:v>
                </c:pt>
                <c:pt idx="449">
                  <c:v>2025-11-14</c:v>
                </c:pt>
                <c:pt idx="450">
                  <c:v>2025-11-15</c:v>
                </c:pt>
                <c:pt idx="451">
                  <c:v>2025-11-16</c:v>
                </c:pt>
                <c:pt idx="452">
                  <c:v>2025-11-17</c:v>
                </c:pt>
                <c:pt idx="453">
                  <c:v>2025-11-18</c:v>
                </c:pt>
                <c:pt idx="454">
                  <c:v>2025-11-19</c:v>
                </c:pt>
                <c:pt idx="455">
                  <c:v>2025-11-20</c:v>
                </c:pt>
                <c:pt idx="456">
                  <c:v>2025-11-21</c:v>
                </c:pt>
                <c:pt idx="457">
                  <c:v>2025-11-22</c:v>
                </c:pt>
                <c:pt idx="458">
                  <c:v>2025-11-23</c:v>
                </c:pt>
                <c:pt idx="459">
                  <c:v>2025-11-24</c:v>
                </c:pt>
                <c:pt idx="460">
                  <c:v>2025-11-25</c:v>
                </c:pt>
                <c:pt idx="461">
                  <c:v>2025-11-26</c:v>
                </c:pt>
                <c:pt idx="462">
                  <c:v>2025-11-27</c:v>
                </c:pt>
                <c:pt idx="463">
                  <c:v>2025-11-28</c:v>
                </c:pt>
                <c:pt idx="464">
                  <c:v>2025-11-29</c:v>
                </c:pt>
                <c:pt idx="465">
                  <c:v>2025-11-30</c:v>
                </c:pt>
                <c:pt idx="466">
                  <c:v>2025-12-01</c:v>
                </c:pt>
                <c:pt idx="467">
                  <c:v>2025-12-02</c:v>
                </c:pt>
                <c:pt idx="468">
                  <c:v>2025-12-03</c:v>
                </c:pt>
                <c:pt idx="469">
                  <c:v>2025-12-04</c:v>
                </c:pt>
                <c:pt idx="470">
                  <c:v>2025-12-05</c:v>
                </c:pt>
                <c:pt idx="471">
                  <c:v>2025-12-06</c:v>
                </c:pt>
                <c:pt idx="472">
                  <c:v>2025-12-07</c:v>
                </c:pt>
                <c:pt idx="473">
                  <c:v>2025-12-08</c:v>
                </c:pt>
                <c:pt idx="474">
                  <c:v>2025-12-09</c:v>
                </c:pt>
                <c:pt idx="475">
                  <c:v>2025-12-10</c:v>
                </c:pt>
                <c:pt idx="476">
                  <c:v>2025-12-11</c:v>
                </c:pt>
                <c:pt idx="477">
                  <c:v>2025-12-12</c:v>
                </c:pt>
                <c:pt idx="478">
                  <c:v>2025-12-13</c:v>
                </c:pt>
                <c:pt idx="479">
                  <c:v>2025-12-14</c:v>
                </c:pt>
                <c:pt idx="480">
                  <c:v>2025-12-15</c:v>
                </c:pt>
                <c:pt idx="481">
                  <c:v>2025-12-16</c:v>
                </c:pt>
                <c:pt idx="482">
                  <c:v>2025-12-17</c:v>
                </c:pt>
                <c:pt idx="483">
                  <c:v>2025-12-18</c:v>
                </c:pt>
                <c:pt idx="484">
                  <c:v>2025-12-19</c:v>
                </c:pt>
                <c:pt idx="485">
                  <c:v>2025-12-20</c:v>
                </c:pt>
                <c:pt idx="486">
                  <c:v>2025-12-21</c:v>
                </c:pt>
                <c:pt idx="487">
                  <c:v>2025-12-22</c:v>
                </c:pt>
                <c:pt idx="488">
                  <c:v>2025-12-23</c:v>
                </c:pt>
                <c:pt idx="489">
                  <c:v>2025-12-24</c:v>
                </c:pt>
                <c:pt idx="490">
                  <c:v>2025-12-25</c:v>
                </c:pt>
                <c:pt idx="491">
                  <c:v>2025-12-26</c:v>
                </c:pt>
                <c:pt idx="492">
                  <c:v>2025-12-27</c:v>
                </c:pt>
                <c:pt idx="493">
                  <c:v>2025-12-28</c:v>
                </c:pt>
                <c:pt idx="494">
                  <c:v>2025-12-29</c:v>
                </c:pt>
                <c:pt idx="495">
                  <c:v>2025-12-30</c:v>
                </c:pt>
                <c:pt idx="496">
                  <c:v>2025-12-31</c:v>
                </c:pt>
                <c:pt idx="497">
                  <c:v>2026-01-01</c:v>
                </c:pt>
                <c:pt idx="498">
                  <c:v>2026-01-02</c:v>
                </c:pt>
                <c:pt idx="499">
                  <c:v>2026-01-03</c:v>
                </c:pt>
                <c:pt idx="500">
                  <c:v>2026-01-04</c:v>
                </c:pt>
                <c:pt idx="501">
                  <c:v>2026-01-05</c:v>
                </c:pt>
                <c:pt idx="502">
                  <c:v>2026-01-06</c:v>
                </c:pt>
                <c:pt idx="503">
                  <c:v>2026-01-07</c:v>
                </c:pt>
                <c:pt idx="504">
                  <c:v>2026-01-08</c:v>
                </c:pt>
                <c:pt idx="505">
                  <c:v>2026-01-09</c:v>
                </c:pt>
                <c:pt idx="506">
                  <c:v>2026-01-10</c:v>
                </c:pt>
                <c:pt idx="507">
                  <c:v>2026-01-11</c:v>
                </c:pt>
                <c:pt idx="508">
                  <c:v>2026-01-12</c:v>
                </c:pt>
                <c:pt idx="509">
                  <c:v>2026-01-13</c:v>
                </c:pt>
                <c:pt idx="510">
                  <c:v>2026-01-14</c:v>
                </c:pt>
                <c:pt idx="511">
                  <c:v>2026-01-15</c:v>
                </c:pt>
                <c:pt idx="512">
                  <c:v>2026-01-16</c:v>
                </c:pt>
                <c:pt idx="513">
                  <c:v>2026-01-17</c:v>
                </c:pt>
                <c:pt idx="514">
                  <c:v>2026-01-18</c:v>
                </c:pt>
                <c:pt idx="515">
                  <c:v>2026-01-19</c:v>
                </c:pt>
                <c:pt idx="516">
                  <c:v>2026-01-20</c:v>
                </c:pt>
                <c:pt idx="517">
                  <c:v>2026-01-21</c:v>
                </c:pt>
                <c:pt idx="518">
                  <c:v>2026-01-22</c:v>
                </c:pt>
                <c:pt idx="519">
                  <c:v>2026-01-23</c:v>
                </c:pt>
                <c:pt idx="520">
                  <c:v>2026-01-24</c:v>
                </c:pt>
                <c:pt idx="521">
                  <c:v>2026-01-25</c:v>
                </c:pt>
                <c:pt idx="522">
                  <c:v>2026-01-26</c:v>
                </c:pt>
                <c:pt idx="523">
                  <c:v>2026-01-27</c:v>
                </c:pt>
                <c:pt idx="524">
                  <c:v>2026-01-28</c:v>
                </c:pt>
                <c:pt idx="525">
                  <c:v>2026-01-29</c:v>
                </c:pt>
                <c:pt idx="526">
                  <c:v>2026-01-30</c:v>
                </c:pt>
                <c:pt idx="527">
                  <c:v>2026-01-31</c:v>
                </c:pt>
                <c:pt idx="528">
                  <c:v>2026-02-01</c:v>
                </c:pt>
                <c:pt idx="529">
                  <c:v>2026-02-02</c:v>
                </c:pt>
                <c:pt idx="530">
                  <c:v>2026-02-03</c:v>
                </c:pt>
                <c:pt idx="531">
                  <c:v>2026-02-04</c:v>
                </c:pt>
                <c:pt idx="532">
                  <c:v>2026-02-05</c:v>
                </c:pt>
                <c:pt idx="533">
                  <c:v>2026-02-06</c:v>
                </c:pt>
                <c:pt idx="534">
                  <c:v>2026-02-07</c:v>
                </c:pt>
                <c:pt idx="535">
                  <c:v>2026-02-08</c:v>
                </c:pt>
                <c:pt idx="536">
                  <c:v>2026-02-09</c:v>
                </c:pt>
                <c:pt idx="537">
                  <c:v>2026-02-10</c:v>
                </c:pt>
                <c:pt idx="538">
                  <c:v>2026-02-11</c:v>
                </c:pt>
                <c:pt idx="539">
                  <c:v>2026-02-12</c:v>
                </c:pt>
                <c:pt idx="540">
                  <c:v>2026-02-13</c:v>
                </c:pt>
                <c:pt idx="541">
                  <c:v>2026-02-14</c:v>
                </c:pt>
                <c:pt idx="542">
                  <c:v>2026-02-15</c:v>
                </c:pt>
                <c:pt idx="543">
                  <c:v>2026-02-16</c:v>
                </c:pt>
                <c:pt idx="544">
                  <c:v>2026-02-17</c:v>
                </c:pt>
                <c:pt idx="545">
                  <c:v>2026-02-18</c:v>
                </c:pt>
                <c:pt idx="546">
                  <c:v>2026-02-19</c:v>
                </c:pt>
                <c:pt idx="547">
                  <c:v>2026-02-20</c:v>
                </c:pt>
                <c:pt idx="548">
                  <c:v>2026-02-21</c:v>
                </c:pt>
                <c:pt idx="549">
                  <c:v>2026-02-22</c:v>
                </c:pt>
                <c:pt idx="550">
                  <c:v>2026-02-23</c:v>
                </c:pt>
                <c:pt idx="551">
                  <c:v>2026-02-24</c:v>
                </c:pt>
                <c:pt idx="552">
                  <c:v>2026-02-25</c:v>
                </c:pt>
                <c:pt idx="553">
                  <c:v>2026-02-26</c:v>
                </c:pt>
              </c:strCache>
            </c:strRef>
          </c:cat>
          <c:val>
            <c:numRef>
              <c:f>'Daily Velocity'!$E$4:$E$557</c:f>
              <c:numCache>
                <c:formatCode>#,##0</c:formatCode>
                <c:ptCount val="554"/>
                <c:pt idx="29">
                  <c:v>42919.8333333333</c:v>
                </c:pt>
                <c:pt idx="30">
                  <c:v>41773.9333333333</c:v>
                </c:pt>
                <c:pt idx="31">
                  <c:v>41688.1333333333</c:v>
                </c:pt>
                <c:pt idx="32">
                  <c:v>42679.5333333333</c:v>
                </c:pt>
                <c:pt idx="33">
                  <c:v>43276.5666666667</c:v>
                </c:pt>
                <c:pt idx="34">
                  <c:v>43083.0333333333</c:v>
                </c:pt>
                <c:pt idx="35">
                  <c:v>42894.1333333333</c:v>
                </c:pt>
                <c:pt idx="36">
                  <c:v>42202.2</c:v>
                </c:pt>
                <c:pt idx="37">
                  <c:v>41101.9333333333</c:v>
                </c:pt>
                <c:pt idx="38">
                  <c:v>40630.8666666667</c:v>
                </c:pt>
                <c:pt idx="39">
                  <c:v>41829.9</c:v>
                </c:pt>
                <c:pt idx="40">
                  <c:v>42725.7666666667</c:v>
                </c:pt>
                <c:pt idx="41">
                  <c:v>43531.8333333333</c:v>
                </c:pt>
                <c:pt idx="42">
                  <c:v>43360.5333333333</c:v>
                </c:pt>
                <c:pt idx="43">
                  <c:v>42653.8</c:v>
                </c:pt>
                <c:pt idx="44">
                  <c:v>41501.5666666667</c:v>
                </c:pt>
                <c:pt idx="45">
                  <c:v>41249.9</c:v>
                </c:pt>
                <c:pt idx="46">
                  <c:v>42278.8333333333</c:v>
                </c:pt>
                <c:pt idx="47">
                  <c:v>42770.4333333333</c:v>
                </c:pt>
                <c:pt idx="48">
                  <c:v>42666.6333333333</c:v>
                </c:pt>
                <c:pt idx="49">
                  <c:v>42580.9666666667</c:v>
                </c:pt>
                <c:pt idx="50">
                  <c:v>42088.1</c:v>
                </c:pt>
                <c:pt idx="51">
                  <c:v>41174.2</c:v>
                </c:pt>
                <c:pt idx="52">
                  <c:v>41052.5666666667</c:v>
                </c:pt>
                <c:pt idx="53">
                  <c:v>41984.7</c:v>
                </c:pt>
                <c:pt idx="54">
                  <c:v>42685.3333333333</c:v>
                </c:pt>
                <c:pt idx="55">
                  <c:v>42702.5</c:v>
                </c:pt>
                <c:pt idx="56">
                  <c:v>42639.1666666667</c:v>
                </c:pt>
                <c:pt idx="57">
                  <c:v>42181.7333333333</c:v>
                </c:pt>
                <c:pt idx="58">
                  <c:v>41274.0666666667</c:v>
                </c:pt>
                <c:pt idx="59">
                  <c:v>41222.5666666667</c:v>
                </c:pt>
                <c:pt idx="60">
                  <c:v>42387.4333333333</c:v>
                </c:pt>
                <c:pt idx="61">
                  <c:v>43061.4333333333</c:v>
                </c:pt>
                <c:pt idx="62">
                  <c:v>43096.1333333333</c:v>
                </c:pt>
                <c:pt idx="63">
                  <c:v>43101.3666666667</c:v>
                </c:pt>
                <c:pt idx="64">
                  <c:v>42640.0666666667</c:v>
                </c:pt>
                <c:pt idx="65">
                  <c:v>41706.1666666667</c:v>
                </c:pt>
                <c:pt idx="66">
                  <c:v>41800.6666666667</c:v>
                </c:pt>
                <c:pt idx="67">
                  <c:v>42863.4666666667</c:v>
                </c:pt>
                <c:pt idx="68">
                  <c:v>43693.3333333333</c:v>
                </c:pt>
                <c:pt idx="69">
                  <c:v>43684.6666666667</c:v>
                </c:pt>
                <c:pt idx="70">
                  <c:v>43578.9</c:v>
                </c:pt>
                <c:pt idx="71">
                  <c:v>42848.6666666667</c:v>
                </c:pt>
                <c:pt idx="72">
                  <c:v>42034.9666666667</c:v>
                </c:pt>
                <c:pt idx="73">
                  <c:v>42052.0333333333</c:v>
                </c:pt>
                <c:pt idx="74">
                  <c:v>42981.3666666667</c:v>
                </c:pt>
                <c:pt idx="75">
                  <c:v>43662.6333333333</c:v>
                </c:pt>
                <c:pt idx="76">
                  <c:v>43637.3</c:v>
                </c:pt>
                <c:pt idx="77">
                  <c:v>43520.0333333333</c:v>
                </c:pt>
                <c:pt idx="78">
                  <c:v>43118.7333333333</c:v>
                </c:pt>
                <c:pt idx="79">
                  <c:v>42062.7666666667</c:v>
                </c:pt>
                <c:pt idx="80">
                  <c:v>42054.8333333333</c:v>
                </c:pt>
                <c:pt idx="81">
                  <c:v>42918.0333333333</c:v>
                </c:pt>
                <c:pt idx="82">
                  <c:v>43509.6</c:v>
                </c:pt>
                <c:pt idx="83">
                  <c:v>43630.9666666667</c:v>
                </c:pt>
                <c:pt idx="84">
                  <c:v>43378.1333333333</c:v>
                </c:pt>
                <c:pt idx="85">
                  <c:v>42816.8666666667</c:v>
                </c:pt>
                <c:pt idx="86">
                  <c:v>41729.4</c:v>
                </c:pt>
                <c:pt idx="87">
                  <c:v>41744.1</c:v>
                </c:pt>
                <c:pt idx="88">
                  <c:v>42674.7666666667</c:v>
                </c:pt>
                <c:pt idx="89">
                  <c:v>43212.6333333333</c:v>
                </c:pt>
                <c:pt idx="90">
                  <c:v>43253.5</c:v>
                </c:pt>
                <c:pt idx="91">
                  <c:v>43035.8666666667</c:v>
                </c:pt>
                <c:pt idx="92">
                  <c:v>42699.5333333333</c:v>
                </c:pt>
                <c:pt idx="93">
                  <c:v>41659.3333333333</c:v>
                </c:pt>
                <c:pt idx="94">
                  <c:v>41744.7333333333</c:v>
                </c:pt>
                <c:pt idx="95">
                  <c:v>42611.5666666667</c:v>
                </c:pt>
                <c:pt idx="96">
                  <c:v>43202.8</c:v>
                </c:pt>
                <c:pt idx="97">
                  <c:v>42929.0333333333</c:v>
                </c:pt>
                <c:pt idx="98">
                  <c:v>42013.5333333333</c:v>
                </c:pt>
                <c:pt idx="99">
                  <c:v>41125.1333333333</c:v>
                </c:pt>
                <c:pt idx="100">
                  <c:v>40147.4</c:v>
                </c:pt>
                <c:pt idx="101">
                  <c:v>40493.2</c:v>
                </c:pt>
                <c:pt idx="102">
                  <c:v>41392</c:v>
                </c:pt>
                <c:pt idx="103">
                  <c:v>41969.4333333333</c:v>
                </c:pt>
                <c:pt idx="104">
                  <c:v>42284.7666666667</c:v>
                </c:pt>
                <c:pt idx="105">
                  <c:v>42377.7333333333</c:v>
                </c:pt>
                <c:pt idx="106">
                  <c:v>42260.4333333333</c:v>
                </c:pt>
                <c:pt idx="107">
                  <c:v>41328.9333333333</c:v>
                </c:pt>
                <c:pt idx="108">
                  <c:v>41449.7666666667</c:v>
                </c:pt>
                <c:pt idx="109">
                  <c:v>42667.0666666667</c:v>
                </c:pt>
                <c:pt idx="110">
                  <c:v>43346.7666666667</c:v>
                </c:pt>
                <c:pt idx="111">
                  <c:v>43691.7666666667</c:v>
                </c:pt>
                <c:pt idx="112">
                  <c:v>43852.4333333333</c:v>
                </c:pt>
                <c:pt idx="113">
                  <c:v>43405.0666666667</c:v>
                </c:pt>
                <c:pt idx="114">
                  <c:v>42611.7</c:v>
                </c:pt>
                <c:pt idx="115">
                  <c:v>42756.3333333333</c:v>
                </c:pt>
                <c:pt idx="116">
                  <c:v>43861.4666666667</c:v>
                </c:pt>
                <c:pt idx="117">
                  <c:v>44542.1</c:v>
                </c:pt>
                <c:pt idx="118">
                  <c:v>44852.4</c:v>
                </c:pt>
                <c:pt idx="119">
                  <c:v>44891.3666666667</c:v>
                </c:pt>
                <c:pt idx="120">
                  <c:v>44674.8666666667</c:v>
                </c:pt>
                <c:pt idx="121">
                  <c:v>43781.1666666667</c:v>
                </c:pt>
                <c:pt idx="122">
                  <c:v>43725.8</c:v>
                </c:pt>
                <c:pt idx="123">
                  <c:v>44594.9333333333</c:v>
                </c:pt>
                <c:pt idx="124">
                  <c:v>43823</c:v>
                </c:pt>
                <c:pt idx="125">
                  <c:v>42936.7666666667</c:v>
                </c:pt>
                <c:pt idx="126">
                  <c:v>42920.8666666667</c:v>
                </c:pt>
                <c:pt idx="127">
                  <c:v>42885.2333333333</c:v>
                </c:pt>
                <c:pt idx="128">
                  <c:v>42776.3333333333</c:v>
                </c:pt>
                <c:pt idx="129">
                  <c:v>43372.4666666667</c:v>
                </c:pt>
                <c:pt idx="130">
                  <c:v>44480</c:v>
                </c:pt>
                <c:pt idx="131">
                  <c:v>43959.6666666667</c:v>
                </c:pt>
                <c:pt idx="132">
                  <c:v>43136.9</c:v>
                </c:pt>
                <c:pt idx="133">
                  <c:v>43137.7333333333</c:v>
                </c:pt>
                <c:pt idx="134">
                  <c:v>42767.4</c:v>
                </c:pt>
                <c:pt idx="135">
                  <c:v>41776.9666666667</c:v>
                </c:pt>
                <c:pt idx="136">
                  <c:v>41901.5333333333</c:v>
                </c:pt>
                <c:pt idx="137">
                  <c:v>43157.9</c:v>
                </c:pt>
                <c:pt idx="138">
                  <c:v>43718</c:v>
                </c:pt>
                <c:pt idx="139">
                  <c:v>43885.9</c:v>
                </c:pt>
                <c:pt idx="140">
                  <c:v>43998</c:v>
                </c:pt>
                <c:pt idx="141">
                  <c:v>43592.1333333333</c:v>
                </c:pt>
                <c:pt idx="142">
                  <c:v>42463.8666666667</c:v>
                </c:pt>
                <c:pt idx="143">
                  <c:v>42887.6</c:v>
                </c:pt>
                <c:pt idx="144">
                  <c:v>44060.0666666667</c:v>
                </c:pt>
                <c:pt idx="145">
                  <c:v>44664</c:v>
                </c:pt>
                <c:pt idx="146">
                  <c:v>44770.8666666667</c:v>
                </c:pt>
                <c:pt idx="147">
                  <c:v>44753.6666666667</c:v>
                </c:pt>
                <c:pt idx="148">
                  <c:v>44366.9666666667</c:v>
                </c:pt>
                <c:pt idx="149">
                  <c:v>43497.1333333333</c:v>
                </c:pt>
                <c:pt idx="150">
                  <c:v>43562.4</c:v>
                </c:pt>
                <c:pt idx="151">
                  <c:v>44573.2333333333</c:v>
                </c:pt>
                <c:pt idx="152">
                  <c:v>44900.2666666667</c:v>
                </c:pt>
                <c:pt idx="153">
                  <c:v>45144.3</c:v>
                </c:pt>
                <c:pt idx="154">
                  <c:v>46146.8666666667</c:v>
                </c:pt>
                <c:pt idx="155">
                  <c:v>46292.9</c:v>
                </c:pt>
                <c:pt idx="156">
                  <c:v>45283.3333333333</c:v>
                </c:pt>
                <c:pt idx="157">
                  <c:v>45655.7333333333</c:v>
                </c:pt>
                <c:pt idx="158">
                  <c:v>46701.3</c:v>
                </c:pt>
                <c:pt idx="159">
                  <c:v>47312.3333333333</c:v>
                </c:pt>
                <c:pt idx="160">
                  <c:v>47838.4666666667</c:v>
                </c:pt>
                <c:pt idx="161">
                  <c:v>49419.8666666667</c:v>
                </c:pt>
                <c:pt idx="162">
                  <c:v>49698.5</c:v>
                </c:pt>
                <c:pt idx="163">
                  <c:v>48829.8</c:v>
                </c:pt>
                <c:pt idx="164">
                  <c:v>49243.9</c:v>
                </c:pt>
                <c:pt idx="165">
                  <c:v>50420.9666666667</c:v>
                </c:pt>
                <c:pt idx="166">
                  <c:v>50671.4333333333</c:v>
                </c:pt>
                <c:pt idx="167">
                  <c:v>50861.8666666667</c:v>
                </c:pt>
                <c:pt idx="168">
                  <c:v>51508.7</c:v>
                </c:pt>
                <c:pt idx="169">
                  <c:v>50457.5</c:v>
                </c:pt>
                <c:pt idx="170">
                  <c:v>49564.6666666667</c:v>
                </c:pt>
                <c:pt idx="171">
                  <c:v>49943.6333333333</c:v>
                </c:pt>
                <c:pt idx="172">
                  <c:v>51257.6</c:v>
                </c:pt>
                <c:pt idx="173">
                  <c:v>51692.4</c:v>
                </c:pt>
                <c:pt idx="174">
                  <c:v>51808.6333333333</c:v>
                </c:pt>
                <c:pt idx="175">
                  <c:v>52514.1</c:v>
                </c:pt>
                <c:pt idx="176">
                  <c:v>51672.7666666667</c:v>
                </c:pt>
                <c:pt idx="177">
                  <c:v>50837.9666666667</c:v>
                </c:pt>
                <c:pt idx="178">
                  <c:v>51298.1333333333</c:v>
                </c:pt>
                <c:pt idx="179">
                  <c:v>52511.9</c:v>
                </c:pt>
                <c:pt idx="180">
                  <c:v>53256.6</c:v>
                </c:pt>
                <c:pt idx="181">
                  <c:v>53714.8</c:v>
                </c:pt>
                <c:pt idx="182">
                  <c:v>54046.9666666667</c:v>
                </c:pt>
                <c:pt idx="183">
                  <c:v>53190.1333333333</c:v>
                </c:pt>
                <c:pt idx="184">
                  <c:v>52689.2666666667</c:v>
                </c:pt>
                <c:pt idx="185">
                  <c:v>53554.7666666667</c:v>
                </c:pt>
                <c:pt idx="186">
                  <c:v>54591.6666666667</c:v>
                </c:pt>
                <c:pt idx="187">
                  <c:v>54686.8666666667</c:v>
                </c:pt>
                <c:pt idx="188">
                  <c:v>54924.2333333333</c:v>
                </c:pt>
                <c:pt idx="189">
                  <c:v>54756.6666666667</c:v>
                </c:pt>
                <c:pt idx="190">
                  <c:v>53471.4666666667</c:v>
                </c:pt>
                <c:pt idx="191">
                  <c:v>51945.4</c:v>
                </c:pt>
                <c:pt idx="192">
                  <c:v>52560.4666666667</c:v>
                </c:pt>
                <c:pt idx="193">
                  <c:v>53669.2</c:v>
                </c:pt>
                <c:pt idx="194">
                  <c:v>53795.7333333333</c:v>
                </c:pt>
                <c:pt idx="195">
                  <c:v>53733.3</c:v>
                </c:pt>
                <c:pt idx="196">
                  <c:v>53791.0333333333</c:v>
                </c:pt>
                <c:pt idx="197">
                  <c:v>52826.7666666667</c:v>
                </c:pt>
                <c:pt idx="198">
                  <c:v>51247.6333333333</c:v>
                </c:pt>
                <c:pt idx="199">
                  <c:v>52136.5333333333</c:v>
                </c:pt>
                <c:pt idx="200">
                  <c:v>53126.9333333333</c:v>
                </c:pt>
                <c:pt idx="201">
                  <c:v>53293.9</c:v>
                </c:pt>
                <c:pt idx="202">
                  <c:v>53244.9333333333</c:v>
                </c:pt>
                <c:pt idx="203">
                  <c:v>53000.3333333333</c:v>
                </c:pt>
                <c:pt idx="204">
                  <c:v>51790.5</c:v>
                </c:pt>
                <c:pt idx="205">
                  <c:v>50207.3666666667</c:v>
                </c:pt>
                <c:pt idx="206">
                  <c:v>50983.1666666667</c:v>
                </c:pt>
                <c:pt idx="207">
                  <c:v>51938.8</c:v>
                </c:pt>
                <c:pt idx="208">
                  <c:v>51976.5666666667</c:v>
                </c:pt>
                <c:pt idx="209">
                  <c:v>51875.6</c:v>
                </c:pt>
                <c:pt idx="210">
                  <c:v>51444.4666666667</c:v>
                </c:pt>
                <c:pt idx="211">
                  <c:v>50375.1</c:v>
                </c:pt>
                <c:pt idx="212">
                  <c:v>49353.2</c:v>
                </c:pt>
                <c:pt idx="213">
                  <c:v>49877.5</c:v>
                </c:pt>
                <c:pt idx="214">
                  <c:v>50960.5</c:v>
                </c:pt>
                <c:pt idx="215">
                  <c:v>51346.8333333333</c:v>
                </c:pt>
                <c:pt idx="216">
                  <c:v>51360.2333333333</c:v>
                </c:pt>
                <c:pt idx="217">
                  <c:v>51306.8666666667</c:v>
                </c:pt>
                <c:pt idx="218">
                  <c:v>50419.3333333333</c:v>
                </c:pt>
                <c:pt idx="219">
                  <c:v>49549.9666666667</c:v>
                </c:pt>
                <c:pt idx="220">
                  <c:v>50181.1666666667</c:v>
                </c:pt>
                <c:pt idx="221">
                  <c:v>51353.3333333333</c:v>
                </c:pt>
                <c:pt idx="222">
                  <c:v>51606.5</c:v>
                </c:pt>
                <c:pt idx="223">
                  <c:v>51485.2666666667</c:v>
                </c:pt>
                <c:pt idx="224">
                  <c:v>51493.6333333333</c:v>
                </c:pt>
                <c:pt idx="225">
                  <c:v>50567.6</c:v>
                </c:pt>
                <c:pt idx="226">
                  <c:v>49481.5666666667</c:v>
                </c:pt>
                <c:pt idx="227">
                  <c:v>50163.3666666667</c:v>
                </c:pt>
                <c:pt idx="228">
                  <c:v>51269.0666666667</c:v>
                </c:pt>
                <c:pt idx="229">
                  <c:v>51524.1</c:v>
                </c:pt>
                <c:pt idx="230">
                  <c:v>51450.2666666667</c:v>
                </c:pt>
                <c:pt idx="231">
                  <c:v>51364.4</c:v>
                </c:pt>
                <c:pt idx="232">
                  <c:v>50391.7333333333</c:v>
                </c:pt>
                <c:pt idx="233">
                  <c:v>49337.8</c:v>
                </c:pt>
                <c:pt idx="234">
                  <c:v>50300.7333333333</c:v>
                </c:pt>
                <c:pt idx="235">
                  <c:v>51431.6333333333</c:v>
                </c:pt>
                <c:pt idx="236">
                  <c:v>51772.3666666667</c:v>
                </c:pt>
                <c:pt idx="237">
                  <c:v>51763.9</c:v>
                </c:pt>
                <c:pt idx="238">
                  <c:v>52062.1333333333</c:v>
                </c:pt>
                <c:pt idx="239">
                  <c:v>51142.5</c:v>
                </c:pt>
                <c:pt idx="240">
                  <c:v>50272.3666666667</c:v>
                </c:pt>
                <c:pt idx="241">
                  <c:v>50882.7333333333</c:v>
                </c:pt>
                <c:pt idx="242">
                  <c:v>51789.9666666667</c:v>
                </c:pt>
                <c:pt idx="243">
                  <c:v>52312.3666666667</c:v>
                </c:pt>
                <c:pt idx="244">
                  <c:v>52253.8</c:v>
                </c:pt>
                <c:pt idx="245">
                  <c:v>52117.8</c:v>
                </c:pt>
                <c:pt idx="246">
                  <c:v>51826.3</c:v>
                </c:pt>
                <c:pt idx="247">
                  <c:v>50952.0666666667</c:v>
                </c:pt>
                <c:pt idx="248">
                  <c:v>51620.8</c:v>
                </c:pt>
                <c:pt idx="249">
                  <c:v>52526.5</c:v>
                </c:pt>
                <c:pt idx="250">
                  <c:v>53076.5</c:v>
                </c:pt>
                <c:pt idx="251">
                  <c:v>53467.9</c:v>
                </c:pt>
                <c:pt idx="252">
                  <c:v>53801.5</c:v>
                </c:pt>
                <c:pt idx="253">
                  <c:v>53014.7</c:v>
                </c:pt>
                <c:pt idx="254">
                  <c:v>52060.1333333333</c:v>
                </c:pt>
                <c:pt idx="255">
                  <c:v>52928.2666666667</c:v>
                </c:pt>
                <c:pt idx="256">
                  <c:v>54159.9666666667</c:v>
                </c:pt>
                <c:pt idx="257">
                  <c:v>54641.8</c:v>
                </c:pt>
                <c:pt idx="258">
                  <c:v>54961.1</c:v>
                </c:pt>
                <c:pt idx="259">
                  <c:v>55328.9333333333</c:v>
                </c:pt>
                <c:pt idx="260">
                  <c:v>54730.2</c:v>
                </c:pt>
                <c:pt idx="261">
                  <c:v>53884.2333333333</c:v>
                </c:pt>
                <c:pt idx="262">
                  <c:v>54693.8666666667</c:v>
                </c:pt>
                <c:pt idx="263">
                  <c:v>55860.0333333333</c:v>
                </c:pt>
                <c:pt idx="264">
                  <c:v>56187.0666666667</c:v>
                </c:pt>
                <c:pt idx="265">
                  <c:v>56595.7333333333</c:v>
                </c:pt>
                <c:pt idx="266">
                  <c:v>56655.1666666667</c:v>
                </c:pt>
                <c:pt idx="267">
                  <c:v>55811.0333333333</c:v>
                </c:pt>
                <c:pt idx="268">
                  <c:v>54505.7</c:v>
                </c:pt>
                <c:pt idx="269">
                  <c:v>55329.4333333333</c:v>
                </c:pt>
                <c:pt idx="270">
                  <c:v>56438.5333333333</c:v>
                </c:pt>
                <c:pt idx="271">
                  <c:v>57012.8666666667</c:v>
                </c:pt>
                <c:pt idx="272">
                  <c:v>57299.2333333333</c:v>
                </c:pt>
                <c:pt idx="273">
                  <c:v>57616.8</c:v>
                </c:pt>
                <c:pt idx="274">
                  <c:v>56867.6666666667</c:v>
                </c:pt>
                <c:pt idx="275">
                  <c:v>55851.2333333333</c:v>
                </c:pt>
                <c:pt idx="276">
                  <c:v>56210.4666666667</c:v>
                </c:pt>
                <c:pt idx="277">
                  <c:v>56135.5333333333</c:v>
                </c:pt>
                <c:pt idx="278">
                  <c:v>56309.4333333333</c:v>
                </c:pt>
                <c:pt idx="279">
                  <c:v>56685.2666666667</c:v>
                </c:pt>
                <c:pt idx="280">
                  <c:v>56820.4666666667</c:v>
                </c:pt>
                <c:pt idx="281">
                  <c:v>55574.4333333333</c:v>
                </c:pt>
                <c:pt idx="282">
                  <c:v>54297</c:v>
                </c:pt>
                <c:pt idx="283">
                  <c:v>55017.6666666667</c:v>
                </c:pt>
                <c:pt idx="284">
                  <c:v>56203.2</c:v>
                </c:pt>
                <c:pt idx="285">
                  <c:v>56550.0666666667</c:v>
                </c:pt>
                <c:pt idx="286">
                  <c:v>56656.3666666667</c:v>
                </c:pt>
                <c:pt idx="287">
                  <c:v>56723</c:v>
                </c:pt>
                <c:pt idx="288">
                  <c:v>55503.6</c:v>
                </c:pt>
                <c:pt idx="289">
                  <c:v>54132.5</c:v>
                </c:pt>
                <c:pt idx="290">
                  <c:v>54691.8666666667</c:v>
                </c:pt>
                <c:pt idx="291">
                  <c:v>55786.2</c:v>
                </c:pt>
                <c:pt idx="292">
                  <c:v>56122.2333333333</c:v>
                </c:pt>
                <c:pt idx="293">
                  <c:v>56382</c:v>
                </c:pt>
                <c:pt idx="294">
                  <c:v>56235.9</c:v>
                </c:pt>
                <c:pt idx="295">
                  <c:v>54739.2</c:v>
                </c:pt>
                <c:pt idx="296">
                  <c:v>53649.2333333333</c:v>
                </c:pt>
                <c:pt idx="297">
                  <c:v>54342.7666666667</c:v>
                </c:pt>
                <c:pt idx="298">
                  <c:v>55307.7666666667</c:v>
                </c:pt>
                <c:pt idx="299">
                  <c:v>55730.7</c:v>
                </c:pt>
                <c:pt idx="300">
                  <c:v>55757.2666666667</c:v>
                </c:pt>
                <c:pt idx="301">
                  <c:v>55502.0333333333</c:v>
                </c:pt>
                <c:pt idx="302">
                  <c:v>54296.2666666667</c:v>
                </c:pt>
                <c:pt idx="303">
                  <c:v>52957.5</c:v>
                </c:pt>
                <c:pt idx="304">
                  <c:v>53641.1</c:v>
                </c:pt>
                <c:pt idx="305">
                  <c:v>54763.1333333333</c:v>
                </c:pt>
                <c:pt idx="306">
                  <c:v>54984.8</c:v>
                </c:pt>
                <c:pt idx="307">
                  <c:v>56210.1</c:v>
                </c:pt>
                <c:pt idx="308">
                  <c:v>56410.4</c:v>
                </c:pt>
                <c:pt idx="309">
                  <c:v>55043.4333333333</c:v>
                </c:pt>
                <c:pt idx="310">
                  <c:v>53688.9666666667</c:v>
                </c:pt>
                <c:pt idx="311">
                  <c:v>54560.9666666667</c:v>
                </c:pt>
                <c:pt idx="312">
                  <c:v>55542.9666666667</c:v>
                </c:pt>
                <c:pt idx="313">
                  <c:v>55700.8</c:v>
                </c:pt>
                <c:pt idx="314">
                  <c:v>55565.9333333333</c:v>
                </c:pt>
                <c:pt idx="315">
                  <c:v>55231.7666666667</c:v>
                </c:pt>
                <c:pt idx="316">
                  <c:v>53948.2</c:v>
                </c:pt>
                <c:pt idx="317">
                  <c:v>52399.7</c:v>
                </c:pt>
                <c:pt idx="318">
                  <c:v>53079.9</c:v>
                </c:pt>
                <c:pt idx="319">
                  <c:v>53868.8666666667</c:v>
                </c:pt>
                <c:pt idx="320">
                  <c:v>54391.2666666667</c:v>
                </c:pt>
                <c:pt idx="321">
                  <c:v>54211.9666666667</c:v>
                </c:pt>
                <c:pt idx="322">
                  <c:v>54067.5666666667</c:v>
                </c:pt>
                <c:pt idx="323">
                  <c:v>52663.9</c:v>
                </c:pt>
                <c:pt idx="324">
                  <c:v>51538.6666666667</c:v>
                </c:pt>
                <c:pt idx="325">
                  <c:v>52410.6666666667</c:v>
                </c:pt>
                <c:pt idx="326">
                  <c:v>53422.6</c:v>
                </c:pt>
                <c:pt idx="327">
                  <c:v>53777.9</c:v>
                </c:pt>
                <c:pt idx="328">
                  <c:v>53861.4</c:v>
                </c:pt>
                <c:pt idx="329">
                  <c:v>53611.2</c:v>
                </c:pt>
                <c:pt idx="330">
                  <c:v>52428.6666666667</c:v>
                </c:pt>
                <c:pt idx="331">
                  <c:v>51357</c:v>
                </c:pt>
                <c:pt idx="332">
                  <c:v>52224.1</c:v>
                </c:pt>
                <c:pt idx="333">
                  <c:v>53225.5666666667</c:v>
                </c:pt>
                <c:pt idx="334">
                  <c:v>53346.1</c:v>
                </c:pt>
                <c:pt idx="335">
                  <c:v>53475.5</c:v>
                </c:pt>
                <c:pt idx="336">
                  <c:v>53469.8333333333</c:v>
                </c:pt>
                <c:pt idx="337">
                  <c:v>52362.4333333333</c:v>
                </c:pt>
                <c:pt idx="338">
                  <c:v>51158</c:v>
                </c:pt>
                <c:pt idx="339">
                  <c:v>52213.8333333333</c:v>
                </c:pt>
                <c:pt idx="340">
                  <c:v>53341.2</c:v>
                </c:pt>
                <c:pt idx="341">
                  <c:v>53547.3</c:v>
                </c:pt>
                <c:pt idx="342">
                  <c:v>53570.4666666667</c:v>
                </c:pt>
                <c:pt idx="343">
                  <c:v>53690.7666666667</c:v>
                </c:pt>
                <c:pt idx="344">
                  <c:v>52674.7666666667</c:v>
                </c:pt>
                <c:pt idx="345">
                  <c:v>51640.5666666667</c:v>
                </c:pt>
                <c:pt idx="346">
                  <c:v>52570.3333333333</c:v>
                </c:pt>
                <c:pt idx="347">
                  <c:v>53870.3333333333</c:v>
                </c:pt>
                <c:pt idx="348">
                  <c:v>54162.7666666667</c:v>
                </c:pt>
                <c:pt idx="349">
                  <c:v>54481.6</c:v>
                </c:pt>
                <c:pt idx="350">
                  <c:v>54323.3</c:v>
                </c:pt>
                <c:pt idx="351">
                  <c:v>53354.2333333333</c:v>
                </c:pt>
                <c:pt idx="352">
                  <c:v>52348.2</c:v>
                </c:pt>
                <c:pt idx="353">
                  <c:v>53429.6666666667</c:v>
                </c:pt>
                <c:pt idx="354">
                  <c:v>54664.1</c:v>
                </c:pt>
                <c:pt idx="355">
                  <c:v>55016.9</c:v>
                </c:pt>
                <c:pt idx="356">
                  <c:v>54978.2666666667</c:v>
                </c:pt>
                <c:pt idx="357">
                  <c:v>55099.1666666667</c:v>
                </c:pt>
                <c:pt idx="358">
                  <c:v>54180.3666666667</c:v>
                </c:pt>
                <c:pt idx="359">
                  <c:v>53152.5</c:v>
                </c:pt>
                <c:pt idx="360">
                  <c:v>54139.8333333333</c:v>
                </c:pt>
                <c:pt idx="361">
                  <c:v>55356.3666666667</c:v>
                </c:pt>
                <c:pt idx="362">
                  <c:v>55680.2</c:v>
                </c:pt>
                <c:pt idx="363">
                  <c:v>55801</c:v>
                </c:pt>
                <c:pt idx="364">
                  <c:v>55875.5666666667</c:v>
                </c:pt>
                <c:pt idx="365">
                  <c:v>54653.7</c:v>
                </c:pt>
                <c:pt idx="366">
                  <c:v>53588.1</c:v>
                </c:pt>
                <c:pt idx="367">
                  <c:v>54506.7</c:v>
                </c:pt>
                <c:pt idx="368">
                  <c:v>55824.0333333333</c:v>
                </c:pt>
                <c:pt idx="369">
                  <c:v>56020.6</c:v>
                </c:pt>
                <c:pt idx="370">
                  <c:v>55998.1</c:v>
                </c:pt>
                <c:pt idx="371">
                  <c:v>56060.4333333333</c:v>
                </c:pt>
                <c:pt idx="372">
                  <c:v>55131.7</c:v>
                </c:pt>
                <c:pt idx="373">
                  <c:v>53822.8666666667</c:v>
                </c:pt>
                <c:pt idx="374">
                  <c:v>54517.0333333333</c:v>
                </c:pt>
                <c:pt idx="375">
                  <c:v>54758.8333333333</c:v>
                </c:pt>
                <c:pt idx="376">
                  <c:v>54712.6</c:v>
                </c:pt>
                <c:pt idx="377">
                  <c:v>54796.5</c:v>
                </c:pt>
                <c:pt idx="378">
                  <c:v>54947.1</c:v>
                </c:pt>
                <c:pt idx="379">
                  <c:v>53804.2666666667</c:v>
                </c:pt>
                <c:pt idx="380">
                  <c:v>52534.9</c:v>
                </c:pt>
                <c:pt idx="381">
                  <c:v>53463.7333333333</c:v>
                </c:pt>
                <c:pt idx="382">
                  <c:v>54662.5666666667</c:v>
                </c:pt>
                <c:pt idx="383">
                  <c:v>55078.7666666667</c:v>
                </c:pt>
                <c:pt idx="384">
                  <c:v>55389.4</c:v>
                </c:pt>
                <c:pt idx="385">
                  <c:v>55728.6</c:v>
                </c:pt>
                <c:pt idx="386">
                  <c:v>54613.5333333333</c:v>
                </c:pt>
                <c:pt idx="387">
                  <c:v>53282.9666666667</c:v>
                </c:pt>
                <c:pt idx="388">
                  <c:v>54130.2</c:v>
                </c:pt>
                <c:pt idx="389">
                  <c:v>55333.8333333333</c:v>
                </c:pt>
                <c:pt idx="390">
                  <c:v>55697.9333333333</c:v>
                </c:pt>
                <c:pt idx="391">
                  <c:v>55889.7</c:v>
                </c:pt>
                <c:pt idx="392">
                  <c:v>55947.9333333333</c:v>
                </c:pt>
                <c:pt idx="393">
                  <c:v>54816.0333333333</c:v>
                </c:pt>
                <c:pt idx="394">
                  <c:v>53727.1333333333</c:v>
                </c:pt>
                <c:pt idx="395">
                  <c:v>54748.2666666667</c:v>
                </c:pt>
                <c:pt idx="396">
                  <c:v>55809.1</c:v>
                </c:pt>
                <c:pt idx="397">
                  <c:v>56051.4333333333</c:v>
                </c:pt>
                <c:pt idx="398">
                  <c:v>56087.2666666667</c:v>
                </c:pt>
                <c:pt idx="399">
                  <c:v>56160.5666666667</c:v>
                </c:pt>
                <c:pt idx="400">
                  <c:v>55076.8</c:v>
                </c:pt>
                <c:pt idx="401">
                  <c:v>53861.4666666667</c:v>
                </c:pt>
                <c:pt idx="402">
                  <c:v>54512.9333333333</c:v>
                </c:pt>
                <c:pt idx="403">
                  <c:v>55782.8333333333</c:v>
                </c:pt>
                <c:pt idx="404">
                  <c:v>56131.3333333333</c:v>
                </c:pt>
                <c:pt idx="405">
                  <c:v>57226</c:v>
                </c:pt>
                <c:pt idx="406">
                  <c:v>57449.5333333333</c:v>
                </c:pt>
                <c:pt idx="407">
                  <c:v>56136.1666666667</c:v>
                </c:pt>
                <c:pt idx="408">
                  <c:v>54837.2666666667</c:v>
                </c:pt>
                <c:pt idx="409">
                  <c:v>55785.1</c:v>
                </c:pt>
                <c:pt idx="410">
                  <c:v>56847.1333333333</c:v>
                </c:pt>
                <c:pt idx="411">
                  <c:v>57186.8666666667</c:v>
                </c:pt>
                <c:pt idx="412">
                  <c:v>57372.9</c:v>
                </c:pt>
                <c:pt idx="413">
                  <c:v>57218.2666666667</c:v>
                </c:pt>
                <c:pt idx="414">
                  <c:v>55756.0333333333</c:v>
                </c:pt>
                <c:pt idx="415">
                  <c:v>54169.6666666667</c:v>
                </c:pt>
                <c:pt idx="416">
                  <c:v>55202.3333333333</c:v>
                </c:pt>
                <c:pt idx="417">
                  <c:v>56466.9666666667</c:v>
                </c:pt>
                <c:pt idx="418">
                  <c:v>56734.0333333333</c:v>
                </c:pt>
                <c:pt idx="419">
                  <c:v>56709.1333333333</c:v>
                </c:pt>
                <c:pt idx="420">
                  <c:v>56916.9</c:v>
                </c:pt>
                <c:pt idx="421">
                  <c:v>55482.9333333333</c:v>
                </c:pt>
                <c:pt idx="422">
                  <c:v>54098.5666666667</c:v>
                </c:pt>
                <c:pt idx="423">
                  <c:v>55206.3</c:v>
                </c:pt>
                <c:pt idx="424">
                  <c:v>56345.1333333333</c:v>
                </c:pt>
                <c:pt idx="425">
                  <c:v>56588.0666666667</c:v>
                </c:pt>
                <c:pt idx="426">
                  <c:v>57085.1</c:v>
                </c:pt>
                <c:pt idx="427">
                  <c:v>57170.4666666667</c:v>
                </c:pt>
                <c:pt idx="428">
                  <c:v>56228.6</c:v>
                </c:pt>
                <c:pt idx="429">
                  <c:v>54937.4333333333</c:v>
                </c:pt>
                <c:pt idx="430">
                  <c:v>55860.6</c:v>
                </c:pt>
                <c:pt idx="431">
                  <c:v>57121.7666666667</c:v>
                </c:pt>
                <c:pt idx="432">
                  <c:v>57622.1</c:v>
                </c:pt>
                <c:pt idx="433">
                  <c:v>57997.9333333333</c:v>
                </c:pt>
                <c:pt idx="434">
                  <c:v>57948.3</c:v>
                </c:pt>
                <c:pt idx="435">
                  <c:v>56912.3</c:v>
                </c:pt>
                <c:pt idx="436">
                  <c:v>55743.6333333333</c:v>
                </c:pt>
                <c:pt idx="437">
                  <c:v>56961.3333333333</c:v>
                </c:pt>
                <c:pt idx="438">
                  <c:v>58147.8333333333</c:v>
                </c:pt>
                <c:pt idx="439">
                  <c:v>58448.5666666667</c:v>
                </c:pt>
                <c:pt idx="440">
                  <c:v>58429.8666666667</c:v>
                </c:pt>
                <c:pt idx="441">
                  <c:v>58369.3333333333</c:v>
                </c:pt>
                <c:pt idx="442">
                  <c:v>57905.9666666667</c:v>
                </c:pt>
                <c:pt idx="443">
                  <c:v>56674.6</c:v>
                </c:pt>
                <c:pt idx="444">
                  <c:v>57865.5666666667</c:v>
                </c:pt>
                <c:pt idx="445">
                  <c:v>58981.8333333333</c:v>
                </c:pt>
                <c:pt idx="446">
                  <c:v>58980.1666666667</c:v>
                </c:pt>
                <c:pt idx="447">
                  <c:v>58567.7666666667</c:v>
                </c:pt>
                <c:pt idx="448">
                  <c:v>58503.3</c:v>
                </c:pt>
                <c:pt idx="449">
                  <c:v>58221.5</c:v>
                </c:pt>
                <c:pt idx="450">
                  <c:v>56760.6333333333</c:v>
                </c:pt>
                <c:pt idx="451">
                  <c:v>58142.9666666667</c:v>
                </c:pt>
                <c:pt idx="452">
                  <c:v>59717.3333333333</c:v>
                </c:pt>
                <c:pt idx="453">
                  <c:v>60038.3666666667</c:v>
                </c:pt>
                <c:pt idx="454">
                  <c:v>60259.3333333333</c:v>
                </c:pt>
                <c:pt idx="455">
                  <c:v>60167.3666666667</c:v>
                </c:pt>
                <c:pt idx="456">
                  <c:v>59154.2</c:v>
                </c:pt>
                <c:pt idx="457">
                  <c:v>57877</c:v>
                </c:pt>
                <c:pt idx="458">
                  <c:v>58393.2333333333</c:v>
                </c:pt>
                <c:pt idx="459">
                  <c:v>59527.6333333333</c:v>
                </c:pt>
                <c:pt idx="460">
                  <c:v>59676.2</c:v>
                </c:pt>
                <c:pt idx="461">
                  <c:v>59593.7333333333</c:v>
                </c:pt>
                <c:pt idx="462">
                  <c:v>58655.6</c:v>
                </c:pt>
                <c:pt idx="463">
                  <c:v>56717.8666666667</c:v>
                </c:pt>
                <c:pt idx="464">
                  <c:v>55533</c:v>
                </c:pt>
                <c:pt idx="465">
                  <c:v>56217.6333333333</c:v>
                </c:pt>
                <c:pt idx="466">
                  <c:v>57206.7666666667</c:v>
                </c:pt>
                <c:pt idx="467">
                  <c:v>57446.4666666667</c:v>
                </c:pt>
                <c:pt idx="468">
                  <c:v>57711.9</c:v>
                </c:pt>
                <c:pt idx="469">
                  <c:v>57978.2666666667</c:v>
                </c:pt>
                <c:pt idx="470">
                  <c:v>57124.6333333333</c:v>
                </c:pt>
                <c:pt idx="471">
                  <c:v>55736.7666666667</c:v>
                </c:pt>
                <c:pt idx="472">
                  <c:v>55892.3</c:v>
                </c:pt>
                <c:pt idx="473">
                  <c:v>57469.2666666667</c:v>
                </c:pt>
                <c:pt idx="474">
                  <c:v>57853.8666666667</c:v>
                </c:pt>
                <c:pt idx="475">
                  <c:v>58111.9333333333</c:v>
                </c:pt>
                <c:pt idx="476">
                  <c:v>58513.9</c:v>
                </c:pt>
                <c:pt idx="477">
                  <c:v>57878.4666666667</c:v>
                </c:pt>
                <c:pt idx="478">
                  <c:v>56528.1666666667</c:v>
                </c:pt>
                <c:pt idx="479">
                  <c:v>56902.2666666667</c:v>
                </c:pt>
                <c:pt idx="480">
                  <c:v>58166.2666666667</c:v>
                </c:pt>
                <c:pt idx="481">
                  <c:v>58242.6</c:v>
                </c:pt>
                <c:pt idx="482">
                  <c:v>58295.9666666667</c:v>
                </c:pt>
                <c:pt idx="483">
                  <c:v>58413.1</c:v>
                </c:pt>
                <c:pt idx="484">
                  <c:v>57050.7666666667</c:v>
                </c:pt>
                <c:pt idx="485">
                  <c:v>55963.5</c:v>
                </c:pt>
                <c:pt idx="486">
                  <c:v>56446.1666666667</c:v>
                </c:pt>
                <c:pt idx="487">
                  <c:v>57721.5</c:v>
                </c:pt>
                <c:pt idx="488">
                  <c:v>58103.5666666667</c:v>
                </c:pt>
                <c:pt idx="489">
                  <c:v>57135.8333333333</c:v>
                </c:pt>
                <c:pt idx="490">
                  <c:v>56168.1333333333</c:v>
                </c:pt>
                <c:pt idx="491">
                  <c:v>54884.0666666667</c:v>
                </c:pt>
                <c:pt idx="492">
                  <c:v>54543.9</c:v>
                </c:pt>
                <c:pt idx="493">
                  <c:v>56304.9</c:v>
                </c:pt>
                <c:pt idx="494">
                  <c:v>57535.6333333333</c:v>
                </c:pt>
                <c:pt idx="495">
                  <c:v>58010.7333333333</c:v>
                </c:pt>
                <c:pt idx="496">
                  <c:v>57190.6666666667</c:v>
                </c:pt>
                <c:pt idx="497">
                  <c:v>56045.1333333333</c:v>
                </c:pt>
                <c:pt idx="498">
                  <c:v>55000.1333333333</c:v>
                </c:pt>
                <c:pt idx="499">
                  <c:v>53398.8666666667</c:v>
                </c:pt>
                <c:pt idx="500">
                  <c:v>54379.3666666667</c:v>
                </c:pt>
                <c:pt idx="501">
                  <c:v>56024.7</c:v>
                </c:pt>
                <c:pt idx="502">
                  <c:v>56539.4</c:v>
                </c:pt>
                <c:pt idx="503">
                  <c:v>56546.1666666667</c:v>
                </c:pt>
                <c:pt idx="504">
                  <c:v>56469.6333333333</c:v>
                </c:pt>
                <c:pt idx="505">
                  <c:v>55736.7</c:v>
                </c:pt>
                <c:pt idx="506">
                  <c:v>54178.9</c:v>
                </c:pt>
                <c:pt idx="507">
                  <c:v>55187</c:v>
                </c:pt>
                <c:pt idx="508">
                  <c:v>56532.1333333333</c:v>
                </c:pt>
                <c:pt idx="509">
                  <c:v>56765.7666666667</c:v>
                </c:pt>
                <c:pt idx="510">
                  <c:v>56797.5</c:v>
                </c:pt>
                <c:pt idx="511">
                  <c:v>56770.1</c:v>
                </c:pt>
                <c:pt idx="512">
                  <c:v>55514.1666666667</c:v>
                </c:pt>
                <c:pt idx="513">
                  <c:v>54088.7333333333</c:v>
                </c:pt>
                <c:pt idx="514">
                  <c:v>55238.2</c:v>
                </c:pt>
                <c:pt idx="515">
                  <c:v>56474.8333333333</c:v>
                </c:pt>
                <c:pt idx="516">
                  <c:v>56908.9333333333</c:v>
                </c:pt>
                <c:pt idx="517">
                  <c:v>56928.0666666667</c:v>
                </c:pt>
                <c:pt idx="518">
                  <c:v>57069.0333333333</c:v>
                </c:pt>
                <c:pt idx="519">
                  <c:v>57053.8666666667</c:v>
                </c:pt>
                <c:pt idx="520">
                  <c:v>56918.6666666667</c:v>
                </c:pt>
                <c:pt idx="521">
                  <c:v>58076.6333333333</c:v>
                </c:pt>
                <c:pt idx="522">
                  <c:v>59250.2</c:v>
                </c:pt>
                <c:pt idx="523">
                  <c:v>59259.4666666667</c:v>
                </c:pt>
                <c:pt idx="524">
                  <c:v>59383.4333333333</c:v>
                </c:pt>
                <c:pt idx="525">
                  <c:v>59362.9</c:v>
                </c:pt>
                <c:pt idx="526">
                  <c:v>59307.8666666667</c:v>
                </c:pt>
                <c:pt idx="527">
                  <c:v>58970.2666666667</c:v>
                </c:pt>
                <c:pt idx="528">
                  <c:v>59848.1666666667</c:v>
                </c:pt>
                <c:pt idx="529">
                  <c:v>61283.8333333333</c:v>
                </c:pt>
                <c:pt idx="530">
                  <c:v>61565.5666666667</c:v>
                </c:pt>
                <c:pt idx="531">
                  <c:v>61375</c:v>
                </c:pt>
                <c:pt idx="532">
                  <c:v>61259.9</c:v>
                </c:pt>
                <c:pt idx="533">
                  <c:v>59701</c:v>
                </c:pt>
                <c:pt idx="534">
                  <c:v>58239.5666666667</c:v>
                </c:pt>
                <c:pt idx="535">
                  <c:v>58673.6</c:v>
                </c:pt>
                <c:pt idx="536">
                  <c:v>59933.2666666667</c:v>
                </c:pt>
                <c:pt idx="537">
                  <c:v>60143.2666666667</c:v>
                </c:pt>
                <c:pt idx="538">
                  <c:v>60401.2666666667</c:v>
                </c:pt>
                <c:pt idx="539">
                  <c:v>60129.4</c:v>
                </c:pt>
                <c:pt idx="540">
                  <c:v>58959.4</c:v>
                </c:pt>
                <c:pt idx="541">
                  <c:v>57519.2333333333</c:v>
                </c:pt>
                <c:pt idx="542">
                  <c:v>58394.1</c:v>
                </c:pt>
                <c:pt idx="543">
                  <c:v>59504.6666666667</c:v>
                </c:pt>
                <c:pt idx="544">
                  <c:v>59823.0333333333</c:v>
                </c:pt>
                <c:pt idx="545">
                  <c:v>59870</c:v>
                </c:pt>
                <c:pt idx="546">
                  <c:v>59777.1666666667</c:v>
                </c:pt>
                <c:pt idx="547">
                  <c:v>58675.1333333333</c:v>
                </c:pt>
                <c:pt idx="548">
                  <c:v>57308.3666666667</c:v>
                </c:pt>
                <c:pt idx="549">
                  <c:v>58323.2</c:v>
                </c:pt>
                <c:pt idx="550">
                  <c:v>59392</c:v>
                </c:pt>
                <c:pt idx="551">
                  <c:v>59816.8333333333</c:v>
                </c:pt>
                <c:pt idx="552">
                  <c:v>59995.1333333333</c:v>
                </c:pt>
                <c:pt idx="553">
                  <c:v>58193.9333333333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152549"/>
        <c:axId val="19976789"/>
      </c:lineChart>
      <c:catAx>
        <c:axId val="18152549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976789"/>
        <c:crosses val="autoZero"/>
        <c:auto val="1"/>
        <c:lblAlgn val="ctr"/>
        <c:lblOffset val="100"/>
        <c:noMultiLvlLbl val="0"/>
      </c:catAx>
      <c:valAx>
        <c:axId val="199767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152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Average Volume by Day of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'Daily Velocity'!I4</c:f>
              <c:strCache>
                <c:ptCount val="1"/>
                <c:pt idx="0">
                  <c:v>Avg Volume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Velocity'!$H$5:$H$11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'Daily Velocity'!$I$5:$I$11</c:f>
              <c:numCache>
                <c:formatCode>#,##0</c:formatCode>
                <c:ptCount val="7"/>
                <c:pt idx="0">
                  <c:v>60026.9240506329</c:v>
                </c:pt>
                <c:pt idx="1">
                  <c:v>63086.164556962</c:v>
                </c:pt>
                <c:pt idx="2">
                  <c:v>61933.5443037975</c:v>
                </c:pt>
                <c:pt idx="3">
                  <c:v>61209.0875</c:v>
                </c:pt>
                <c:pt idx="4">
                  <c:v>35751.5949367089</c:v>
                </c:pt>
                <c:pt idx="5">
                  <c:v>27762.9620253165</c:v>
                </c:pt>
                <c:pt idx="6">
                  <c:v>53619.6962025316</c:v>
                </c:pt>
              </c:numCache>
            </c:numRef>
          </c:val>
        </c:ser>
        <c:gapWidth val="150"/>
        <c:overlap val="0"/>
        <c:axId val="94948681"/>
        <c:axId val="24725194"/>
      </c:barChart>
      <c:catAx>
        <c:axId val="9494868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725194"/>
        <c:crosses val="autoZero"/>
        <c:auto val="1"/>
        <c:lblAlgn val="ctr"/>
        <c:lblOffset val="100"/>
        <c:noMultiLvlLbl val="0"/>
      </c:catAx>
      <c:valAx>
        <c:axId val="247251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Avg 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9486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Projected Monthly Volume vs. Purge Requirement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'Forward Projections'!B15</c:f>
              <c:strCache>
                <c:ptCount val="1"/>
                <c:pt idx="0">
                  <c:v>Projected Monthly Volume</c:v>
                </c:pt>
              </c:strCache>
            </c:strRef>
          </c:tx>
          <c:spPr>
            <a:solidFill>
              <a:srgbClr val="2f5496"/>
            </a:solidFill>
            <a:ln w="24840">
              <a:solidFill>
                <a:srgbClr val="2f549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'Forward Projections'!$A$16:$A$39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Projections'!$B$16:$B$39</c:f>
              <c:numCache>
                <c:formatCode>#,##0</c:formatCode>
                <c:ptCount val="24"/>
                <c:pt idx="0">
                  <c:v>2278634.27653921</c:v>
                </c:pt>
                <c:pt idx="1">
                  <c:v>2559400.6589118</c:v>
                </c:pt>
                <c:pt idx="2">
                  <c:v>2874762.22063468</c:v>
                </c:pt>
                <c:pt idx="3">
                  <c:v>3228981.67444491</c:v>
                </c:pt>
                <c:pt idx="4">
                  <c:v>3626846.9715729</c:v>
                </c:pt>
                <c:pt idx="5">
                  <c:v>4073736.02003139</c:v>
                </c:pt>
                <c:pt idx="6">
                  <c:v>4575689.37729514</c:v>
                </c:pt>
                <c:pt idx="7">
                  <c:v>5139491.89995141</c:v>
                </c:pt>
                <c:pt idx="8">
                  <c:v>5772764.45397189</c:v>
                </c:pt>
                <c:pt idx="9">
                  <c:v>6484066.92524535</c:v>
                </c:pt>
                <c:pt idx="10">
                  <c:v>7283013.9227547</c:v>
                </c:pt>
                <c:pt idx="11">
                  <c:v>8180404.73834742</c:v>
                </c:pt>
                <c:pt idx="12">
                  <c:v>9188369.3197535</c:v>
                </c:pt>
                <c:pt idx="13">
                  <c:v>10320532.2299545</c:v>
                </c:pt>
                <c:pt idx="14">
                  <c:v>11592196.8091274</c:v>
                </c:pt>
                <c:pt idx="15">
                  <c:v>13020552.0284621</c:v>
                </c:pt>
                <c:pt idx="16">
                  <c:v>14624904.8318781</c:v>
                </c:pt>
                <c:pt idx="17">
                  <c:v>16426941.1061793</c:v>
                </c:pt>
                <c:pt idx="18">
                  <c:v>18451018.8071584</c:v>
                </c:pt>
                <c:pt idx="19">
                  <c:v>20724497.2038068</c:v>
                </c:pt>
                <c:pt idx="20">
                  <c:v>23278106.6909954</c:v>
                </c:pt>
                <c:pt idx="21">
                  <c:v>26146364.1693479</c:v>
                </c:pt>
                <c:pt idx="22">
                  <c:v>29368039.6069586</c:v>
                </c:pt>
                <c:pt idx="23">
                  <c:v>32986680.0894251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'Forward Projections'!D15</c:f>
              <c:strCache>
                <c:ptCount val="1"/>
                <c:pt idx="0">
                  <c:v>Est. Rows to Purge/Month</c:v>
                </c:pt>
              </c:strCache>
            </c:strRef>
          </c:tx>
          <c:spPr>
            <a:solidFill>
              <a:srgbClr val="c00000"/>
            </a:solidFill>
            <a:ln w="248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'Forward Projections'!$A$16:$A$39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Projections'!$D$16:$D$39</c:f>
              <c:numCache>
                <c:formatCode>#,##0</c:formatCode>
                <c:ptCount val="24"/>
                <c:pt idx="0">
                  <c:v>565081.135240944</c:v>
                </c:pt>
                <c:pt idx="1">
                  <c:v>634708.713357412</c:v>
                </c:pt>
                <c:pt idx="2">
                  <c:v>712915.589794108</c:v>
                </c:pt>
                <c:pt idx="3">
                  <c:v>800758.879585886</c:v>
                </c:pt>
                <c:pt idx="4">
                  <c:v>899425.952265721</c:v>
                </c:pt>
                <c:pt idx="5">
                  <c:v>1010250.48142764</c:v>
                </c:pt>
                <c:pt idx="6">
                  <c:v>1134730.47186797</c:v>
                </c:pt>
                <c:pt idx="7">
                  <c:v>1274548.50797607</c:v>
                </c:pt>
                <c:pt idx="8">
                  <c:v>1431594.49707017</c:v>
                </c:pt>
                <c:pt idx="9">
                  <c:v>1607991.21509785</c:v>
                </c:pt>
                <c:pt idx="10">
                  <c:v>1806123</c:v>
                </c:pt>
                <c:pt idx="11">
                  <c:v>2028667.98058377</c:v>
                </c:pt>
                <c:pt idx="12">
                  <c:v>2278634.27653921</c:v>
                </c:pt>
                <c:pt idx="13">
                  <c:v>2559400.6589118</c:v>
                </c:pt>
                <c:pt idx="14">
                  <c:v>2874762.22063468</c:v>
                </c:pt>
                <c:pt idx="15">
                  <c:v>3228981.67444491</c:v>
                </c:pt>
                <c:pt idx="16">
                  <c:v>3626846.9715729</c:v>
                </c:pt>
                <c:pt idx="17">
                  <c:v>4073736.02003139</c:v>
                </c:pt>
                <c:pt idx="18">
                  <c:v>4575689.37729514</c:v>
                </c:pt>
                <c:pt idx="19">
                  <c:v>5139491.89995141</c:v>
                </c:pt>
                <c:pt idx="20">
                  <c:v>5772764.45397189</c:v>
                </c:pt>
                <c:pt idx="21">
                  <c:v>6484066.92524535</c:v>
                </c:pt>
                <c:pt idx="22">
                  <c:v>7283013.9227547</c:v>
                </c:pt>
                <c:pt idx="23">
                  <c:v>8180404.73834742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142329"/>
        <c:axId val="36549078"/>
      </c:lineChart>
      <c:catAx>
        <c:axId val="871423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549078"/>
        <c:crosses val="autoZero"/>
        <c:auto val="1"/>
        <c:lblAlgn val="ctr"/>
        <c:lblOffset val="100"/>
        <c:noMultiLvlLbl val="0"/>
      </c:catAx>
      <c:valAx>
        <c:axId val="365490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Rows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1423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Estimated Nightly Purge Duration — OeOrderHistory Cascade (Hours)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'Forward Projections'!G15</c:f>
              <c:strCache>
                <c:ptCount val="1"/>
                <c:pt idx="0">
                  <c:v>Est. Purge Duration (hrs)</c:v>
                </c:pt>
              </c:strCache>
            </c:strRef>
          </c:tx>
          <c:spPr>
            <a:solidFill>
              <a:srgbClr val="2f549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'Forward Projections'!$A$16:$A$39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Projections'!$G$16:$G$39</c:f>
              <c:numCache>
                <c:formatCode>#,##0.0</c:formatCode>
                <c:ptCount val="24"/>
                <c:pt idx="0">
                  <c:v>0.0475</c:v>
                </c:pt>
                <c:pt idx="1">
                  <c:v>0.0533333333333333</c:v>
                </c:pt>
                <c:pt idx="2">
                  <c:v>0.06</c:v>
                </c:pt>
                <c:pt idx="3">
                  <c:v>0.0675</c:v>
                </c:pt>
                <c:pt idx="4">
                  <c:v>0.075</c:v>
                </c:pt>
                <c:pt idx="5">
                  <c:v>0.085</c:v>
                </c:pt>
                <c:pt idx="6">
                  <c:v>0.095</c:v>
                </c:pt>
                <c:pt idx="7">
                  <c:v>0.106666666666667</c:v>
                </c:pt>
                <c:pt idx="8">
                  <c:v>0.12</c:v>
                </c:pt>
                <c:pt idx="9">
                  <c:v>0.134166666666667</c:v>
                </c:pt>
                <c:pt idx="10">
                  <c:v>0.150833333333333</c:v>
                </c:pt>
                <c:pt idx="11">
                  <c:v>0.169166666666667</c:v>
                </c:pt>
                <c:pt idx="12">
                  <c:v>0.19</c:v>
                </c:pt>
                <c:pt idx="13">
                  <c:v>0.213333333333333</c:v>
                </c:pt>
                <c:pt idx="14">
                  <c:v>0.24</c:v>
                </c:pt>
                <c:pt idx="15">
                  <c:v>0.269166666666667</c:v>
                </c:pt>
                <c:pt idx="16">
                  <c:v>0.3025</c:v>
                </c:pt>
                <c:pt idx="17">
                  <c:v>0.34</c:v>
                </c:pt>
                <c:pt idx="18">
                  <c:v>0.381666666666667</c:v>
                </c:pt>
                <c:pt idx="19">
                  <c:v>0.428333333333333</c:v>
                </c:pt>
                <c:pt idx="20">
                  <c:v>0.481666666666667</c:v>
                </c:pt>
                <c:pt idx="21">
                  <c:v>0.540833333333333</c:v>
                </c:pt>
                <c:pt idx="22">
                  <c:v>0.6075</c:v>
                </c:pt>
                <c:pt idx="23">
                  <c:v>0.6825</c:v>
                </c:pt>
              </c:numCache>
            </c:numRef>
          </c:val>
        </c:ser>
        <c:gapWidth val="150"/>
        <c:overlap val="0"/>
        <c:axId val="72019505"/>
        <c:axId val="2778527"/>
      </c:barChart>
      <c:catAx>
        <c:axId val="720195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78527"/>
        <c:crosses val="autoZero"/>
        <c:auto val="1"/>
        <c:lblAlgn val="ctr"/>
        <c:lblOffset val="100"/>
        <c:noMultiLvlLbl val="0"/>
      </c:catAx>
      <c:valAx>
        <c:axId val="27785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0195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Projected Table Size (GB) — OeOrderHistory Only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'Forward Projections'!H15</c:f>
              <c:strCache>
                <c:ptCount val="1"/>
                <c:pt idx="0">
                  <c:v>Est. Table Size (GB)</c:v>
                </c:pt>
              </c:strCache>
            </c:strRef>
          </c:tx>
          <c:spPr>
            <a:solidFill>
              <a:srgbClr val="008000"/>
            </a:solidFill>
            <a:ln w="24840">
              <a:solidFill>
                <a:srgbClr val="0080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'Forward Projections'!$A$16:$A$39</c:f>
              <c:strCache>
                <c:ptCount val="24"/>
                <c:pt idx="0">
                  <c:v>2026-03</c:v>
                </c:pt>
                <c:pt idx="1">
                  <c:v>2026-04</c:v>
                </c:pt>
                <c:pt idx="2">
                  <c:v>2026-05</c:v>
                </c:pt>
                <c:pt idx="3">
                  <c:v>2026-06</c:v>
                </c:pt>
                <c:pt idx="4">
                  <c:v>2026-07</c:v>
                </c:pt>
                <c:pt idx="5">
                  <c:v>2026-08</c:v>
                </c:pt>
                <c:pt idx="6">
                  <c:v>2026-09</c:v>
                </c:pt>
                <c:pt idx="7">
                  <c:v>2026-10</c:v>
                </c:pt>
                <c:pt idx="8">
                  <c:v>2026-11</c:v>
                </c:pt>
                <c:pt idx="9">
                  <c:v>2026-12</c:v>
                </c:pt>
                <c:pt idx="10">
                  <c:v>2027-01</c:v>
                </c:pt>
                <c:pt idx="11">
                  <c:v>2027-02</c:v>
                </c:pt>
                <c:pt idx="12">
                  <c:v>2027-03</c:v>
                </c:pt>
                <c:pt idx="13">
                  <c:v>2027-04</c:v>
                </c:pt>
                <c:pt idx="14">
                  <c:v>2027-05</c:v>
                </c:pt>
                <c:pt idx="15">
                  <c:v>2027-06</c:v>
                </c:pt>
                <c:pt idx="16">
                  <c:v>2027-07</c:v>
                </c:pt>
                <c:pt idx="17">
                  <c:v>2027-08</c:v>
                </c:pt>
                <c:pt idx="18">
                  <c:v>2027-09</c:v>
                </c:pt>
                <c:pt idx="19">
                  <c:v>2027-10</c:v>
                </c:pt>
                <c:pt idx="20">
                  <c:v>2027-11</c:v>
                </c:pt>
                <c:pt idx="21">
                  <c:v>2027-12</c:v>
                </c:pt>
                <c:pt idx="22">
                  <c:v>2028-01</c:v>
                </c:pt>
                <c:pt idx="23">
                  <c:v>2028-02</c:v>
                </c:pt>
              </c:strCache>
            </c:strRef>
          </c:cat>
          <c:val>
            <c:numRef>
              <c:f>'Forward Projections'!$H$16:$H$39</c:f>
              <c:numCache>
                <c:formatCode>#,##0.0</c:formatCode>
                <c:ptCount val="24"/>
                <c:pt idx="0">
                  <c:v>28.8864631441074</c:v>
                </c:pt>
                <c:pt idx="1">
                  <c:v>31.2677071276266</c:v>
                </c:pt>
                <c:pt idx="2">
                  <c:v>33.9423607494026</c:v>
                </c:pt>
                <c:pt idx="3">
                  <c:v>36.9465770523064</c:v>
                </c:pt>
                <c:pt idx="4">
                  <c:v>40.3209637471488</c:v>
                </c:pt>
                <c:pt idx="5">
                  <c:v>44.1111321033097</c:v>
                </c:pt>
                <c:pt idx="6">
                  <c:v>48.3683134720014</c:v>
                </c:pt>
                <c:pt idx="7">
                  <c:v>53.1500517756511</c:v>
                </c:pt>
                <c:pt idx="8">
                  <c:v>58.520981323719</c:v>
                </c:pt>
                <c:pt idx="9">
                  <c:v>64.5537004686148</c:v>
                </c:pt>
                <c:pt idx="10">
                  <c:v>71.3297529108376</c:v>
                </c:pt>
                <c:pt idx="11">
                  <c:v>78.9407299175496</c:v>
                </c:pt>
                <c:pt idx="12">
                  <c:v>87.4895083531689</c:v>
                </c:pt>
                <c:pt idx="13">
                  <c:v>97.0916412563244</c:v>
                </c:pt>
                <c:pt idx="14">
                  <c:v>107.876919759473</c:v>
                </c:pt>
                <c:pt idx="15">
                  <c:v>119.991127463497</c:v>
                </c:pt>
                <c:pt idx="16">
                  <c:v>133.598010981006</c:v>
                </c:pt>
                <c:pt idx="17">
                  <c:v>148.881493283986</c:v>
                </c:pt>
                <c:pt idx="18">
                  <c:v>166.048159773407</c:v>
                </c:pt>
                <c:pt idx="19">
                  <c:v>185.330050674775</c:v>
                </c:pt>
                <c:pt idx="20">
                  <c:v>206.987797504151</c:v>
                </c:pt>
                <c:pt idx="21">
                  <c:v>231.314145999987</c:v>
                </c:pt>
                <c:pt idx="22">
                  <c:v>258.63791313989</c:v>
                </c:pt>
                <c:pt idx="23">
                  <c:v>289.328431728962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315867"/>
        <c:axId val="56236742"/>
      </c:lineChart>
      <c:catAx>
        <c:axId val="543158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236742"/>
        <c:crosses val="autoZero"/>
        <c:auto val="1"/>
        <c:lblAlgn val="ctr"/>
        <c:lblOffset val="100"/>
        <c:noMultiLvlLbl val="0"/>
      </c:catAx>
      <c:valAx>
        <c:axId val="562367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GB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3158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33</xdr:row>
      <xdr:rowOff>160920</xdr:rowOff>
    </xdr:from>
    <xdr:to>
      <xdr:col>7</xdr:col>
      <xdr:colOff>627840</xdr:colOff>
      <xdr:row>62</xdr:row>
      <xdr:rowOff>35640</xdr:rowOff>
    </xdr:to>
    <xdr:graphicFrame>
      <xdr:nvGraphicFramePr>
        <xdr:cNvPr id="0" name="Chart 1"/>
        <xdr:cNvGraphicFramePr/>
      </xdr:nvGraphicFramePr>
      <xdr:xfrm>
        <a:off x="0" y="6476040"/>
        <a:ext cx="10079280" cy="53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49</xdr:row>
      <xdr:rowOff>160560</xdr:rowOff>
    </xdr:from>
    <xdr:to>
      <xdr:col>7</xdr:col>
      <xdr:colOff>627840</xdr:colOff>
      <xdr:row>78</xdr:row>
      <xdr:rowOff>35280</xdr:rowOff>
    </xdr:to>
    <xdr:graphicFrame>
      <xdr:nvGraphicFramePr>
        <xdr:cNvPr id="1" name="Chart 2"/>
        <xdr:cNvGraphicFramePr/>
      </xdr:nvGraphicFramePr>
      <xdr:xfrm>
        <a:off x="0" y="9523800"/>
        <a:ext cx="10079280" cy="53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557</xdr:row>
      <xdr:rowOff>160560</xdr:rowOff>
    </xdr:from>
    <xdr:to>
      <xdr:col>9</xdr:col>
      <xdr:colOff>826200</xdr:colOff>
      <xdr:row>591</xdr:row>
      <xdr:rowOff>163080</xdr:rowOff>
    </xdr:to>
    <xdr:graphicFrame>
      <xdr:nvGraphicFramePr>
        <xdr:cNvPr id="2" name="Chart 1"/>
        <xdr:cNvGraphicFramePr/>
      </xdr:nvGraphicFramePr>
      <xdr:xfrm>
        <a:off x="0" y="106297560"/>
        <a:ext cx="12959280" cy="64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160560</xdr:rowOff>
    </xdr:from>
    <xdr:to>
      <xdr:col>13</xdr:col>
      <xdr:colOff>84240</xdr:colOff>
      <xdr:row>44</xdr:row>
      <xdr:rowOff>56520</xdr:rowOff>
    </xdr:to>
    <xdr:graphicFrame>
      <xdr:nvGraphicFramePr>
        <xdr:cNvPr id="3" name="Chart 2"/>
        <xdr:cNvGraphicFramePr/>
      </xdr:nvGraphicFramePr>
      <xdr:xfrm>
        <a:off x="8104680" y="3427560"/>
        <a:ext cx="719928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48</xdr:row>
      <xdr:rowOff>160560</xdr:rowOff>
    </xdr:from>
    <xdr:to>
      <xdr:col>5</xdr:col>
      <xdr:colOff>828360</xdr:colOff>
      <xdr:row>79</xdr:row>
      <xdr:rowOff>14400</xdr:rowOff>
    </xdr:to>
    <xdr:graphicFrame>
      <xdr:nvGraphicFramePr>
        <xdr:cNvPr id="4" name="Chart 1"/>
        <xdr:cNvGraphicFramePr/>
      </xdr:nvGraphicFramePr>
      <xdr:xfrm>
        <a:off x="0" y="9333000"/>
        <a:ext cx="1151928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64</xdr:row>
      <xdr:rowOff>160560</xdr:rowOff>
    </xdr:from>
    <xdr:to>
      <xdr:col>5</xdr:col>
      <xdr:colOff>828360</xdr:colOff>
      <xdr:row>95</xdr:row>
      <xdr:rowOff>14400</xdr:rowOff>
    </xdr:to>
    <xdr:graphicFrame>
      <xdr:nvGraphicFramePr>
        <xdr:cNvPr id="5" name="Chart 2"/>
        <xdr:cNvGraphicFramePr/>
      </xdr:nvGraphicFramePr>
      <xdr:xfrm>
        <a:off x="0" y="12381120"/>
        <a:ext cx="11519280" cy="57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80</xdr:row>
      <xdr:rowOff>160920</xdr:rowOff>
    </xdr:from>
    <xdr:to>
      <xdr:col>5</xdr:col>
      <xdr:colOff>828360</xdr:colOff>
      <xdr:row>111</xdr:row>
      <xdr:rowOff>14760</xdr:rowOff>
    </xdr:to>
    <xdr:graphicFrame>
      <xdr:nvGraphicFramePr>
        <xdr:cNvPr id="6" name="Chart 3"/>
        <xdr:cNvGraphicFramePr/>
      </xdr:nvGraphicFramePr>
      <xdr:xfrm>
        <a:off x="0" y="15429600"/>
        <a:ext cx="11519280" cy="57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true" zeroHeight="false" outlineLevelRow="0" outlineLevelCol="0"/>
  <cols>
    <col collapsed="false" customWidth="true" hidden="false" outlineLevel="0" max="4" min="1" style="1" width="8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true" outlineLevel="0" collapsed="false">
      <c r="A2" s="1" t="n">
        <v>2026</v>
      </c>
      <c r="B2" s="1" t="n">
        <v>2</v>
      </c>
      <c r="C2" s="1" t="n">
        <v>26</v>
      </c>
      <c r="D2" s="1" t="n">
        <v>17319</v>
      </c>
    </row>
    <row r="3" customFormat="false" ht="15" hidden="false" customHeight="true" outlineLevel="0" collapsed="false">
      <c r="A3" s="1" t="n">
        <v>2026</v>
      </c>
      <c r="B3" s="1" t="n">
        <v>2</v>
      </c>
      <c r="C3" s="1" t="n">
        <v>25</v>
      </c>
      <c r="D3" s="1" t="n">
        <v>72371</v>
      </c>
    </row>
    <row r="4" customFormat="false" ht="15" hidden="false" customHeight="true" outlineLevel="0" collapsed="false">
      <c r="A4" s="1" t="n">
        <v>2026</v>
      </c>
      <c r="B4" s="1" t="n">
        <v>2</v>
      </c>
      <c r="C4" s="1" t="n">
        <v>24</v>
      </c>
      <c r="D4" s="1" t="n">
        <v>75446</v>
      </c>
    </row>
    <row r="5" customFormat="false" ht="15" hidden="false" customHeight="true" outlineLevel="0" collapsed="false">
      <c r="A5" s="1" t="n">
        <v>2026</v>
      </c>
      <c r="B5" s="1" t="n">
        <v>2</v>
      </c>
      <c r="C5" s="1" t="n">
        <v>23</v>
      </c>
      <c r="D5" s="1" t="n">
        <v>62945</v>
      </c>
    </row>
    <row r="6" customFormat="false" ht="15" hidden="false" customHeight="true" outlineLevel="0" collapsed="false">
      <c r="A6" s="1" t="n">
        <v>2026</v>
      </c>
      <c r="B6" s="1" t="n">
        <v>2</v>
      </c>
      <c r="C6" s="1" t="n">
        <v>22</v>
      </c>
      <c r="D6" s="1" t="n">
        <v>64483</v>
      </c>
    </row>
    <row r="7" customFormat="false" ht="15" hidden="false" customHeight="true" outlineLevel="0" collapsed="false">
      <c r="A7" s="1" t="n">
        <v>2026</v>
      </c>
      <c r="B7" s="1" t="n">
        <v>2</v>
      </c>
      <c r="C7" s="1" t="n">
        <v>21</v>
      </c>
      <c r="D7" s="1" t="n">
        <v>30952</v>
      </c>
    </row>
    <row r="8" customFormat="false" ht="15" hidden="false" customHeight="true" outlineLevel="0" collapsed="false">
      <c r="A8" s="1" t="n">
        <v>2026</v>
      </c>
      <c r="B8" s="1" t="n">
        <v>2</v>
      </c>
      <c r="C8" s="1" t="n">
        <v>20</v>
      </c>
      <c r="D8" s="1" t="n">
        <v>35705</v>
      </c>
    </row>
    <row r="9" customFormat="false" ht="15" hidden="false" customHeight="true" outlineLevel="0" collapsed="false">
      <c r="A9" s="1" t="n">
        <v>2026</v>
      </c>
      <c r="B9" s="1" t="n">
        <v>2</v>
      </c>
      <c r="C9" s="1" t="n">
        <v>19</v>
      </c>
      <c r="D9" s="1" t="n">
        <v>71867</v>
      </c>
    </row>
    <row r="10" customFormat="false" ht="15" hidden="false" customHeight="true" outlineLevel="0" collapsed="false">
      <c r="A10" s="1" t="n">
        <v>2026</v>
      </c>
      <c r="B10" s="1" t="n">
        <v>2</v>
      </c>
      <c r="C10" s="1" t="n">
        <v>18</v>
      </c>
      <c r="D10" s="1" t="n">
        <v>71394</v>
      </c>
    </row>
    <row r="11" customFormat="false" ht="15" hidden="false" customHeight="true" outlineLevel="0" collapsed="false">
      <c r="A11" s="1" t="n">
        <v>2026</v>
      </c>
      <c r="B11" s="1" t="n">
        <v>2</v>
      </c>
      <c r="C11" s="1" t="n">
        <v>17</v>
      </c>
      <c r="D11" s="1" t="n">
        <v>75221</v>
      </c>
    </row>
    <row r="12" customFormat="false" ht="15" hidden="false" customHeight="true" outlineLevel="0" collapsed="false">
      <c r="A12" s="1" t="n">
        <v>2026</v>
      </c>
      <c r="B12" s="1" t="n">
        <v>2</v>
      </c>
      <c r="C12" s="1" t="n">
        <v>16</v>
      </c>
      <c r="D12" s="1" t="n">
        <v>67373</v>
      </c>
    </row>
    <row r="13" customFormat="false" ht="15" hidden="false" customHeight="true" outlineLevel="0" collapsed="false">
      <c r="A13" s="1" t="n">
        <v>2026</v>
      </c>
      <c r="B13" s="1" t="n">
        <v>2</v>
      </c>
      <c r="C13" s="1" t="n">
        <v>15</v>
      </c>
      <c r="D13" s="1" t="n">
        <v>62788</v>
      </c>
    </row>
    <row r="14" customFormat="false" ht="15" hidden="false" customHeight="true" outlineLevel="0" collapsed="false">
      <c r="A14" s="1" t="n">
        <v>2026</v>
      </c>
      <c r="B14" s="1" t="n">
        <v>2</v>
      </c>
      <c r="C14" s="1" t="n">
        <v>14</v>
      </c>
      <c r="D14" s="1" t="n">
        <v>29966</v>
      </c>
    </row>
    <row r="15" customFormat="false" ht="15" hidden="false" customHeight="true" outlineLevel="0" collapsed="false">
      <c r="A15" s="1" t="n">
        <v>2026</v>
      </c>
      <c r="B15" s="1" t="n">
        <v>2</v>
      </c>
      <c r="C15" s="1" t="n">
        <v>13</v>
      </c>
      <c r="D15" s="1" t="n">
        <v>36409</v>
      </c>
    </row>
    <row r="16" customFormat="false" ht="15" hidden="false" customHeight="true" outlineLevel="0" collapsed="false">
      <c r="A16" s="1" t="n">
        <v>2026</v>
      </c>
      <c r="B16" s="1" t="n">
        <v>2</v>
      </c>
      <c r="C16" s="1" t="n">
        <v>12</v>
      </c>
      <c r="D16" s="1" t="n">
        <v>69036</v>
      </c>
    </row>
    <row r="17" customFormat="false" ht="15" hidden="false" customHeight="true" outlineLevel="0" collapsed="false">
      <c r="A17" s="1" t="n">
        <v>2026</v>
      </c>
      <c r="B17" s="1" t="n">
        <v>2</v>
      </c>
      <c r="C17" s="1" t="n">
        <v>11</v>
      </c>
      <c r="D17" s="1" t="n">
        <v>75022</v>
      </c>
    </row>
    <row r="18" customFormat="false" ht="15" hidden="false" customHeight="true" outlineLevel="0" collapsed="false">
      <c r="A18" s="1" t="n">
        <v>2026</v>
      </c>
      <c r="B18" s="1" t="n">
        <v>2</v>
      </c>
      <c r="C18" s="1" t="n">
        <v>10</v>
      </c>
      <c r="D18" s="1" t="n">
        <v>73885</v>
      </c>
    </row>
    <row r="19" customFormat="false" ht="15" hidden="false" customHeight="true" outlineLevel="0" collapsed="false">
      <c r="A19" s="1" t="n">
        <v>2026</v>
      </c>
      <c r="B19" s="1" t="n">
        <v>2</v>
      </c>
      <c r="C19" s="1" t="n">
        <v>9</v>
      </c>
      <c r="D19" s="1" t="n">
        <v>62893</v>
      </c>
    </row>
    <row r="20" customFormat="false" ht="15" hidden="false" customHeight="true" outlineLevel="0" collapsed="false">
      <c r="A20" s="1" t="n">
        <v>2026</v>
      </c>
      <c r="B20" s="1" t="n">
        <v>2</v>
      </c>
      <c r="C20" s="1" t="n">
        <v>8</v>
      </c>
      <c r="D20" s="1" t="n">
        <v>63628</v>
      </c>
    </row>
    <row r="21" customFormat="false" ht="15" hidden="false" customHeight="true" outlineLevel="0" collapsed="false">
      <c r="A21" s="1" t="n">
        <v>2026</v>
      </c>
      <c r="B21" s="1" t="n">
        <v>2</v>
      </c>
      <c r="C21" s="1" t="n">
        <v>7</v>
      </c>
      <c r="D21" s="1" t="n">
        <v>31743</v>
      </c>
    </row>
    <row r="22" customFormat="false" ht="15" hidden="false" customHeight="true" outlineLevel="0" collapsed="false">
      <c r="A22" s="1" t="n">
        <v>2026</v>
      </c>
      <c r="B22" s="1" t="n">
        <v>2</v>
      </c>
      <c r="C22" s="1" t="n">
        <v>6</v>
      </c>
      <c r="D22" s="1" t="n">
        <v>31769</v>
      </c>
    </row>
    <row r="23" customFormat="false" ht="15" hidden="false" customHeight="true" outlineLevel="0" collapsed="false">
      <c r="A23" s="1" t="n">
        <v>2026</v>
      </c>
      <c r="B23" s="1" t="n">
        <v>2</v>
      </c>
      <c r="C23" s="1" t="n">
        <v>5</v>
      </c>
      <c r="D23" s="1" t="n">
        <v>76031</v>
      </c>
    </row>
    <row r="24" customFormat="false" ht="15" hidden="false" customHeight="true" outlineLevel="0" collapsed="false">
      <c r="A24" s="1" t="n">
        <v>2026</v>
      </c>
      <c r="B24" s="1" t="n">
        <v>2</v>
      </c>
      <c r="C24" s="1" t="n">
        <v>4</v>
      </c>
      <c r="D24" s="1" t="n">
        <v>71633</v>
      </c>
    </row>
    <row r="25" customFormat="false" ht="15" hidden="false" customHeight="true" outlineLevel="0" collapsed="false">
      <c r="A25" s="1" t="n">
        <v>2026</v>
      </c>
      <c r="B25" s="1" t="n">
        <v>2</v>
      </c>
      <c r="C25" s="1" t="n">
        <v>3</v>
      </c>
      <c r="D25" s="1" t="n">
        <v>75521</v>
      </c>
    </row>
    <row r="26" customFormat="false" ht="15" hidden="false" customHeight="true" outlineLevel="0" collapsed="false">
      <c r="A26" s="1" t="n">
        <v>2026</v>
      </c>
      <c r="B26" s="1" t="n">
        <v>2</v>
      </c>
      <c r="C26" s="1" t="n">
        <v>2</v>
      </c>
      <c r="D26" s="1" t="n">
        <v>71944</v>
      </c>
    </row>
    <row r="27" customFormat="false" ht="15" hidden="false" customHeight="true" outlineLevel="0" collapsed="false">
      <c r="A27" s="1" t="n">
        <v>2026</v>
      </c>
      <c r="B27" s="1" t="n">
        <v>2</v>
      </c>
      <c r="C27" s="1" t="n">
        <v>1</v>
      </c>
      <c r="D27" s="1" t="n">
        <v>68844</v>
      </c>
    </row>
    <row r="28" customFormat="false" ht="15" hidden="false" customHeight="true" outlineLevel="0" collapsed="false">
      <c r="A28" s="1" t="n">
        <v>2026</v>
      </c>
      <c r="B28" s="1" t="n">
        <v>2</v>
      </c>
      <c r="C28" s="1" t="s">
        <v>4</v>
      </c>
      <c r="D28" s="1" t="n">
        <v>1546188</v>
      </c>
    </row>
    <row r="29" customFormat="false" ht="15" hidden="false" customHeight="true" outlineLevel="0" collapsed="false">
      <c r="A29" s="1" t="n">
        <v>2026</v>
      </c>
      <c r="B29" s="1" t="n">
        <v>1</v>
      </c>
      <c r="C29" s="1" t="n">
        <v>31</v>
      </c>
      <c r="D29" s="1" t="n">
        <v>26887</v>
      </c>
    </row>
    <row r="30" customFormat="false" ht="15" hidden="false" customHeight="true" outlineLevel="0" collapsed="false">
      <c r="A30" s="1" t="n">
        <v>2026</v>
      </c>
      <c r="B30" s="1" t="n">
        <v>1</v>
      </c>
      <c r="C30" s="1" t="n">
        <v>30</v>
      </c>
      <c r="D30" s="1" t="n">
        <v>31467</v>
      </c>
    </row>
    <row r="31" customFormat="false" ht="15" hidden="false" customHeight="true" outlineLevel="0" collapsed="false">
      <c r="A31" s="1" t="n">
        <v>2026</v>
      </c>
      <c r="B31" s="1" t="n">
        <v>1</v>
      </c>
      <c r="C31" s="1" t="n">
        <v>29</v>
      </c>
      <c r="D31" s="1" t="n">
        <v>71767</v>
      </c>
    </row>
    <row r="32" customFormat="false" ht="15" hidden="false" customHeight="true" outlineLevel="0" collapsed="false">
      <c r="A32" s="1" t="n">
        <v>2026</v>
      </c>
      <c r="B32" s="1" t="n">
        <v>1</v>
      </c>
      <c r="C32" s="1" t="n">
        <v>28</v>
      </c>
      <c r="D32" s="1" t="n">
        <v>69509</v>
      </c>
    </row>
    <row r="33" customFormat="false" ht="15" hidden="false" customHeight="true" outlineLevel="0" collapsed="false">
      <c r="A33" s="1" t="n">
        <v>2026</v>
      </c>
      <c r="B33" s="1" t="n">
        <v>1</v>
      </c>
      <c r="C33" s="1" t="n">
        <v>27</v>
      </c>
      <c r="D33" s="1" t="n">
        <v>71355</v>
      </c>
    </row>
    <row r="34" customFormat="false" ht="15" hidden="false" customHeight="true" outlineLevel="0" collapsed="false">
      <c r="A34" s="1" t="n">
        <v>2026</v>
      </c>
      <c r="B34" s="1" t="n">
        <v>1</v>
      </c>
      <c r="C34" s="1" t="n">
        <v>26</v>
      </c>
      <c r="D34" s="1" t="n">
        <v>67022</v>
      </c>
    </row>
    <row r="35" customFormat="false" ht="15" hidden="false" customHeight="true" outlineLevel="0" collapsed="false">
      <c r="A35" s="1" t="n">
        <v>2026</v>
      </c>
      <c r="B35" s="1" t="n">
        <v>1</v>
      </c>
      <c r="C35" s="1" t="n">
        <v>25</v>
      </c>
      <c r="D35" s="1" t="n">
        <v>62701</v>
      </c>
    </row>
    <row r="36" customFormat="false" ht="15" hidden="false" customHeight="true" outlineLevel="0" collapsed="false">
      <c r="A36" s="1" t="n">
        <v>2026</v>
      </c>
      <c r="B36" s="1" t="n">
        <v>1</v>
      </c>
      <c r="C36" s="1" t="n">
        <v>24</v>
      </c>
      <c r="D36" s="1" t="n">
        <v>30881</v>
      </c>
    </row>
    <row r="37" customFormat="false" ht="15" hidden="false" customHeight="true" outlineLevel="0" collapsed="false">
      <c r="A37" s="1" t="n">
        <v>2026</v>
      </c>
      <c r="B37" s="1" t="n">
        <v>1</v>
      </c>
      <c r="C37" s="1" t="n">
        <v>23</v>
      </c>
      <c r="D37" s="1" t="n">
        <v>34038</v>
      </c>
    </row>
    <row r="38" customFormat="false" ht="15" hidden="false" customHeight="true" outlineLevel="0" collapsed="false">
      <c r="A38" s="1" t="n">
        <v>2026</v>
      </c>
      <c r="B38" s="1" t="n">
        <v>1</v>
      </c>
      <c r="C38" s="1" t="n">
        <v>22</v>
      </c>
      <c r="D38" s="1" t="n">
        <v>71955</v>
      </c>
    </row>
    <row r="39" customFormat="false" ht="15" hidden="false" customHeight="true" outlineLevel="0" collapsed="false">
      <c r="A39" s="1" t="n">
        <v>2026</v>
      </c>
      <c r="B39" s="1" t="n">
        <v>1</v>
      </c>
      <c r="C39" s="1" t="n">
        <v>21</v>
      </c>
      <c r="D39" s="1" t="n">
        <v>68766</v>
      </c>
    </row>
    <row r="40" customFormat="false" ht="15" hidden="false" customHeight="true" outlineLevel="0" collapsed="false">
      <c r="A40" s="1" t="n">
        <v>2026</v>
      </c>
      <c r="B40" s="1" t="n">
        <v>1</v>
      </c>
      <c r="C40" s="1" t="n">
        <v>20</v>
      </c>
      <c r="D40" s="1" t="n">
        <v>74652</v>
      </c>
    </row>
    <row r="41" customFormat="false" ht="15" hidden="false" customHeight="true" outlineLevel="0" collapsed="false">
      <c r="A41" s="1" t="n">
        <v>2026</v>
      </c>
      <c r="B41" s="1" t="n">
        <v>1</v>
      </c>
      <c r="C41" s="1" t="n">
        <v>19</v>
      </c>
      <c r="D41" s="1" t="n">
        <v>69985</v>
      </c>
    </row>
    <row r="42" customFormat="false" ht="15" hidden="false" customHeight="true" outlineLevel="0" collapsed="false">
      <c r="A42" s="1" t="n">
        <v>2026</v>
      </c>
      <c r="B42" s="1" t="n">
        <v>1</v>
      </c>
      <c r="C42" s="1" t="n">
        <v>18</v>
      </c>
      <c r="D42" s="1" t="n">
        <v>65670</v>
      </c>
    </row>
    <row r="43" customFormat="false" ht="15" hidden="false" customHeight="true" outlineLevel="0" collapsed="false">
      <c r="A43" s="1" t="n">
        <v>2026</v>
      </c>
      <c r="B43" s="1" t="n">
        <v>1</v>
      </c>
      <c r="C43" s="1" t="n">
        <v>17</v>
      </c>
      <c r="D43" s="1" t="n">
        <v>34056</v>
      </c>
    </row>
    <row r="44" customFormat="false" ht="15" hidden="false" customHeight="true" outlineLevel="0" collapsed="false">
      <c r="A44" s="1" t="n">
        <v>2026</v>
      </c>
      <c r="B44" s="1" t="n">
        <v>1</v>
      </c>
      <c r="C44" s="1" t="n">
        <v>16</v>
      </c>
      <c r="D44" s="1" t="n">
        <v>36542</v>
      </c>
    </row>
    <row r="45" customFormat="false" ht="15" hidden="false" customHeight="true" outlineLevel="0" collapsed="false">
      <c r="A45" s="1" t="n">
        <v>2026</v>
      </c>
      <c r="B45" s="1" t="n">
        <v>1</v>
      </c>
      <c r="C45" s="1" t="n">
        <v>15</v>
      </c>
      <c r="D45" s="1" t="n">
        <v>73171</v>
      </c>
    </row>
    <row r="46" customFormat="false" ht="15" hidden="false" customHeight="true" outlineLevel="0" collapsed="false">
      <c r="A46" s="1" t="n">
        <v>2026</v>
      </c>
      <c r="B46" s="1" t="n">
        <v>1</v>
      </c>
      <c r="C46" s="1" t="n">
        <v>14</v>
      </c>
      <c r="D46" s="1" t="n">
        <v>71509</v>
      </c>
    </row>
    <row r="47" customFormat="false" ht="15" hidden="false" customHeight="true" outlineLevel="0" collapsed="false">
      <c r="A47" s="1" t="n">
        <v>2026</v>
      </c>
      <c r="B47" s="1" t="n">
        <v>1</v>
      </c>
      <c r="C47" s="1" t="n">
        <v>13</v>
      </c>
      <c r="D47" s="1" t="n">
        <v>77192</v>
      </c>
    </row>
    <row r="48" customFormat="false" ht="15" hidden="false" customHeight="true" outlineLevel="0" collapsed="false">
      <c r="A48" s="1" t="n">
        <v>2026</v>
      </c>
      <c r="B48" s="1" t="n">
        <v>1</v>
      </c>
      <c r="C48" s="1" t="n">
        <v>12</v>
      </c>
      <c r="D48" s="1" t="n">
        <v>67282</v>
      </c>
    </row>
    <row r="49" customFormat="false" ht="15" hidden="false" customHeight="true" outlineLevel="0" collapsed="false">
      <c r="A49" s="1" t="n">
        <v>2026</v>
      </c>
      <c r="B49" s="1" t="n">
        <v>1</v>
      </c>
      <c r="C49" s="1" t="n">
        <v>11</v>
      </c>
      <c r="D49" s="1" t="n">
        <v>67585</v>
      </c>
    </row>
    <row r="50" customFormat="false" ht="15" hidden="false" customHeight="true" outlineLevel="0" collapsed="false">
      <c r="A50" s="1" t="n">
        <v>2026</v>
      </c>
      <c r="B50" s="1" t="n">
        <v>1</v>
      </c>
      <c r="C50" s="1" t="n">
        <v>10</v>
      </c>
      <c r="D50" s="1" t="n">
        <v>25103</v>
      </c>
    </row>
    <row r="51" customFormat="false" ht="15" hidden="false" customHeight="true" outlineLevel="0" collapsed="false">
      <c r="A51" s="1" t="n">
        <v>2026</v>
      </c>
      <c r="B51" s="1" t="n">
        <v>1</v>
      </c>
      <c r="C51" s="1" t="n">
        <v>9</v>
      </c>
      <c r="D51" s="1" t="n">
        <v>50607</v>
      </c>
    </row>
    <row r="52" customFormat="false" ht="15" hidden="false" customHeight="true" outlineLevel="0" collapsed="false">
      <c r="A52" s="1" t="n">
        <v>2026</v>
      </c>
      <c r="B52" s="1" t="n">
        <v>1</v>
      </c>
      <c r="C52" s="1" t="n">
        <v>8</v>
      </c>
      <c r="D52" s="1" t="n">
        <v>75586</v>
      </c>
    </row>
    <row r="53" customFormat="false" ht="15" hidden="false" customHeight="true" outlineLevel="0" collapsed="false">
      <c r="A53" s="1" t="n">
        <v>2026</v>
      </c>
      <c r="B53" s="1" t="n">
        <v>1</v>
      </c>
      <c r="C53" s="1" t="n">
        <v>7</v>
      </c>
      <c r="D53" s="1" t="n">
        <v>78536</v>
      </c>
    </row>
    <row r="54" customFormat="false" ht="15" hidden="false" customHeight="true" outlineLevel="0" collapsed="false">
      <c r="A54" s="1" t="n">
        <v>2026</v>
      </c>
      <c r="B54" s="1" t="n">
        <v>1</v>
      </c>
      <c r="C54" s="1" t="n">
        <v>6</v>
      </c>
      <c r="D54" s="1" t="n">
        <v>79484</v>
      </c>
    </row>
    <row r="55" customFormat="false" ht="15" hidden="false" customHeight="true" outlineLevel="0" collapsed="false">
      <c r="A55" s="1" t="n">
        <v>2026</v>
      </c>
      <c r="B55" s="1" t="n">
        <v>1</v>
      </c>
      <c r="C55" s="1" t="n">
        <v>5</v>
      </c>
      <c r="D55" s="1" t="n">
        <v>77350</v>
      </c>
    </row>
    <row r="56" customFormat="false" ht="15" hidden="false" customHeight="true" outlineLevel="0" collapsed="false">
      <c r="A56" s="1" t="n">
        <v>2026</v>
      </c>
      <c r="B56" s="1" t="n">
        <v>1</v>
      </c>
      <c r="C56" s="1" t="n">
        <v>4</v>
      </c>
      <c r="D56" s="1" t="n">
        <v>67069</v>
      </c>
    </row>
    <row r="57" customFormat="false" ht="15" hidden="false" customHeight="true" outlineLevel="0" collapsed="false">
      <c r="A57" s="1" t="n">
        <v>2026</v>
      </c>
      <c r="B57" s="1" t="n">
        <v>1</v>
      </c>
      <c r="C57" s="1" t="n">
        <v>3</v>
      </c>
      <c r="D57" s="1" t="n">
        <v>28874</v>
      </c>
    </row>
    <row r="58" customFormat="false" ht="15" hidden="false" customHeight="true" outlineLevel="0" collapsed="false">
      <c r="A58" s="1" t="n">
        <v>2026</v>
      </c>
      <c r="B58" s="1" t="n">
        <v>1</v>
      </c>
      <c r="C58" s="1" t="n">
        <v>2</v>
      </c>
      <c r="D58" s="1" t="n">
        <v>42507</v>
      </c>
    </row>
    <row r="59" customFormat="false" ht="15" hidden="false" customHeight="true" outlineLevel="0" collapsed="false">
      <c r="A59" s="1" t="n">
        <v>2026</v>
      </c>
      <c r="B59" s="1" t="n">
        <v>1</v>
      </c>
      <c r="C59" s="1" t="n">
        <v>1</v>
      </c>
      <c r="D59" s="1" t="n">
        <v>37015</v>
      </c>
    </row>
    <row r="60" customFormat="false" ht="15" hidden="false" customHeight="true" outlineLevel="0" collapsed="false">
      <c r="A60" s="1" t="n">
        <v>2026</v>
      </c>
      <c r="B60" s="1" t="n">
        <v>1</v>
      </c>
      <c r="C60" s="1" t="s">
        <v>4</v>
      </c>
      <c r="D60" s="1" t="n">
        <v>1806123</v>
      </c>
    </row>
    <row r="61" customFormat="false" ht="15" hidden="false" customHeight="true" outlineLevel="0" collapsed="false">
      <c r="A61" s="1" t="n">
        <v>2026</v>
      </c>
      <c r="B61" s="1" t="s">
        <v>4</v>
      </c>
      <c r="C61" s="1" t="s">
        <v>4</v>
      </c>
      <c r="D61" s="1" t="n">
        <v>3352311</v>
      </c>
    </row>
    <row r="62" customFormat="false" ht="15" hidden="false" customHeight="true" outlineLevel="0" collapsed="false">
      <c r="A62" s="1" t="n">
        <v>2025</v>
      </c>
      <c r="B62" s="1" t="n">
        <v>12</v>
      </c>
      <c r="C62" s="1" t="n">
        <v>31</v>
      </c>
      <c r="D62" s="1" t="n">
        <v>33118</v>
      </c>
    </row>
    <row r="63" customFormat="false" ht="15" hidden="false" customHeight="true" outlineLevel="0" collapsed="false">
      <c r="A63" s="1" t="n">
        <v>2025</v>
      </c>
      <c r="B63" s="1" t="n">
        <v>12</v>
      </c>
      <c r="C63" s="1" t="n">
        <v>30</v>
      </c>
      <c r="D63" s="1" t="n">
        <v>72383</v>
      </c>
    </row>
    <row r="64" customFormat="false" ht="15" hidden="false" customHeight="true" outlineLevel="0" collapsed="false">
      <c r="A64" s="1" t="n">
        <v>2025</v>
      </c>
      <c r="B64" s="1" t="n">
        <v>12</v>
      </c>
      <c r="C64" s="1" t="n">
        <v>29</v>
      </c>
      <c r="D64" s="1" t="n">
        <v>65790</v>
      </c>
    </row>
    <row r="65" customFormat="false" ht="15" hidden="false" customHeight="true" outlineLevel="0" collapsed="false">
      <c r="A65" s="1" t="n">
        <v>2025</v>
      </c>
      <c r="B65" s="1" t="n">
        <v>12</v>
      </c>
      <c r="C65" s="1" t="n">
        <v>28</v>
      </c>
      <c r="D65" s="1" t="n">
        <v>71077</v>
      </c>
    </row>
    <row r="66" customFormat="false" ht="15" hidden="false" customHeight="true" outlineLevel="0" collapsed="false">
      <c r="A66" s="1" t="n">
        <v>2025</v>
      </c>
      <c r="B66" s="1" t="n">
        <v>12</v>
      </c>
      <c r="C66" s="1" t="n">
        <v>27</v>
      </c>
      <c r="D66" s="1" t="n">
        <v>31815</v>
      </c>
    </row>
    <row r="67" customFormat="false" ht="15" hidden="false" customHeight="true" outlineLevel="0" collapsed="false">
      <c r="A67" s="1" t="n">
        <v>2025</v>
      </c>
      <c r="B67" s="1" t="n">
        <v>12</v>
      </c>
      <c r="C67" s="1" t="n">
        <v>26</v>
      </c>
      <c r="D67" s="1" t="n">
        <v>27962</v>
      </c>
    </row>
    <row r="68" customFormat="false" ht="15" hidden="false" customHeight="true" outlineLevel="0" collapsed="false">
      <c r="A68" s="1" t="n">
        <v>2025</v>
      </c>
      <c r="B68" s="1" t="n">
        <v>12</v>
      </c>
      <c r="C68" s="1" t="n">
        <v>25</v>
      </c>
      <c r="D68" s="1" t="n">
        <v>34937</v>
      </c>
    </row>
    <row r="69" customFormat="false" ht="15" hidden="false" customHeight="true" outlineLevel="0" collapsed="false">
      <c r="A69" s="1" t="n">
        <v>2025</v>
      </c>
      <c r="B69" s="1" t="n">
        <v>12</v>
      </c>
      <c r="C69" s="1" t="n">
        <v>24</v>
      </c>
      <c r="D69" s="1" t="n">
        <v>34493</v>
      </c>
    </row>
    <row r="70" customFormat="false" ht="15" hidden="false" customHeight="true" outlineLevel="0" collapsed="false">
      <c r="A70" s="1" t="n">
        <v>2025</v>
      </c>
      <c r="B70" s="1" t="n">
        <v>12</v>
      </c>
      <c r="C70" s="1" t="n">
        <v>23</v>
      </c>
      <c r="D70" s="1" t="n">
        <v>67726</v>
      </c>
    </row>
    <row r="71" customFormat="false" ht="15" hidden="false" customHeight="true" outlineLevel="0" collapsed="false">
      <c r="A71" s="1" t="n">
        <v>2025</v>
      </c>
      <c r="B71" s="1" t="n">
        <v>12</v>
      </c>
      <c r="C71" s="1" t="n">
        <v>22</v>
      </c>
      <c r="D71" s="1" t="n">
        <v>68192</v>
      </c>
    </row>
    <row r="72" customFormat="false" ht="15" hidden="false" customHeight="true" outlineLevel="0" collapsed="false">
      <c r="A72" s="1" t="n">
        <v>2025</v>
      </c>
      <c r="B72" s="1" t="n">
        <v>12</v>
      </c>
      <c r="C72" s="1" t="n">
        <v>21</v>
      </c>
      <c r="D72" s="1" t="n">
        <v>61629</v>
      </c>
    </row>
    <row r="73" customFormat="false" ht="15" hidden="false" customHeight="true" outlineLevel="0" collapsed="false">
      <c r="A73" s="1" t="n">
        <v>2025</v>
      </c>
      <c r="B73" s="1" t="n">
        <v>12</v>
      </c>
      <c r="C73" s="1" t="n">
        <v>20</v>
      </c>
      <c r="D73" s="1" t="n">
        <v>32886</v>
      </c>
    </row>
    <row r="74" customFormat="false" ht="15" hidden="false" customHeight="true" outlineLevel="0" collapsed="false">
      <c r="A74" s="1" t="n">
        <v>2025</v>
      </c>
      <c r="B74" s="1" t="n">
        <v>12</v>
      </c>
      <c r="C74" s="1" t="n">
        <v>19</v>
      </c>
      <c r="D74" s="1" t="n">
        <v>31186</v>
      </c>
    </row>
    <row r="75" customFormat="false" ht="15" hidden="false" customHeight="true" outlineLevel="0" collapsed="false">
      <c r="A75" s="1" t="n">
        <v>2025</v>
      </c>
      <c r="B75" s="1" t="n">
        <v>12</v>
      </c>
      <c r="C75" s="1" t="n">
        <v>18</v>
      </c>
      <c r="D75" s="1" t="n">
        <v>76819</v>
      </c>
    </row>
    <row r="76" customFormat="false" ht="15" hidden="false" customHeight="true" outlineLevel="0" collapsed="false">
      <c r="A76" s="1" t="n">
        <v>2025</v>
      </c>
      <c r="B76" s="1" t="n">
        <v>12</v>
      </c>
      <c r="C76" s="1" t="n">
        <v>17</v>
      </c>
      <c r="D76" s="1" t="n">
        <v>74220</v>
      </c>
    </row>
    <row r="77" customFormat="false" ht="15" hidden="false" customHeight="true" outlineLevel="0" collapsed="false">
      <c r="A77" s="1" t="n">
        <v>2025</v>
      </c>
      <c r="B77" s="1" t="n">
        <v>12</v>
      </c>
      <c r="C77" s="1" t="n">
        <v>16</v>
      </c>
      <c r="D77" s="1" t="n">
        <v>73993</v>
      </c>
    </row>
    <row r="78" customFormat="false" ht="15" hidden="false" customHeight="true" outlineLevel="0" collapsed="false">
      <c r="A78" s="1" t="n">
        <v>2025</v>
      </c>
      <c r="B78" s="1" t="n">
        <v>12</v>
      </c>
      <c r="C78" s="1" t="n">
        <v>15</v>
      </c>
      <c r="D78" s="1" t="n">
        <v>70557</v>
      </c>
    </row>
    <row r="79" customFormat="false" ht="15" hidden="false" customHeight="true" outlineLevel="0" collapsed="false">
      <c r="A79" s="1" t="n">
        <v>2025</v>
      </c>
      <c r="B79" s="1" t="n">
        <v>12</v>
      </c>
      <c r="C79" s="1" t="n">
        <v>14</v>
      </c>
      <c r="D79" s="1" t="n">
        <v>70183</v>
      </c>
    </row>
    <row r="80" customFormat="false" ht="15" hidden="false" customHeight="true" outlineLevel="0" collapsed="false">
      <c r="A80" s="1" t="n">
        <v>2025</v>
      </c>
      <c r="B80" s="1" t="n">
        <v>12</v>
      </c>
      <c r="C80" s="1" t="n">
        <v>13</v>
      </c>
      <c r="D80" s="1" t="n">
        <v>26928</v>
      </c>
    </row>
    <row r="81" customFormat="false" ht="15" hidden="false" customHeight="true" outlineLevel="0" collapsed="false">
      <c r="A81" s="1" t="n">
        <v>2025</v>
      </c>
      <c r="B81" s="1" t="n">
        <v>12</v>
      </c>
      <c r="C81" s="1" t="n">
        <v>12</v>
      </c>
      <c r="D81" s="1" t="n">
        <v>37342</v>
      </c>
    </row>
    <row r="82" customFormat="false" ht="15" hidden="false" customHeight="true" outlineLevel="0" collapsed="false">
      <c r="A82" s="1" t="n">
        <v>2025</v>
      </c>
      <c r="B82" s="1" t="n">
        <v>12</v>
      </c>
      <c r="C82" s="1" t="n">
        <v>11</v>
      </c>
      <c r="D82" s="1" t="n">
        <v>71837</v>
      </c>
    </row>
    <row r="83" customFormat="false" ht="15" hidden="false" customHeight="true" outlineLevel="0" collapsed="false">
      <c r="A83" s="1" t="n">
        <v>2025</v>
      </c>
      <c r="B83" s="1" t="n">
        <v>12</v>
      </c>
      <c r="C83" s="1" t="n">
        <v>10</v>
      </c>
      <c r="D83" s="1" t="n">
        <v>72595</v>
      </c>
    </row>
    <row r="84" customFormat="false" ht="15" hidden="false" customHeight="true" outlineLevel="0" collapsed="false">
      <c r="A84" s="1" t="n">
        <v>2025</v>
      </c>
      <c r="B84" s="1" t="n">
        <v>12</v>
      </c>
      <c r="C84" s="1" t="n">
        <v>9</v>
      </c>
      <c r="D84" s="1" t="n">
        <v>77882</v>
      </c>
    </row>
    <row r="85" customFormat="false" ht="15" hidden="false" customHeight="true" outlineLevel="0" collapsed="false">
      <c r="A85" s="1" t="n">
        <v>2025</v>
      </c>
      <c r="B85" s="1" t="n">
        <v>12</v>
      </c>
      <c r="C85" s="1" t="n">
        <v>8</v>
      </c>
      <c r="D85" s="1" t="n">
        <v>78333</v>
      </c>
    </row>
    <row r="86" customFormat="false" ht="15" hidden="false" customHeight="true" outlineLevel="0" collapsed="false">
      <c r="A86" s="1" t="n">
        <v>2025</v>
      </c>
      <c r="B86" s="1" t="n">
        <v>12</v>
      </c>
      <c r="C86" s="1" t="n">
        <v>7</v>
      </c>
      <c r="D86" s="1" t="n">
        <v>64043</v>
      </c>
    </row>
    <row r="87" customFormat="false" ht="15" hidden="false" customHeight="true" outlineLevel="0" collapsed="false">
      <c r="A87" s="1" t="n">
        <v>2025</v>
      </c>
      <c r="B87" s="1" t="n">
        <v>12</v>
      </c>
      <c r="C87" s="1" t="n">
        <v>6</v>
      </c>
      <c r="D87" s="1" t="n">
        <v>27990</v>
      </c>
    </row>
    <row r="88" customFormat="false" ht="15" hidden="false" customHeight="true" outlineLevel="0" collapsed="false">
      <c r="A88" s="1" t="n">
        <v>2025</v>
      </c>
      <c r="B88" s="1" t="n">
        <v>12</v>
      </c>
      <c r="C88" s="1" t="n">
        <v>5</v>
      </c>
      <c r="D88" s="1" t="n">
        <v>37654</v>
      </c>
    </row>
    <row r="89" customFormat="false" ht="15" hidden="false" customHeight="true" outlineLevel="0" collapsed="false">
      <c r="A89" s="1" t="n">
        <v>2025</v>
      </c>
      <c r="B89" s="1" t="n">
        <v>12</v>
      </c>
      <c r="C89" s="1" t="n">
        <v>4</v>
      </c>
      <c r="D89" s="1" t="n">
        <v>76912</v>
      </c>
    </row>
    <row r="90" customFormat="false" ht="15" hidden="false" customHeight="true" outlineLevel="0" collapsed="false">
      <c r="A90" s="1" t="n">
        <v>2025</v>
      </c>
      <c r="B90" s="1" t="n">
        <v>12</v>
      </c>
      <c r="C90" s="1" t="n">
        <v>3</v>
      </c>
      <c r="D90" s="1" t="n">
        <v>73857</v>
      </c>
    </row>
    <row r="91" customFormat="false" ht="15" hidden="false" customHeight="true" outlineLevel="0" collapsed="false">
      <c r="A91" s="1" t="n">
        <v>2025</v>
      </c>
      <c r="B91" s="1" t="n">
        <v>12</v>
      </c>
      <c r="C91" s="1" t="n">
        <v>2</v>
      </c>
      <c r="D91" s="1" t="n">
        <v>71381</v>
      </c>
    </row>
    <row r="92" customFormat="false" ht="15" hidden="false" customHeight="true" outlineLevel="0" collapsed="false">
      <c r="A92" s="1" t="n">
        <v>2025</v>
      </c>
      <c r="B92" s="1" t="n">
        <v>12</v>
      </c>
      <c r="C92" s="1" t="n">
        <v>1</v>
      </c>
      <c r="D92" s="1" t="n">
        <v>57720</v>
      </c>
    </row>
    <row r="93" customFormat="false" ht="15" hidden="false" customHeight="true" outlineLevel="0" collapsed="false">
      <c r="A93" s="1" t="n">
        <v>2025</v>
      </c>
      <c r="B93" s="1" t="n">
        <v>12</v>
      </c>
      <c r="C93" s="1" t="s">
        <v>4</v>
      </c>
      <c r="D93" s="1" t="n">
        <v>1773440</v>
      </c>
    </row>
    <row r="94" customFormat="false" ht="15" hidden="false" customHeight="true" outlineLevel="0" collapsed="false">
      <c r="A94" s="1" t="n">
        <v>2025</v>
      </c>
      <c r="B94" s="1" t="n">
        <v>11</v>
      </c>
      <c r="C94" s="1" t="n">
        <v>30</v>
      </c>
      <c r="D94" s="1" t="n">
        <v>58130</v>
      </c>
    </row>
    <row r="95" customFormat="false" ht="15" hidden="false" customHeight="true" outlineLevel="0" collapsed="false">
      <c r="A95" s="1" t="n">
        <v>2025</v>
      </c>
      <c r="B95" s="1" t="n">
        <v>11</v>
      </c>
      <c r="C95" s="1" t="n">
        <v>29</v>
      </c>
      <c r="D95" s="1" t="n">
        <v>28868</v>
      </c>
    </row>
    <row r="96" customFormat="false" ht="15" hidden="false" customHeight="true" outlineLevel="0" collapsed="false">
      <c r="A96" s="1" t="n">
        <v>2025</v>
      </c>
      <c r="B96" s="1" t="n">
        <v>11</v>
      </c>
      <c r="C96" s="1" t="n">
        <v>28</v>
      </c>
      <c r="D96" s="1" t="n">
        <v>18247</v>
      </c>
    </row>
    <row r="97" customFormat="false" ht="15" hidden="false" customHeight="true" outlineLevel="0" collapsed="false">
      <c r="A97" s="1" t="n">
        <v>2025</v>
      </c>
      <c r="B97" s="1" t="n">
        <v>11</v>
      </c>
      <c r="C97" s="1" t="n">
        <v>27</v>
      </c>
      <c r="D97" s="1" t="n">
        <v>42020</v>
      </c>
    </row>
    <row r="98" customFormat="false" ht="15" hidden="false" customHeight="true" outlineLevel="0" collapsed="false">
      <c r="A98" s="1" t="n">
        <v>2025</v>
      </c>
      <c r="B98" s="1" t="n">
        <v>11</v>
      </c>
      <c r="C98" s="1" t="n">
        <v>26</v>
      </c>
      <c r="D98" s="1" t="n">
        <v>66484</v>
      </c>
    </row>
    <row r="99" customFormat="false" ht="15" hidden="false" customHeight="true" outlineLevel="0" collapsed="false">
      <c r="A99" s="1" t="n">
        <v>2025</v>
      </c>
      <c r="B99" s="1" t="n">
        <v>11</v>
      </c>
      <c r="C99" s="1" t="n">
        <v>25</v>
      </c>
      <c r="D99" s="1" t="n">
        <v>63968</v>
      </c>
    </row>
    <row r="100" customFormat="false" ht="15" hidden="false" customHeight="true" outlineLevel="0" collapsed="false">
      <c r="A100" s="1" t="n">
        <v>2025</v>
      </c>
      <c r="B100" s="1" t="n">
        <v>11</v>
      </c>
      <c r="C100" s="1" t="n">
        <v>24</v>
      </c>
      <c r="D100" s="1" t="n">
        <v>63525</v>
      </c>
    </row>
    <row r="101" customFormat="false" ht="15" hidden="false" customHeight="true" outlineLevel="0" collapsed="false">
      <c r="A101" s="1" t="n">
        <v>2025</v>
      </c>
      <c r="B101" s="1" t="n">
        <v>11</v>
      </c>
      <c r="C101" s="1" t="n">
        <v>23</v>
      </c>
      <c r="D101" s="1" t="n">
        <v>56264</v>
      </c>
    </row>
    <row r="102" customFormat="false" ht="15" hidden="false" customHeight="true" outlineLevel="0" collapsed="false">
      <c r="A102" s="1" t="n">
        <v>2025</v>
      </c>
      <c r="B102" s="1" t="n">
        <v>11</v>
      </c>
      <c r="C102" s="1" t="n">
        <v>22</v>
      </c>
      <c r="D102" s="1" t="n">
        <v>29932</v>
      </c>
    </row>
    <row r="103" customFormat="false" ht="15" hidden="false" customHeight="true" outlineLevel="0" collapsed="false">
      <c r="A103" s="1" t="n">
        <v>2025</v>
      </c>
      <c r="B103" s="1" t="n">
        <v>11</v>
      </c>
      <c r="C103" s="1" t="n">
        <v>21</v>
      </c>
      <c r="D103" s="1" t="n">
        <v>47149</v>
      </c>
    </row>
    <row r="104" customFormat="false" ht="15" hidden="false" customHeight="true" outlineLevel="0" collapsed="false">
      <c r="A104" s="1" t="n">
        <v>2025</v>
      </c>
      <c r="B104" s="1" t="n">
        <v>11</v>
      </c>
      <c r="C104" s="1" t="n">
        <v>20</v>
      </c>
      <c r="D104" s="1" t="n">
        <v>65504</v>
      </c>
    </row>
    <row r="105" customFormat="false" ht="15" hidden="false" customHeight="true" outlineLevel="0" collapsed="false">
      <c r="A105" s="1" t="n">
        <v>2025</v>
      </c>
      <c r="B105" s="1" t="n">
        <v>11</v>
      </c>
      <c r="C105" s="1" t="n">
        <v>19</v>
      </c>
      <c r="D105" s="1" t="n">
        <v>72056</v>
      </c>
    </row>
    <row r="106" customFormat="false" ht="15" hidden="false" customHeight="true" outlineLevel="0" collapsed="false">
      <c r="A106" s="1" t="n">
        <v>2025</v>
      </c>
      <c r="B106" s="1" t="n">
        <v>11</v>
      </c>
      <c r="C106" s="1" t="n">
        <v>18</v>
      </c>
      <c r="D106" s="1" t="n">
        <v>73305</v>
      </c>
    </row>
    <row r="107" customFormat="false" ht="15" hidden="false" customHeight="true" outlineLevel="0" collapsed="false">
      <c r="A107" s="1" t="n">
        <v>2025</v>
      </c>
      <c r="B107" s="1" t="n">
        <v>11</v>
      </c>
      <c r="C107" s="1" t="n">
        <v>17</v>
      </c>
      <c r="D107" s="1" t="n">
        <v>72619</v>
      </c>
    </row>
    <row r="108" customFormat="false" ht="15" hidden="false" customHeight="true" outlineLevel="0" collapsed="false">
      <c r="A108" s="1" t="n">
        <v>2025</v>
      </c>
      <c r="B108" s="1" t="n">
        <v>11</v>
      </c>
      <c r="C108" s="1" t="n">
        <v>16</v>
      </c>
      <c r="D108" s="1" t="n">
        <v>71703</v>
      </c>
    </row>
    <row r="109" customFormat="false" ht="15" hidden="false" customHeight="true" outlineLevel="0" collapsed="false">
      <c r="A109" s="1" t="n">
        <v>2025</v>
      </c>
      <c r="B109" s="1" t="n">
        <v>11</v>
      </c>
      <c r="C109" s="1" t="n">
        <v>15</v>
      </c>
      <c r="D109" s="1" t="n">
        <v>32637</v>
      </c>
    </row>
    <row r="110" customFormat="false" ht="15" hidden="false" customHeight="true" outlineLevel="0" collapsed="false">
      <c r="A110" s="1" t="n">
        <v>2025</v>
      </c>
      <c r="B110" s="1" t="n">
        <v>11</v>
      </c>
      <c r="C110" s="1" t="n">
        <v>14</v>
      </c>
      <c r="D110" s="1" t="n">
        <v>58960</v>
      </c>
    </row>
    <row r="111" customFormat="false" ht="15" hidden="false" customHeight="true" outlineLevel="0" collapsed="false">
      <c r="A111" s="1" t="n">
        <v>2025</v>
      </c>
      <c r="B111" s="1" t="n">
        <v>11</v>
      </c>
      <c r="C111" s="1" t="n">
        <v>13</v>
      </c>
      <c r="D111" s="1" t="n">
        <v>67437</v>
      </c>
    </row>
    <row r="112" customFormat="false" ht="15" hidden="false" customHeight="true" outlineLevel="0" collapsed="false">
      <c r="A112" s="1" t="n">
        <v>2025</v>
      </c>
      <c r="B112" s="1" t="n">
        <v>11</v>
      </c>
      <c r="C112" s="1" t="n">
        <v>12</v>
      </c>
      <c r="D112" s="1" t="n">
        <v>56405</v>
      </c>
    </row>
    <row r="113" customFormat="false" ht="15" hidden="false" customHeight="true" outlineLevel="0" collapsed="false">
      <c r="A113" s="1" t="n">
        <v>2025</v>
      </c>
      <c r="B113" s="1" t="n">
        <v>11</v>
      </c>
      <c r="C113" s="1" t="n">
        <v>11</v>
      </c>
      <c r="D113" s="1" t="n">
        <v>59778</v>
      </c>
    </row>
    <row r="114" customFormat="false" ht="15" hidden="false" customHeight="true" outlineLevel="0" collapsed="false">
      <c r="A114" s="1" t="n">
        <v>2025</v>
      </c>
      <c r="B114" s="1" t="n">
        <v>11</v>
      </c>
      <c r="C114" s="1" t="n">
        <v>10</v>
      </c>
      <c r="D114" s="1" t="n">
        <v>64853</v>
      </c>
    </row>
    <row r="115" customFormat="false" ht="15" hidden="false" customHeight="true" outlineLevel="0" collapsed="false">
      <c r="A115" s="1" t="n">
        <v>2025</v>
      </c>
      <c r="B115" s="1" t="n">
        <v>11</v>
      </c>
      <c r="C115" s="1" t="n">
        <v>9</v>
      </c>
      <c r="D115" s="1" t="n">
        <v>66344</v>
      </c>
    </row>
    <row r="116" customFormat="false" ht="15" hidden="false" customHeight="true" outlineLevel="0" collapsed="false">
      <c r="A116" s="1" t="n">
        <v>2025</v>
      </c>
      <c r="B116" s="1" t="n">
        <v>11</v>
      </c>
      <c r="C116" s="1" t="n">
        <v>8</v>
      </c>
      <c r="D116" s="1" t="n">
        <v>31024</v>
      </c>
    </row>
    <row r="117" customFormat="false" ht="15" hidden="false" customHeight="true" outlineLevel="0" collapsed="false">
      <c r="A117" s="1" t="n">
        <v>2025</v>
      </c>
      <c r="B117" s="1" t="n">
        <v>11</v>
      </c>
      <c r="C117" s="1" t="n">
        <v>7</v>
      </c>
      <c r="D117" s="1" t="n">
        <v>59377</v>
      </c>
    </row>
    <row r="118" customFormat="false" ht="15" hidden="false" customHeight="true" outlineLevel="0" collapsed="false">
      <c r="A118" s="1" t="n">
        <v>2025</v>
      </c>
      <c r="B118" s="1" t="n">
        <v>11</v>
      </c>
      <c r="C118" s="1" t="n">
        <v>6</v>
      </c>
      <c r="D118" s="1" t="n">
        <v>69626</v>
      </c>
    </row>
    <row r="119" customFormat="false" ht="15" hidden="false" customHeight="true" outlineLevel="0" collapsed="false">
      <c r="A119" s="1" t="n">
        <v>2025</v>
      </c>
      <c r="B119" s="1" t="n">
        <v>11</v>
      </c>
      <c r="C119" s="1" t="n">
        <v>5</v>
      </c>
      <c r="D119" s="1" t="n">
        <v>63263</v>
      </c>
    </row>
    <row r="120" customFormat="false" ht="15" hidden="false" customHeight="true" outlineLevel="0" collapsed="false">
      <c r="A120" s="1" t="n">
        <v>2025</v>
      </c>
      <c r="B120" s="1" t="n">
        <v>11</v>
      </c>
      <c r="C120" s="1" t="n">
        <v>4</v>
      </c>
      <c r="D120" s="1" t="n">
        <v>68921</v>
      </c>
    </row>
    <row r="121" customFormat="false" ht="15" hidden="false" customHeight="true" outlineLevel="0" collapsed="false">
      <c r="A121" s="1" t="n">
        <v>2025</v>
      </c>
      <c r="B121" s="1" t="n">
        <v>11</v>
      </c>
      <c r="C121" s="1" t="n">
        <v>3</v>
      </c>
      <c r="D121" s="1" t="n">
        <v>65894</v>
      </c>
    </row>
    <row r="122" customFormat="false" ht="15" hidden="false" customHeight="true" outlineLevel="0" collapsed="false">
      <c r="A122" s="1" t="n">
        <v>2025</v>
      </c>
      <c r="B122" s="1" t="n">
        <v>11</v>
      </c>
      <c r="C122" s="1" t="n">
        <v>2</v>
      </c>
      <c r="D122" s="1" t="n">
        <v>64190</v>
      </c>
    </row>
    <row r="123" customFormat="false" ht="15" hidden="false" customHeight="true" outlineLevel="0" collapsed="false">
      <c r="A123" s="1" t="n">
        <v>2025</v>
      </c>
      <c r="B123" s="1" t="n">
        <v>11</v>
      </c>
      <c r="C123" s="1" t="n">
        <v>1</v>
      </c>
      <c r="D123" s="1" t="n">
        <v>28046</v>
      </c>
    </row>
    <row r="124" customFormat="false" ht="15" hidden="false" customHeight="true" outlineLevel="0" collapsed="false">
      <c r="A124" s="1" t="n">
        <v>2025</v>
      </c>
      <c r="B124" s="1" t="n">
        <v>11</v>
      </c>
      <c r="C124" s="1" t="s">
        <v>4</v>
      </c>
      <c r="D124" s="1" t="n">
        <v>1686529</v>
      </c>
    </row>
    <row r="125" customFormat="false" ht="15" hidden="false" customHeight="true" outlineLevel="0" collapsed="false">
      <c r="A125" s="1" t="n">
        <v>2025</v>
      </c>
      <c r="B125" s="1" t="n">
        <v>10</v>
      </c>
      <c r="C125" s="1" t="n">
        <v>31</v>
      </c>
      <c r="D125" s="1" t="n">
        <v>37591</v>
      </c>
    </row>
    <row r="126" customFormat="false" ht="15" hidden="false" customHeight="true" outlineLevel="0" collapsed="false">
      <c r="A126" s="1" t="n">
        <v>2025</v>
      </c>
      <c r="B126" s="1" t="n">
        <v>10</v>
      </c>
      <c r="C126" s="1" t="n">
        <v>30</v>
      </c>
      <c r="D126" s="1" t="n">
        <v>64414</v>
      </c>
    </row>
    <row r="127" customFormat="false" ht="15" hidden="false" customHeight="true" outlineLevel="0" collapsed="false">
      <c r="A127" s="1" t="n">
        <v>2025</v>
      </c>
      <c r="B127" s="1" t="n">
        <v>10</v>
      </c>
      <c r="C127" s="1" t="n">
        <v>29</v>
      </c>
      <c r="D127" s="1" t="n">
        <v>76379</v>
      </c>
    </row>
    <row r="128" customFormat="false" ht="15" hidden="false" customHeight="true" outlineLevel="0" collapsed="false">
      <c r="A128" s="1" t="n">
        <v>2025</v>
      </c>
      <c r="B128" s="1" t="n">
        <v>10</v>
      </c>
      <c r="C128" s="1" t="n">
        <v>28</v>
      </c>
      <c r="D128" s="1" t="n">
        <v>70164</v>
      </c>
    </row>
    <row r="129" customFormat="false" ht="15" hidden="false" customHeight="true" outlineLevel="0" collapsed="false">
      <c r="A129" s="1" t="n">
        <v>2025</v>
      </c>
      <c r="B129" s="1" t="n">
        <v>10</v>
      </c>
      <c r="C129" s="1" t="n">
        <v>27</v>
      </c>
      <c r="D129" s="1" t="n">
        <v>68958</v>
      </c>
    </row>
    <row r="130" customFormat="false" ht="15" hidden="false" customHeight="true" outlineLevel="0" collapsed="false">
      <c r="A130" s="1" t="n">
        <v>2025</v>
      </c>
      <c r="B130" s="1" t="n">
        <v>10</v>
      </c>
      <c r="C130" s="1" t="n">
        <v>26</v>
      </c>
      <c r="D130" s="1" t="n">
        <v>59511</v>
      </c>
    </row>
    <row r="131" customFormat="false" ht="15" hidden="false" customHeight="true" outlineLevel="0" collapsed="false">
      <c r="A131" s="1" t="n">
        <v>2025</v>
      </c>
      <c r="B131" s="1" t="n">
        <v>10</v>
      </c>
      <c r="C131" s="1" t="n">
        <v>25</v>
      </c>
      <c r="D131" s="1" t="n">
        <v>29493</v>
      </c>
    </row>
    <row r="132" customFormat="false" ht="15" hidden="false" customHeight="true" outlineLevel="0" collapsed="false">
      <c r="A132" s="1" t="n">
        <v>2025</v>
      </c>
      <c r="B132" s="1" t="n">
        <v>10</v>
      </c>
      <c r="C132" s="1" t="n">
        <v>24</v>
      </c>
      <c r="D132" s="1" t="n">
        <v>40777</v>
      </c>
    </row>
    <row r="133" customFormat="false" ht="15" hidden="false" customHeight="true" outlineLevel="0" collapsed="false">
      <c r="A133" s="1" t="n">
        <v>2025</v>
      </c>
      <c r="B133" s="1" t="n">
        <v>10</v>
      </c>
      <c r="C133" s="1" t="n">
        <v>23</v>
      </c>
      <c r="D133" s="1" t="n">
        <v>68248</v>
      </c>
    </row>
    <row r="134" customFormat="false" ht="15" hidden="false" customHeight="true" outlineLevel="0" collapsed="false">
      <c r="A134" s="1" t="n">
        <v>2025</v>
      </c>
      <c r="B134" s="1" t="n">
        <v>10</v>
      </c>
      <c r="C134" s="1" t="n">
        <v>22</v>
      </c>
      <c r="D134" s="1" t="n">
        <v>77544</v>
      </c>
    </row>
    <row r="135" customFormat="false" ht="15" hidden="false" customHeight="true" outlineLevel="0" collapsed="false">
      <c r="A135" s="1" t="n">
        <v>2025</v>
      </c>
      <c r="B135" s="1" t="n">
        <v>10</v>
      </c>
      <c r="C135" s="1" t="n">
        <v>21</v>
      </c>
      <c r="D135" s="1" t="n">
        <v>68263</v>
      </c>
    </row>
    <row r="136" customFormat="false" ht="15" hidden="false" customHeight="true" outlineLevel="0" collapsed="false">
      <c r="A136" s="1" t="n">
        <v>2025</v>
      </c>
      <c r="B136" s="1" t="n">
        <v>10</v>
      </c>
      <c r="C136" s="1" t="n">
        <v>20</v>
      </c>
      <c r="D136" s="1" t="n">
        <v>65427</v>
      </c>
    </row>
    <row r="137" customFormat="false" ht="15" hidden="false" customHeight="true" outlineLevel="0" collapsed="false">
      <c r="A137" s="1" t="n">
        <v>2025</v>
      </c>
      <c r="B137" s="1" t="n">
        <v>10</v>
      </c>
      <c r="C137" s="1" t="n">
        <v>19</v>
      </c>
      <c r="D137" s="1" t="n">
        <v>63674</v>
      </c>
    </row>
    <row r="138" customFormat="false" ht="15" hidden="false" customHeight="true" outlineLevel="0" collapsed="false">
      <c r="A138" s="1" t="n">
        <v>2025</v>
      </c>
      <c r="B138" s="1" t="n">
        <v>10</v>
      </c>
      <c r="C138" s="1" t="n">
        <v>18</v>
      </c>
      <c r="D138" s="1" t="n">
        <v>25388</v>
      </c>
    </row>
    <row r="139" customFormat="false" ht="15" hidden="false" customHeight="true" outlineLevel="0" collapsed="false">
      <c r="A139" s="1" t="n">
        <v>2025</v>
      </c>
      <c r="B139" s="1" t="n">
        <v>10</v>
      </c>
      <c r="C139" s="1" t="n">
        <v>17</v>
      </c>
      <c r="D139" s="1" t="n">
        <v>30233</v>
      </c>
    </row>
    <row r="140" customFormat="false" ht="15" hidden="false" customHeight="true" outlineLevel="0" collapsed="false">
      <c r="A140" s="1" t="n">
        <v>2025</v>
      </c>
      <c r="B140" s="1" t="n">
        <v>10</v>
      </c>
      <c r="C140" s="1" t="n">
        <v>16</v>
      </c>
      <c r="D140" s="1" t="n">
        <v>76463</v>
      </c>
    </row>
    <row r="141" customFormat="false" ht="15" hidden="false" customHeight="true" outlineLevel="0" collapsed="false">
      <c r="A141" s="1" t="n">
        <v>2025</v>
      </c>
      <c r="B141" s="1" t="n">
        <v>10</v>
      </c>
      <c r="C141" s="1" t="n">
        <v>15</v>
      </c>
      <c r="D141" s="1" t="n">
        <v>67414</v>
      </c>
    </row>
    <row r="142" customFormat="false" ht="15" hidden="false" customHeight="true" outlineLevel="0" collapsed="false">
      <c r="A142" s="1" t="n">
        <v>2025</v>
      </c>
      <c r="B142" s="1" t="n">
        <v>10</v>
      </c>
      <c r="C142" s="1" t="n">
        <v>14</v>
      </c>
      <c r="D142" s="1" t="n">
        <v>69371</v>
      </c>
    </row>
    <row r="143" customFormat="false" ht="15" hidden="false" customHeight="true" outlineLevel="0" collapsed="false">
      <c r="A143" s="1" t="n">
        <v>2025</v>
      </c>
      <c r="B143" s="1" t="n">
        <v>10</v>
      </c>
      <c r="C143" s="1" t="n">
        <v>13</v>
      </c>
      <c r="D143" s="1" t="n">
        <v>68777</v>
      </c>
    </row>
    <row r="144" customFormat="false" ht="15" hidden="false" customHeight="true" outlineLevel="0" collapsed="false">
      <c r="A144" s="1" t="n">
        <v>2025</v>
      </c>
      <c r="B144" s="1" t="n">
        <v>10</v>
      </c>
      <c r="C144" s="1" t="n">
        <v>12</v>
      </c>
      <c r="D144" s="1" t="n">
        <v>59828</v>
      </c>
    </row>
    <row r="145" customFormat="false" ht="15" hidden="false" customHeight="true" outlineLevel="0" collapsed="false">
      <c r="A145" s="1" t="n">
        <v>2025</v>
      </c>
      <c r="B145" s="1" t="n">
        <v>10</v>
      </c>
      <c r="C145" s="1" t="n">
        <v>11</v>
      </c>
      <c r="D145" s="1" t="n">
        <v>31365</v>
      </c>
    </row>
    <row r="146" customFormat="false" ht="15" hidden="false" customHeight="true" outlineLevel="0" collapsed="false">
      <c r="A146" s="1" t="n">
        <v>2025</v>
      </c>
      <c r="B146" s="1" t="n">
        <v>10</v>
      </c>
      <c r="C146" s="1" t="n">
        <v>10</v>
      </c>
      <c r="D146" s="1" t="n">
        <v>30615</v>
      </c>
    </row>
    <row r="147" customFormat="false" ht="15" hidden="false" customHeight="true" outlineLevel="0" collapsed="false">
      <c r="A147" s="1" t="n">
        <v>2025</v>
      </c>
      <c r="B147" s="1" t="n">
        <v>10</v>
      </c>
      <c r="C147" s="1" t="n">
        <v>9</v>
      </c>
      <c r="D147" s="1" t="n">
        <v>67965</v>
      </c>
    </row>
    <row r="148" customFormat="false" ht="15" hidden="false" customHeight="true" outlineLevel="0" collapsed="false">
      <c r="A148" s="1" t="n">
        <v>2025</v>
      </c>
      <c r="B148" s="1" t="n">
        <v>10</v>
      </c>
      <c r="C148" s="1" t="n">
        <v>8</v>
      </c>
      <c r="D148" s="1" t="n">
        <v>73278</v>
      </c>
    </row>
    <row r="149" customFormat="false" ht="15" hidden="false" customHeight="true" outlineLevel="0" collapsed="false">
      <c r="A149" s="1" t="n">
        <v>2025</v>
      </c>
      <c r="B149" s="1" t="n">
        <v>10</v>
      </c>
      <c r="C149" s="1" t="n">
        <v>7</v>
      </c>
      <c r="D149" s="1" t="n">
        <v>71442</v>
      </c>
    </row>
    <row r="150" customFormat="false" ht="15" hidden="false" customHeight="true" outlineLevel="0" collapsed="false">
      <c r="A150" s="1" t="n">
        <v>2025</v>
      </c>
      <c r="B150" s="1" t="n">
        <v>10</v>
      </c>
      <c r="C150" s="1" t="n">
        <v>6</v>
      </c>
      <c r="D150" s="1" t="n">
        <v>63824</v>
      </c>
    </row>
    <row r="151" customFormat="false" ht="15" hidden="false" customHeight="true" outlineLevel="0" collapsed="false">
      <c r="A151" s="1" t="n">
        <v>2025</v>
      </c>
      <c r="B151" s="1" t="n">
        <v>10</v>
      </c>
      <c r="C151" s="1" t="n">
        <v>5</v>
      </c>
      <c r="D151" s="1" t="n">
        <v>59899</v>
      </c>
    </row>
    <row r="152" customFormat="false" ht="15" hidden="false" customHeight="true" outlineLevel="0" collapsed="false">
      <c r="A152" s="1" t="n">
        <v>2025</v>
      </c>
      <c r="B152" s="1" t="n">
        <v>10</v>
      </c>
      <c r="C152" s="1" t="n">
        <v>4</v>
      </c>
      <c r="D152" s="1" t="n">
        <v>30299</v>
      </c>
    </row>
    <row r="153" customFormat="false" ht="15" hidden="false" customHeight="true" outlineLevel="0" collapsed="false">
      <c r="A153" s="1" t="n">
        <v>2025</v>
      </c>
      <c r="B153" s="1" t="n">
        <v>10</v>
      </c>
      <c r="C153" s="1" t="n">
        <v>3</v>
      </c>
      <c r="D153" s="1" t="n">
        <v>27659</v>
      </c>
    </row>
    <row r="154" customFormat="false" ht="15" hidden="false" customHeight="true" outlineLevel="0" collapsed="false">
      <c r="A154" s="1" t="n">
        <v>2025</v>
      </c>
      <c r="B154" s="1" t="n">
        <v>10</v>
      </c>
      <c r="C154" s="1" t="n">
        <v>2</v>
      </c>
      <c r="D154" s="1" t="n">
        <v>63106</v>
      </c>
    </row>
    <row r="155" customFormat="false" ht="15" hidden="false" customHeight="true" outlineLevel="0" collapsed="false">
      <c r="A155" s="1" t="n">
        <v>2025</v>
      </c>
      <c r="B155" s="1" t="n">
        <v>10</v>
      </c>
      <c r="C155" s="1" t="n">
        <v>1</v>
      </c>
      <c r="D155" s="1" t="n">
        <v>68671</v>
      </c>
    </row>
    <row r="156" customFormat="false" ht="15" hidden="false" customHeight="true" outlineLevel="0" collapsed="false">
      <c r="A156" s="1" t="n">
        <v>2025</v>
      </c>
      <c r="B156" s="1" t="n">
        <v>10</v>
      </c>
      <c r="C156" s="1" t="s">
        <v>4</v>
      </c>
      <c r="D156" s="1" t="n">
        <v>1776040</v>
      </c>
    </row>
    <row r="157" customFormat="false" ht="15" hidden="false" customHeight="true" outlineLevel="0" collapsed="false">
      <c r="A157" s="1" t="n">
        <v>2025</v>
      </c>
      <c r="B157" s="1" t="n">
        <v>9</v>
      </c>
      <c r="C157" s="1" t="n">
        <v>30</v>
      </c>
      <c r="D157" s="1" t="n">
        <v>65903</v>
      </c>
    </row>
    <row r="158" customFormat="false" ht="15" hidden="false" customHeight="true" outlineLevel="0" collapsed="false">
      <c r="A158" s="1" t="n">
        <v>2025</v>
      </c>
      <c r="B158" s="1" t="n">
        <v>9</v>
      </c>
      <c r="C158" s="1" t="n">
        <v>29</v>
      </c>
      <c r="D158" s="1" t="n">
        <v>65104</v>
      </c>
    </row>
    <row r="159" customFormat="false" ht="15" hidden="false" customHeight="true" outlineLevel="0" collapsed="false">
      <c r="A159" s="1" t="n">
        <v>2025</v>
      </c>
      <c r="B159" s="1" t="n">
        <v>9</v>
      </c>
      <c r="C159" s="1" t="n">
        <v>28</v>
      </c>
      <c r="D159" s="1" t="n">
        <v>55154</v>
      </c>
    </row>
    <row r="160" customFormat="false" ht="15" hidden="false" customHeight="true" outlineLevel="0" collapsed="false">
      <c r="A160" s="1" t="n">
        <v>2025</v>
      </c>
      <c r="B160" s="1" t="n">
        <v>9</v>
      </c>
      <c r="C160" s="1" t="n">
        <v>27</v>
      </c>
      <c r="D160" s="1" t="n">
        <v>31123</v>
      </c>
    </row>
    <row r="161" customFormat="false" ht="15" hidden="false" customHeight="true" outlineLevel="0" collapsed="false">
      <c r="A161" s="1" t="n">
        <v>2025</v>
      </c>
      <c r="B161" s="1" t="n">
        <v>9</v>
      </c>
      <c r="C161" s="1" t="n">
        <v>26</v>
      </c>
      <c r="D161" s="1" t="n">
        <v>31816</v>
      </c>
    </row>
    <row r="162" customFormat="false" ht="15" hidden="false" customHeight="true" outlineLevel="0" collapsed="false">
      <c r="A162" s="1" t="n">
        <v>2025</v>
      </c>
      <c r="B162" s="1" t="n">
        <v>9</v>
      </c>
      <c r="C162" s="1" t="n">
        <v>25</v>
      </c>
      <c r="D162" s="1" t="n">
        <v>68228</v>
      </c>
    </row>
    <row r="163" customFormat="false" ht="15" hidden="false" customHeight="true" outlineLevel="0" collapsed="false">
      <c r="A163" s="1" t="n">
        <v>2025</v>
      </c>
      <c r="B163" s="1" t="n">
        <v>9</v>
      </c>
      <c r="C163" s="1" t="n">
        <v>24</v>
      </c>
      <c r="D163" s="1" t="n">
        <v>69033</v>
      </c>
    </row>
    <row r="164" customFormat="false" ht="15" hidden="false" customHeight="true" outlineLevel="0" collapsed="false">
      <c r="A164" s="1" t="n">
        <v>2025</v>
      </c>
      <c r="B164" s="1" t="n">
        <v>9</v>
      </c>
      <c r="C164" s="1" t="n">
        <v>23</v>
      </c>
      <c r="D164" s="1" t="n">
        <v>65687</v>
      </c>
    </row>
    <row r="165" customFormat="false" ht="15" hidden="false" customHeight="true" outlineLevel="0" collapsed="false">
      <c r="A165" s="1" t="n">
        <v>2025</v>
      </c>
      <c r="B165" s="1" t="n">
        <v>9</v>
      </c>
      <c r="C165" s="1" t="n">
        <v>22</v>
      </c>
      <c r="D165" s="1" t="n">
        <v>62633</v>
      </c>
    </row>
    <row r="166" customFormat="false" ht="15" hidden="false" customHeight="true" outlineLevel="0" collapsed="false">
      <c r="A166" s="1" t="n">
        <v>2025</v>
      </c>
      <c r="B166" s="1" t="n">
        <v>9</v>
      </c>
      <c r="C166" s="1" t="n">
        <v>21</v>
      </c>
      <c r="D166" s="1" t="n">
        <v>60975</v>
      </c>
    </row>
    <row r="167" customFormat="false" ht="15" hidden="false" customHeight="true" outlineLevel="0" collapsed="false">
      <c r="A167" s="1" t="n">
        <v>2025</v>
      </c>
      <c r="B167" s="1" t="n">
        <v>9</v>
      </c>
      <c r="C167" s="1" t="n">
        <v>20</v>
      </c>
      <c r="D167" s="1" t="n">
        <v>31262</v>
      </c>
    </row>
    <row r="168" customFormat="false" ht="15" hidden="false" customHeight="true" outlineLevel="0" collapsed="false">
      <c r="A168" s="1" t="n">
        <v>2025</v>
      </c>
      <c r="B168" s="1" t="n">
        <v>9</v>
      </c>
      <c r="C168" s="1" t="n">
        <v>19</v>
      </c>
      <c r="D168" s="1" t="n">
        <v>30442</v>
      </c>
    </row>
    <row r="169" customFormat="false" ht="15" hidden="false" customHeight="true" outlineLevel="0" collapsed="false">
      <c r="A169" s="1" t="n">
        <v>2025</v>
      </c>
      <c r="B169" s="1" t="n">
        <v>9</v>
      </c>
      <c r="C169" s="1" t="n">
        <v>18</v>
      </c>
      <c r="D169" s="1" t="n">
        <v>66919</v>
      </c>
    </row>
    <row r="170" customFormat="false" ht="15" hidden="false" customHeight="true" outlineLevel="0" collapsed="false">
      <c r="A170" s="1" t="n">
        <v>2025</v>
      </c>
      <c r="B170" s="1" t="n">
        <v>9</v>
      </c>
      <c r="C170" s="1" t="n">
        <v>17</v>
      </c>
      <c r="D170" s="1" t="n">
        <v>73252</v>
      </c>
    </row>
    <row r="171" customFormat="false" ht="15" hidden="false" customHeight="true" outlineLevel="0" collapsed="false">
      <c r="A171" s="1" t="n">
        <v>2025</v>
      </c>
      <c r="B171" s="1" t="n">
        <v>9</v>
      </c>
      <c r="C171" s="1" t="n">
        <v>16</v>
      </c>
      <c r="D171" s="1" t="n">
        <v>70230</v>
      </c>
    </row>
    <row r="172" customFormat="false" ht="15" hidden="false" customHeight="true" outlineLevel="0" collapsed="false">
      <c r="A172" s="1" t="n">
        <v>2025</v>
      </c>
      <c r="B172" s="1" t="n">
        <v>9</v>
      </c>
      <c r="C172" s="1" t="n">
        <v>15</v>
      </c>
      <c r="D172" s="1" t="n">
        <v>68161</v>
      </c>
    </row>
    <row r="173" customFormat="false" ht="15" hidden="false" customHeight="true" outlineLevel="0" collapsed="false">
      <c r="A173" s="1" t="n">
        <v>2025</v>
      </c>
      <c r="B173" s="1" t="n">
        <v>9</v>
      </c>
      <c r="C173" s="1" t="n">
        <v>14</v>
      </c>
      <c r="D173" s="1" t="n">
        <v>61359</v>
      </c>
    </row>
    <row r="174" customFormat="false" ht="15" hidden="false" customHeight="true" outlineLevel="0" collapsed="false">
      <c r="A174" s="1" t="n">
        <v>2025</v>
      </c>
      <c r="B174" s="1" t="n">
        <v>9</v>
      </c>
      <c r="C174" s="1" t="n">
        <v>13</v>
      </c>
      <c r="D174" s="1" t="n">
        <v>30838</v>
      </c>
    </row>
    <row r="175" customFormat="false" ht="15" hidden="false" customHeight="true" outlineLevel="0" collapsed="false">
      <c r="A175" s="1" t="n">
        <v>2025</v>
      </c>
      <c r="B175" s="1" t="n">
        <v>9</v>
      </c>
      <c r="C175" s="1" t="n">
        <v>12</v>
      </c>
      <c r="D175" s="1" t="n">
        <v>28848</v>
      </c>
    </row>
    <row r="176" customFormat="false" ht="15" hidden="false" customHeight="true" outlineLevel="0" collapsed="false">
      <c r="A176" s="1" t="n">
        <v>2025</v>
      </c>
      <c r="B176" s="1" t="n">
        <v>9</v>
      </c>
      <c r="C176" s="1" t="n">
        <v>11</v>
      </c>
      <c r="D176" s="1" t="n">
        <v>78956</v>
      </c>
    </row>
    <row r="177" customFormat="false" ht="15" hidden="false" customHeight="true" outlineLevel="0" collapsed="false">
      <c r="A177" s="1" t="n">
        <v>2025</v>
      </c>
      <c r="B177" s="1" t="n">
        <v>9</v>
      </c>
      <c r="C177" s="1" t="n">
        <v>10</v>
      </c>
      <c r="D177" s="1" t="n">
        <v>74482</v>
      </c>
    </row>
    <row r="178" customFormat="false" ht="15" hidden="false" customHeight="true" outlineLevel="0" collapsed="false">
      <c r="A178" s="1" t="n">
        <v>2025</v>
      </c>
      <c r="B178" s="1" t="n">
        <v>9</v>
      </c>
      <c r="C178" s="1" t="n">
        <v>9</v>
      </c>
      <c r="D178" s="1" t="n">
        <v>72604</v>
      </c>
    </row>
    <row r="179" customFormat="false" ht="15" hidden="false" customHeight="true" outlineLevel="0" collapsed="false">
      <c r="A179" s="1" t="n">
        <v>2025</v>
      </c>
      <c r="B179" s="1" t="n">
        <v>9</v>
      </c>
      <c r="C179" s="1" t="n">
        <v>8</v>
      </c>
      <c r="D179" s="1" t="n">
        <v>67697</v>
      </c>
    </row>
    <row r="180" customFormat="false" ht="15" hidden="false" customHeight="true" outlineLevel="0" collapsed="false">
      <c r="A180" s="1" t="n">
        <v>2025</v>
      </c>
      <c r="B180" s="1" t="n">
        <v>9</v>
      </c>
      <c r="C180" s="1" t="n">
        <v>7</v>
      </c>
      <c r="D180" s="1" t="n">
        <v>61250</v>
      </c>
    </row>
    <row r="181" customFormat="false" ht="15" hidden="false" customHeight="true" outlineLevel="0" collapsed="false">
      <c r="A181" s="1" t="n">
        <v>2025</v>
      </c>
      <c r="B181" s="1" t="n">
        <v>9</v>
      </c>
      <c r="C181" s="1" t="n">
        <v>6</v>
      </c>
      <c r="D181" s="1" t="n">
        <v>31963</v>
      </c>
    </row>
    <row r="182" customFormat="false" ht="15" hidden="false" customHeight="true" outlineLevel="0" collapsed="false">
      <c r="A182" s="1" t="n">
        <v>2025</v>
      </c>
      <c r="B182" s="1" t="n">
        <v>9</v>
      </c>
      <c r="C182" s="1" t="n">
        <v>5</v>
      </c>
      <c r="D182" s="1" t="n">
        <v>31464</v>
      </c>
    </row>
    <row r="183" customFormat="false" ht="15" hidden="false" customHeight="true" outlineLevel="0" collapsed="false">
      <c r="A183" s="1" t="n">
        <v>2025</v>
      </c>
      <c r="B183" s="1" t="n">
        <v>9</v>
      </c>
      <c r="C183" s="1" t="n">
        <v>4</v>
      </c>
      <c r="D183" s="1" t="n">
        <v>69266</v>
      </c>
    </row>
    <row r="184" customFormat="false" ht="15" hidden="false" customHeight="true" outlineLevel="0" collapsed="false">
      <c r="A184" s="1" t="n">
        <v>2025</v>
      </c>
      <c r="B184" s="1" t="n">
        <v>9</v>
      </c>
      <c r="C184" s="1" t="n">
        <v>3</v>
      </c>
      <c r="D184" s="1" t="n">
        <v>67060</v>
      </c>
    </row>
    <row r="185" customFormat="false" ht="15" hidden="false" customHeight="true" outlineLevel="0" collapsed="false">
      <c r="A185" s="1" t="n">
        <v>2025</v>
      </c>
      <c r="B185" s="1" t="n">
        <v>9</v>
      </c>
      <c r="C185" s="1" t="n">
        <v>2</v>
      </c>
      <c r="D185" s="1" t="n">
        <v>56400</v>
      </c>
    </row>
    <row r="186" customFormat="false" ht="15" hidden="false" customHeight="true" outlineLevel="0" collapsed="false">
      <c r="A186" s="1" t="n">
        <v>2025</v>
      </c>
      <c r="B186" s="1" t="n">
        <v>9</v>
      </c>
      <c r="C186" s="1" t="n">
        <v>1</v>
      </c>
      <c r="D186" s="1" t="n">
        <v>35831</v>
      </c>
    </row>
    <row r="187" customFormat="false" ht="15" hidden="false" customHeight="true" outlineLevel="0" collapsed="false">
      <c r="A187" s="1" t="n">
        <v>2025</v>
      </c>
      <c r="B187" s="1" t="n">
        <v>9</v>
      </c>
      <c r="C187" s="1" t="s">
        <v>4</v>
      </c>
      <c r="D187" s="1" t="n">
        <v>1683940</v>
      </c>
    </row>
    <row r="188" customFormat="false" ht="15" hidden="false" customHeight="true" outlineLevel="0" collapsed="false">
      <c r="A188" s="1" t="n">
        <v>2025</v>
      </c>
      <c r="B188" s="1" t="n">
        <v>8</v>
      </c>
      <c r="C188" s="1" t="n">
        <v>31</v>
      </c>
      <c r="D188" s="1" t="n">
        <v>55448</v>
      </c>
    </row>
    <row r="189" customFormat="false" ht="15" hidden="false" customHeight="true" outlineLevel="0" collapsed="false">
      <c r="A189" s="1" t="n">
        <v>2025</v>
      </c>
      <c r="B189" s="1" t="n">
        <v>8</v>
      </c>
      <c r="C189" s="1" t="n">
        <v>30</v>
      </c>
      <c r="D189" s="1" t="n">
        <v>27007</v>
      </c>
    </row>
    <row r="190" customFormat="false" ht="15" hidden="false" customHeight="true" outlineLevel="0" collapsed="false">
      <c r="A190" s="1" t="n">
        <v>2025</v>
      </c>
      <c r="B190" s="1" t="n">
        <v>8</v>
      </c>
      <c r="C190" s="1" t="n">
        <v>29</v>
      </c>
      <c r="D190" s="1" t="n">
        <v>35610</v>
      </c>
    </row>
    <row r="191" customFormat="false" ht="15" hidden="false" customHeight="true" outlineLevel="0" collapsed="false">
      <c r="A191" s="1" t="n">
        <v>2025</v>
      </c>
      <c r="B191" s="1" t="n">
        <v>8</v>
      </c>
      <c r="C191" s="1" t="n">
        <v>28</v>
      </c>
      <c r="D191" s="1" t="n">
        <v>67583</v>
      </c>
    </row>
    <row r="192" customFormat="false" ht="15" hidden="false" customHeight="true" outlineLevel="0" collapsed="false">
      <c r="A192" s="1" t="n">
        <v>2025</v>
      </c>
      <c r="B192" s="1" t="n">
        <v>8</v>
      </c>
      <c r="C192" s="1" t="n">
        <v>27</v>
      </c>
      <c r="D192" s="1" t="n">
        <v>64329</v>
      </c>
    </row>
    <row r="193" customFormat="false" ht="15" hidden="false" customHeight="true" outlineLevel="0" collapsed="false">
      <c r="A193" s="1" t="n">
        <v>2025</v>
      </c>
      <c r="B193" s="1" t="n">
        <v>8</v>
      </c>
      <c r="C193" s="1" t="n">
        <v>26</v>
      </c>
      <c r="D193" s="1" t="n">
        <v>66029</v>
      </c>
    </row>
    <row r="194" customFormat="false" ht="15" hidden="false" customHeight="true" outlineLevel="0" collapsed="false">
      <c r="A194" s="1" t="n">
        <v>2025</v>
      </c>
      <c r="B194" s="1" t="n">
        <v>8</v>
      </c>
      <c r="C194" s="1" t="n">
        <v>25</v>
      </c>
      <c r="D194" s="1" t="n">
        <v>67958</v>
      </c>
    </row>
    <row r="195" customFormat="false" ht="15" hidden="false" customHeight="true" outlineLevel="0" collapsed="false">
      <c r="A195" s="1" t="n">
        <v>2025</v>
      </c>
      <c r="B195" s="1" t="n">
        <v>8</v>
      </c>
      <c r="C195" s="1" t="n">
        <v>24</v>
      </c>
      <c r="D195" s="1" t="n">
        <v>58417</v>
      </c>
    </row>
    <row r="196" customFormat="false" ht="15" hidden="false" customHeight="true" outlineLevel="0" collapsed="false">
      <c r="A196" s="1" t="n">
        <v>2025</v>
      </c>
      <c r="B196" s="1" t="n">
        <v>8</v>
      </c>
      <c r="C196" s="1" t="n">
        <v>23</v>
      </c>
      <c r="D196" s="1" t="n">
        <v>30808</v>
      </c>
    </row>
    <row r="197" customFormat="false" ht="15" hidden="false" customHeight="true" outlineLevel="0" collapsed="false">
      <c r="A197" s="1" t="n">
        <v>2025</v>
      </c>
      <c r="B197" s="1" t="n">
        <v>8</v>
      </c>
      <c r="C197" s="1" t="n">
        <v>22</v>
      </c>
      <c r="D197" s="1" t="n">
        <v>30341</v>
      </c>
    </row>
    <row r="198" customFormat="false" ht="15" hidden="false" customHeight="true" outlineLevel="0" collapsed="false">
      <c r="A198" s="1" t="n">
        <v>2025</v>
      </c>
      <c r="B198" s="1" t="n">
        <v>8</v>
      </c>
      <c r="C198" s="1" t="n">
        <v>21</v>
      </c>
      <c r="D198" s="1" t="n">
        <v>63929</v>
      </c>
    </row>
    <row r="199" customFormat="false" ht="15" hidden="false" customHeight="true" outlineLevel="0" collapsed="false">
      <c r="A199" s="1" t="n">
        <v>2025</v>
      </c>
      <c r="B199" s="1" t="n">
        <v>8</v>
      </c>
      <c r="C199" s="1" t="n">
        <v>20</v>
      </c>
      <c r="D199" s="1" t="n">
        <v>64399</v>
      </c>
    </row>
    <row r="200" customFormat="false" ht="15" hidden="false" customHeight="true" outlineLevel="0" collapsed="false">
      <c r="A200" s="1" t="n">
        <v>2025</v>
      </c>
      <c r="B200" s="1" t="n">
        <v>8</v>
      </c>
      <c r="C200" s="1" t="n">
        <v>19</v>
      </c>
      <c r="D200" s="1" t="n">
        <v>65172</v>
      </c>
    </row>
    <row r="201" customFormat="false" ht="15" hidden="false" customHeight="true" outlineLevel="0" collapsed="false">
      <c r="A201" s="1" t="n">
        <v>2025</v>
      </c>
      <c r="B201" s="1" t="n">
        <v>8</v>
      </c>
      <c r="C201" s="1" t="n">
        <v>18</v>
      </c>
      <c r="D201" s="1" t="n">
        <v>67499</v>
      </c>
    </row>
    <row r="202" customFormat="false" ht="15" hidden="false" customHeight="true" outlineLevel="0" collapsed="false">
      <c r="A202" s="1" t="n">
        <v>2025</v>
      </c>
      <c r="B202" s="1" t="n">
        <v>8</v>
      </c>
      <c r="C202" s="1" t="n">
        <v>17</v>
      </c>
      <c r="D202" s="1" t="n">
        <v>59307</v>
      </c>
    </row>
    <row r="203" customFormat="false" ht="15" hidden="false" customHeight="true" outlineLevel="0" collapsed="false">
      <c r="A203" s="1" t="n">
        <v>2025</v>
      </c>
      <c r="B203" s="1" t="n">
        <v>8</v>
      </c>
      <c r="C203" s="1" t="n">
        <v>16</v>
      </c>
      <c r="D203" s="1" t="n">
        <v>32052</v>
      </c>
    </row>
    <row r="204" customFormat="false" ht="15" hidden="false" customHeight="true" outlineLevel="0" collapsed="false">
      <c r="A204" s="1" t="n">
        <v>2025</v>
      </c>
      <c r="B204" s="1" t="n">
        <v>8</v>
      </c>
      <c r="C204" s="1" t="n">
        <v>15</v>
      </c>
      <c r="D204" s="1" t="n">
        <v>35942</v>
      </c>
    </row>
    <row r="205" customFormat="false" ht="15" hidden="false" customHeight="true" outlineLevel="0" collapsed="false">
      <c r="A205" s="1" t="n">
        <v>2025</v>
      </c>
      <c r="B205" s="1" t="n">
        <v>8</v>
      </c>
      <c r="C205" s="1" t="n">
        <v>14</v>
      </c>
      <c r="D205" s="1" t="n">
        <v>70755</v>
      </c>
    </row>
    <row r="206" customFormat="false" ht="15" hidden="false" customHeight="true" outlineLevel="0" collapsed="false">
      <c r="A206" s="1" t="n">
        <v>2025</v>
      </c>
      <c r="B206" s="1" t="n">
        <v>8</v>
      </c>
      <c r="C206" s="1" t="n">
        <v>13</v>
      </c>
      <c r="D206" s="1" t="n">
        <v>62300</v>
      </c>
    </row>
    <row r="207" customFormat="false" ht="15" hidden="false" customHeight="true" outlineLevel="0" collapsed="false">
      <c r="A207" s="1" t="n">
        <v>2025</v>
      </c>
      <c r="B207" s="1" t="n">
        <v>8</v>
      </c>
      <c r="C207" s="1" t="n">
        <v>12</v>
      </c>
      <c r="D207" s="1" t="n">
        <v>68780</v>
      </c>
    </row>
    <row r="208" customFormat="false" ht="15" hidden="false" customHeight="true" outlineLevel="0" collapsed="false">
      <c r="A208" s="1" t="n">
        <v>2025</v>
      </c>
      <c r="B208" s="1" t="n">
        <v>8</v>
      </c>
      <c r="C208" s="1" t="n">
        <v>11</v>
      </c>
      <c r="D208" s="1" t="n">
        <v>65163</v>
      </c>
    </row>
    <row r="209" customFormat="false" ht="15" hidden="false" customHeight="true" outlineLevel="0" collapsed="false">
      <c r="A209" s="1" t="n">
        <v>2025</v>
      </c>
      <c r="B209" s="1" t="n">
        <v>8</v>
      </c>
      <c r="C209" s="1" t="n">
        <v>10</v>
      </c>
      <c r="D209" s="1" t="n">
        <v>60118</v>
      </c>
    </row>
    <row r="210" customFormat="false" ht="15" hidden="false" customHeight="true" outlineLevel="0" collapsed="false">
      <c r="A210" s="1" t="n">
        <v>2025</v>
      </c>
      <c r="B210" s="1" t="n">
        <v>8</v>
      </c>
      <c r="C210" s="1" t="n">
        <v>9</v>
      </c>
      <c r="D210" s="1" t="n">
        <v>31732</v>
      </c>
    </row>
    <row r="211" customFormat="false" ht="15" hidden="false" customHeight="true" outlineLevel="0" collapsed="false">
      <c r="A211" s="1" t="n">
        <v>2025</v>
      </c>
      <c r="B211" s="1" t="n">
        <v>8</v>
      </c>
      <c r="C211" s="1" t="n">
        <v>8</v>
      </c>
      <c r="D211" s="1" t="n">
        <v>33385</v>
      </c>
    </row>
    <row r="212" customFormat="false" ht="15" hidden="false" customHeight="true" outlineLevel="0" collapsed="false">
      <c r="A212" s="1" t="n">
        <v>2025</v>
      </c>
      <c r="B212" s="1" t="n">
        <v>8</v>
      </c>
      <c r="C212" s="1" t="n">
        <v>7</v>
      </c>
      <c r="D212" s="1" t="n">
        <v>70044</v>
      </c>
    </row>
    <row r="213" customFormat="false" ht="15" hidden="false" customHeight="true" outlineLevel="0" collapsed="false">
      <c r="A213" s="1" t="n">
        <v>2025</v>
      </c>
      <c r="B213" s="1" t="n">
        <v>8</v>
      </c>
      <c r="C213" s="1" t="n">
        <v>6</v>
      </c>
      <c r="D213" s="1" t="n">
        <v>65749</v>
      </c>
    </row>
    <row r="214" customFormat="false" ht="15" hidden="false" customHeight="true" outlineLevel="0" collapsed="false">
      <c r="A214" s="1" t="n">
        <v>2025</v>
      </c>
      <c r="B214" s="1" t="n">
        <v>8</v>
      </c>
      <c r="C214" s="1" t="n">
        <v>5</v>
      </c>
      <c r="D214" s="1" t="n">
        <v>64748</v>
      </c>
    </row>
    <row r="215" customFormat="false" ht="15" hidden="false" customHeight="true" outlineLevel="0" collapsed="false">
      <c r="A215" s="1" t="n">
        <v>2025</v>
      </c>
      <c r="B215" s="1" t="n">
        <v>8</v>
      </c>
      <c r="C215" s="1" t="n">
        <v>4</v>
      </c>
      <c r="D215" s="1" t="n">
        <v>64543</v>
      </c>
    </row>
    <row r="216" customFormat="false" ht="15" hidden="false" customHeight="true" outlineLevel="0" collapsed="false">
      <c r="A216" s="1" t="n">
        <v>2025</v>
      </c>
      <c r="B216" s="1" t="n">
        <v>8</v>
      </c>
      <c r="C216" s="1" t="n">
        <v>3</v>
      </c>
      <c r="D216" s="1" t="n">
        <v>57787</v>
      </c>
    </row>
    <row r="217" customFormat="false" ht="15" hidden="false" customHeight="true" outlineLevel="0" collapsed="false">
      <c r="A217" s="1" t="n">
        <v>2025</v>
      </c>
      <c r="B217" s="1" t="n">
        <v>8</v>
      </c>
      <c r="C217" s="1" t="n">
        <v>2</v>
      </c>
      <c r="D217" s="1" t="n">
        <v>28577</v>
      </c>
    </row>
    <row r="218" customFormat="false" ht="15" hidden="false" customHeight="true" outlineLevel="0" collapsed="false">
      <c r="A218" s="1" t="n">
        <v>2025</v>
      </c>
      <c r="B218" s="1" t="n">
        <v>8</v>
      </c>
      <c r="C218" s="1" t="n">
        <v>1</v>
      </c>
      <c r="D218" s="1" t="n">
        <v>34623</v>
      </c>
    </row>
    <row r="219" customFormat="false" ht="15" hidden="false" customHeight="true" outlineLevel="0" collapsed="false">
      <c r="A219" s="1" t="n">
        <v>2025</v>
      </c>
      <c r="B219" s="1" t="n">
        <v>8</v>
      </c>
      <c r="C219" s="1" t="s">
        <v>4</v>
      </c>
      <c r="D219" s="1" t="n">
        <v>1670134</v>
      </c>
    </row>
    <row r="220" customFormat="false" ht="15" hidden="false" customHeight="true" outlineLevel="0" collapsed="false">
      <c r="A220" s="1" t="n">
        <v>2025</v>
      </c>
      <c r="B220" s="1" t="n">
        <v>7</v>
      </c>
      <c r="C220" s="1" t="n">
        <v>31</v>
      </c>
      <c r="D220" s="1" t="n">
        <v>66272</v>
      </c>
    </row>
    <row r="221" customFormat="false" ht="15" hidden="false" customHeight="true" outlineLevel="0" collapsed="false">
      <c r="A221" s="1" t="n">
        <v>2025</v>
      </c>
      <c r="B221" s="1" t="n">
        <v>7</v>
      </c>
      <c r="C221" s="1" t="n">
        <v>30</v>
      </c>
      <c r="D221" s="1" t="n">
        <v>63472</v>
      </c>
    </row>
    <row r="222" customFormat="false" ht="15" hidden="false" customHeight="true" outlineLevel="0" collapsed="false">
      <c r="A222" s="1" t="n">
        <v>2025</v>
      </c>
      <c r="B222" s="1" t="n">
        <v>7</v>
      </c>
      <c r="C222" s="1" t="n">
        <v>29</v>
      </c>
      <c r="D222" s="1" t="n">
        <v>65713</v>
      </c>
    </row>
    <row r="223" customFormat="false" ht="15" hidden="false" customHeight="true" outlineLevel="0" collapsed="false">
      <c r="A223" s="1" t="n">
        <v>2025</v>
      </c>
      <c r="B223" s="1" t="n">
        <v>7</v>
      </c>
      <c r="C223" s="1" t="n">
        <v>28</v>
      </c>
      <c r="D223" s="1" t="n">
        <v>65004</v>
      </c>
    </row>
    <row r="224" customFormat="false" ht="15" hidden="false" customHeight="true" outlineLevel="0" collapsed="false">
      <c r="A224" s="1" t="n">
        <v>2025</v>
      </c>
      <c r="B224" s="1" t="n">
        <v>7</v>
      </c>
      <c r="C224" s="1" t="n">
        <v>27</v>
      </c>
      <c r="D224" s="1" t="n">
        <v>60132</v>
      </c>
    </row>
    <row r="225" customFormat="false" ht="15" hidden="false" customHeight="true" outlineLevel="0" collapsed="false">
      <c r="A225" s="1" t="n">
        <v>2025</v>
      </c>
      <c r="B225" s="1" t="n">
        <v>7</v>
      </c>
      <c r="C225" s="1" t="n">
        <v>26</v>
      </c>
      <c r="D225" s="1" t="n">
        <v>28438</v>
      </c>
    </row>
    <row r="226" customFormat="false" ht="15" hidden="false" customHeight="true" outlineLevel="0" collapsed="false">
      <c r="A226" s="1" t="n">
        <v>2025</v>
      </c>
      <c r="B226" s="1" t="n">
        <v>7</v>
      </c>
      <c r="C226" s="1" t="n">
        <v>25</v>
      </c>
      <c r="D226" s="1" t="n">
        <v>30859</v>
      </c>
    </row>
    <row r="227" customFormat="false" ht="15" hidden="false" customHeight="true" outlineLevel="0" collapsed="false">
      <c r="A227" s="1" t="n">
        <v>2025</v>
      </c>
      <c r="B227" s="1" t="n">
        <v>7</v>
      </c>
      <c r="C227" s="1" t="n">
        <v>24</v>
      </c>
      <c r="D227" s="1" t="n">
        <v>62776</v>
      </c>
    </row>
    <row r="228" customFormat="false" ht="15" hidden="false" customHeight="true" outlineLevel="0" collapsed="false">
      <c r="A228" s="1" t="n">
        <v>2025</v>
      </c>
      <c r="B228" s="1" t="n">
        <v>7</v>
      </c>
      <c r="C228" s="1" t="n">
        <v>23</v>
      </c>
      <c r="D228" s="1" t="n">
        <v>66997</v>
      </c>
    </row>
    <row r="229" customFormat="false" ht="15" hidden="false" customHeight="true" outlineLevel="0" collapsed="false">
      <c r="A229" s="1" t="n">
        <v>2025</v>
      </c>
      <c r="B229" s="1" t="n">
        <v>7</v>
      </c>
      <c r="C229" s="1" t="n">
        <v>22</v>
      </c>
      <c r="D229" s="1" t="n">
        <v>61692</v>
      </c>
    </row>
    <row r="230" customFormat="false" ht="15" hidden="false" customHeight="true" outlineLevel="0" collapsed="false">
      <c r="A230" s="1" t="n">
        <v>2025</v>
      </c>
      <c r="B230" s="1" t="n">
        <v>7</v>
      </c>
      <c r="C230" s="1" t="n">
        <v>21</v>
      </c>
      <c r="D230" s="1" t="n">
        <v>60775</v>
      </c>
    </row>
    <row r="231" customFormat="false" ht="15" hidden="false" customHeight="true" outlineLevel="0" collapsed="false">
      <c r="A231" s="1" t="n">
        <v>2025</v>
      </c>
      <c r="B231" s="1" t="n">
        <v>7</v>
      </c>
      <c r="C231" s="1" t="n">
        <v>20</v>
      </c>
      <c r="D231" s="1" t="n">
        <v>55457</v>
      </c>
    </row>
    <row r="232" customFormat="false" ht="15" hidden="false" customHeight="true" outlineLevel="0" collapsed="false">
      <c r="A232" s="1" t="n">
        <v>2025</v>
      </c>
      <c r="B232" s="1" t="n">
        <v>7</v>
      </c>
      <c r="C232" s="1" t="n">
        <v>19</v>
      </c>
      <c r="D232" s="1" t="n">
        <v>31003</v>
      </c>
    </row>
    <row r="233" customFormat="false" ht="15" hidden="false" customHeight="true" outlineLevel="0" collapsed="false">
      <c r="A233" s="1" t="n">
        <v>2025</v>
      </c>
      <c r="B233" s="1" t="n">
        <v>7</v>
      </c>
      <c r="C233" s="1" t="n">
        <v>18</v>
      </c>
      <c r="D233" s="1" t="n">
        <v>29687</v>
      </c>
    </row>
    <row r="234" customFormat="false" ht="15" hidden="false" customHeight="true" outlineLevel="0" collapsed="false">
      <c r="A234" s="1" t="n">
        <v>2025</v>
      </c>
      <c r="B234" s="1" t="n">
        <v>7</v>
      </c>
      <c r="C234" s="1" t="n">
        <v>17</v>
      </c>
      <c r="D234" s="1" t="n">
        <v>62888</v>
      </c>
    </row>
    <row r="235" customFormat="false" ht="15" hidden="false" customHeight="true" outlineLevel="0" collapsed="false">
      <c r="A235" s="1" t="n">
        <v>2025</v>
      </c>
      <c r="B235" s="1" t="n">
        <v>7</v>
      </c>
      <c r="C235" s="1" t="n">
        <v>16</v>
      </c>
      <c r="D235" s="1" t="n">
        <v>63506</v>
      </c>
    </row>
    <row r="236" customFormat="false" ht="15" hidden="false" customHeight="true" outlineLevel="0" collapsed="false">
      <c r="A236" s="1" t="n">
        <v>2025</v>
      </c>
      <c r="B236" s="1" t="n">
        <v>7</v>
      </c>
      <c r="C236" s="1" t="n">
        <v>15</v>
      </c>
      <c r="D236" s="1" t="n">
        <v>67128</v>
      </c>
    </row>
    <row r="237" customFormat="false" ht="15" hidden="false" customHeight="true" outlineLevel="0" collapsed="false">
      <c r="A237" s="1" t="n">
        <v>2025</v>
      </c>
      <c r="B237" s="1" t="n">
        <v>7</v>
      </c>
      <c r="C237" s="1" t="n">
        <v>14</v>
      </c>
      <c r="D237" s="1" t="n">
        <v>63459</v>
      </c>
    </row>
    <row r="238" customFormat="false" ht="15" hidden="false" customHeight="true" outlineLevel="0" collapsed="false">
      <c r="A238" s="1" t="n">
        <v>2025</v>
      </c>
      <c r="B238" s="1" t="n">
        <v>7</v>
      </c>
      <c r="C238" s="1" t="n">
        <v>13</v>
      </c>
      <c r="D238" s="1" t="n">
        <v>58196</v>
      </c>
    </row>
    <row r="239" customFormat="false" ht="15" hidden="false" customHeight="true" outlineLevel="0" collapsed="false">
      <c r="A239" s="1" t="n">
        <v>2025</v>
      </c>
      <c r="B239" s="1" t="n">
        <v>7</v>
      </c>
      <c r="C239" s="1" t="n">
        <v>12</v>
      </c>
      <c r="D239" s="1" t="n">
        <v>28130</v>
      </c>
    </row>
    <row r="240" customFormat="false" ht="15" hidden="false" customHeight="true" outlineLevel="0" collapsed="false">
      <c r="A240" s="1" t="n">
        <v>2025</v>
      </c>
      <c r="B240" s="1" t="n">
        <v>7</v>
      </c>
      <c r="C240" s="1" t="n">
        <v>11</v>
      </c>
      <c r="D240" s="1" t="n">
        <v>27674</v>
      </c>
    </row>
    <row r="241" customFormat="false" ht="15" hidden="false" customHeight="true" outlineLevel="0" collapsed="false">
      <c r="A241" s="1" t="n">
        <v>2025</v>
      </c>
      <c r="B241" s="1" t="n">
        <v>7</v>
      </c>
      <c r="C241" s="1" t="n">
        <v>10</v>
      </c>
      <c r="D241" s="1" t="n">
        <v>61913</v>
      </c>
    </row>
    <row r="242" customFormat="false" ht="15" hidden="false" customHeight="true" outlineLevel="0" collapsed="false">
      <c r="A242" s="1" t="n">
        <v>2025</v>
      </c>
      <c r="B242" s="1" t="n">
        <v>7</v>
      </c>
      <c r="C242" s="1" t="n">
        <v>9</v>
      </c>
      <c r="D242" s="1" t="n">
        <v>62457</v>
      </c>
    </row>
    <row r="243" customFormat="false" ht="15" hidden="false" customHeight="true" outlineLevel="0" collapsed="false">
      <c r="A243" s="1" t="n">
        <v>2025</v>
      </c>
      <c r="B243" s="1" t="n">
        <v>7</v>
      </c>
      <c r="C243" s="1" t="n">
        <v>8</v>
      </c>
      <c r="D243" s="1" t="n">
        <v>74793</v>
      </c>
    </row>
    <row r="244" customFormat="false" ht="15" hidden="false" customHeight="true" outlineLevel="0" collapsed="false">
      <c r="A244" s="1" t="n">
        <v>2025</v>
      </c>
      <c r="B244" s="1" t="n">
        <v>7</v>
      </c>
      <c r="C244" s="1" t="n">
        <v>7</v>
      </c>
      <c r="D244" s="1" t="n">
        <v>56184</v>
      </c>
    </row>
    <row r="245" customFormat="false" ht="15" hidden="false" customHeight="true" outlineLevel="0" collapsed="false">
      <c r="A245" s="1" t="n">
        <v>2025</v>
      </c>
      <c r="B245" s="1" t="n">
        <v>7</v>
      </c>
      <c r="C245" s="1" t="n">
        <v>6</v>
      </c>
      <c r="D245" s="1" t="n">
        <v>55975</v>
      </c>
    </row>
    <row r="246" customFormat="false" ht="15" hidden="false" customHeight="true" outlineLevel="0" collapsed="false">
      <c r="A246" s="1" t="n">
        <v>2025</v>
      </c>
      <c r="B246" s="1" t="n">
        <v>7</v>
      </c>
      <c r="C246" s="1" t="n">
        <v>5</v>
      </c>
      <c r="D246" s="1" t="n">
        <v>25543</v>
      </c>
    </row>
    <row r="247" customFormat="false" ht="15" hidden="false" customHeight="true" outlineLevel="0" collapsed="false">
      <c r="A247" s="1" t="n">
        <v>2025</v>
      </c>
      <c r="B247" s="1" t="n">
        <v>7</v>
      </c>
      <c r="C247" s="1" t="n">
        <v>4</v>
      </c>
      <c r="D247" s="1" t="n">
        <v>29894</v>
      </c>
    </row>
    <row r="248" customFormat="false" ht="15" hidden="false" customHeight="true" outlineLevel="0" collapsed="false">
      <c r="A248" s="1" t="n">
        <v>2025</v>
      </c>
      <c r="B248" s="1" t="n">
        <v>7</v>
      </c>
      <c r="C248" s="1" t="n">
        <v>3</v>
      </c>
      <c r="D248" s="1" t="n">
        <v>59603</v>
      </c>
    </row>
    <row r="249" customFormat="false" ht="15" hidden="false" customHeight="true" outlineLevel="0" collapsed="false">
      <c r="A249" s="1" t="n">
        <v>2025</v>
      </c>
      <c r="B249" s="1" t="n">
        <v>7</v>
      </c>
      <c r="C249" s="1" t="n">
        <v>2</v>
      </c>
      <c r="D249" s="1" t="n">
        <v>65103</v>
      </c>
    </row>
    <row r="250" customFormat="false" ht="15" hidden="false" customHeight="true" outlineLevel="0" collapsed="false">
      <c r="A250" s="1" t="n">
        <v>2025</v>
      </c>
      <c r="B250" s="1" t="n">
        <v>7</v>
      </c>
      <c r="C250" s="1" t="n">
        <v>1</v>
      </c>
      <c r="D250" s="1" t="n">
        <v>62663</v>
      </c>
    </row>
    <row r="251" customFormat="false" ht="15" hidden="false" customHeight="true" outlineLevel="0" collapsed="false">
      <c r="A251" s="1" t="n">
        <v>2025</v>
      </c>
      <c r="B251" s="1" t="n">
        <v>7</v>
      </c>
      <c r="C251" s="1" t="s">
        <v>4</v>
      </c>
      <c r="D251" s="1" t="n">
        <v>1673386</v>
      </c>
    </row>
    <row r="252" customFormat="false" ht="15" hidden="false" customHeight="true" outlineLevel="0" collapsed="false">
      <c r="A252" s="1" t="n">
        <v>2025</v>
      </c>
      <c r="B252" s="1" t="n">
        <v>6</v>
      </c>
      <c r="C252" s="1" t="n">
        <v>30</v>
      </c>
      <c r="D252" s="1" t="n">
        <v>62777</v>
      </c>
    </row>
    <row r="253" customFormat="false" ht="15" hidden="false" customHeight="true" outlineLevel="0" collapsed="false">
      <c r="A253" s="1" t="n">
        <v>2025</v>
      </c>
      <c r="B253" s="1" t="n">
        <v>6</v>
      </c>
      <c r="C253" s="1" t="n">
        <v>29</v>
      </c>
      <c r="D253" s="1" t="n">
        <v>59530</v>
      </c>
    </row>
    <row r="254" customFormat="false" ht="15" hidden="false" customHeight="true" outlineLevel="0" collapsed="false">
      <c r="A254" s="1" t="n">
        <v>2025</v>
      </c>
      <c r="B254" s="1" t="n">
        <v>6</v>
      </c>
      <c r="C254" s="1" t="n">
        <v>28</v>
      </c>
      <c r="D254" s="1" t="n">
        <v>31183</v>
      </c>
    </row>
    <row r="255" customFormat="false" ht="15" hidden="false" customHeight="true" outlineLevel="0" collapsed="false">
      <c r="A255" s="1" t="n">
        <v>2025</v>
      </c>
      <c r="B255" s="1" t="n">
        <v>6</v>
      </c>
      <c r="C255" s="1" t="n">
        <v>27</v>
      </c>
      <c r="D255" s="1" t="n">
        <v>28457</v>
      </c>
    </row>
    <row r="256" customFormat="false" ht="15" hidden="false" customHeight="true" outlineLevel="0" collapsed="false">
      <c r="A256" s="1" t="n">
        <v>2025</v>
      </c>
      <c r="B256" s="1" t="n">
        <v>6</v>
      </c>
      <c r="C256" s="1" t="n">
        <v>26</v>
      </c>
      <c r="D256" s="1" t="n">
        <v>64571</v>
      </c>
    </row>
    <row r="257" customFormat="false" ht="15" hidden="false" customHeight="true" outlineLevel="0" collapsed="false">
      <c r="A257" s="1" t="n">
        <v>2025</v>
      </c>
      <c r="B257" s="1" t="n">
        <v>6</v>
      </c>
      <c r="C257" s="1" t="n">
        <v>25</v>
      </c>
      <c r="D257" s="1" t="n">
        <v>64081</v>
      </c>
    </row>
    <row r="258" customFormat="false" ht="15" hidden="false" customHeight="true" outlineLevel="0" collapsed="false">
      <c r="A258" s="1" t="n">
        <v>2025</v>
      </c>
      <c r="B258" s="1" t="n">
        <v>6</v>
      </c>
      <c r="C258" s="1" t="n">
        <v>24</v>
      </c>
      <c r="D258" s="1" t="n">
        <v>62946</v>
      </c>
    </row>
    <row r="259" customFormat="false" ht="15" hidden="false" customHeight="true" outlineLevel="0" collapsed="false">
      <c r="A259" s="1" t="n">
        <v>2025</v>
      </c>
      <c r="B259" s="1" t="n">
        <v>6</v>
      </c>
      <c r="C259" s="1" t="n">
        <v>23</v>
      </c>
      <c r="D259" s="1" t="n">
        <v>63115</v>
      </c>
    </row>
    <row r="260" customFormat="false" ht="15" hidden="false" customHeight="true" outlineLevel="0" collapsed="false">
      <c r="A260" s="1" t="n">
        <v>2025</v>
      </c>
      <c r="B260" s="1" t="n">
        <v>6</v>
      </c>
      <c r="C260" s="1" t="n">
        <v>22</v>
      </c>
      <c r="D260" s="1" t="n">
        <v>58076</v>
      </c>
    </row>
    <row r="261" customFormat="false" ht="15" hidden="false" customHeight="true" outlineLevel="0" collapsed="false">
      <c r="A261" s="1" t="n">
        <v>2025</v>
      </c>
      <c r="B261" s="1" t="n">
        <v>6</v>
      </c>
      <c r="C261" s="1" t="n">
        <v>21</v>
      </c>
      <c r="D261" s="1" t="n">
        <v>30731</v>
      </c>
    </row>
    <row r="262" customFormat="false" ht="15" hidden="false" customHeight="true" outlineLevel="0" collapsed="false">
      <c r="A262" s="1" t="n">
        <v>2025</v>
      </c>
      <c r="B262" s="1" t="n">
        <v>6</v>
      </c>
      <c r="C262" s="1" t="n">
        <v>20</v>
      </c>
      <c r="D262" s="1" t="n">
        <v>29444</v>
      </c>
    </row>
    <row r="263" customFormat="false" ht="15" hidden="false" customHeight="true" outlineLevel="0" collapsed="false">
      <c r="A263" s="1" t="n">
        <v>2025</v>
      </c>
      <c r="B263" s="1" t="n">
        <v>6</v>
      </c>
      <c r="C263" s="1" t="n">
        <v>19</v>
      </c>
      <c r="D263" s="1" t="n">
        <v>63153</v>
      </c>
    </row>
    <row r="264" customFormat="false" ht="15" hidden="false" customHeight="true" outlineLevel="0" collapsed="false">
      <c r="A264" s="1" t="n">
        <v>2025</v>
      </c>
      <c r="B264" s="1" t="n">
        <v>6</v>
      </c>
      <c r="C264" s="1" t="n">
        <v>18</v>
      </c>
      <c r="D264" s="1" t="n">
        <v>65163</v>
      </c>
    </row>
    <row r="265" customFormat="false" ht="15" hidden="false" customHeight="true" outlineLevel="0" collapsed="false">
      <c r="A265" s="1" t="n">
        <v>2025</v>
      </c>
      <c r="B265" s="1" t="n">
        <v>6</v>
      </c>
      <c r="C265" s="1" t="n">
        <v>17</v>
      </c>
      <c r="D265" s="1" t="n">
        <v>70394</v>
      </c>
    </row>
    <row r="266" customFormat="false" ht="15" hidden="false" customHeight="true" outlineLevel="0" collapsed="false">
      <c r="A266" s="1" t="n">
        <v>2025</v>
      </c>
      <c r="B266" s="1" t="n">
        <v>6</v>
      </c>
      <c r="C266" s="1" t="n">
        <v>16</v>
      </c>
      <c r="D266" s="1" t="n">
        <v>61001</v>
      </c>
    </row>
    <row r="267" customFormat="false" ht="15" hidden="false" customHeight="true" outlineLevel="0" collapsed="false">
      <c r="A267" s="1" t="n">
        <v>2025</v>
      </c>
      <c r="B267" s="1" t="n">
        <v>6</v>
      </c>
      <c r="C267" s="1" t="n">
        <v>15</v>
      </c>
      <c r="D267" s="1" t="n">
        <v>56469</v>
      </c>
    </row>
    <row r="268" customFormat="false" ht="15" hidden="false" customHeight="true" outlineLevel="0" collapsed="false">
      <c r="A268" s="1" t="n">
        <v>2025</v>
      </c>
      <c r="B268" s="1" t="n">
        <v>6</v>
      </c>
      <c r="C268" s="1" t="n">
        <v>14</v>
      </c>
      <c r="D268" s="1" t="n">
        <v>33101</v>
      </c>
    </row>
    <row r="269" customFormat="false" ht="15" hidden="false" customHeight="true" outlineLevel="0" collapsed="false">
      <c r="A269" s="1" t="n">
        <v>2025</v>
      </c>
      <c r="B269" s="1" t="n">
        <v>6</v>
      </c>
      <c r="C269" s="1" t="n">
        <v>13</v>
      </c>
      <c r="D269" s="1" t="n">
        <v>32036</v>
      </c>
    </row>
    <row r="270" customFormat="false" ht="15" hidden="false" customHeight="true" outlineLevel="0" collapsed="false">
      <c r="A270" s="1" t="n">
        <v>2025</v>
      </c>
      <c r="B270" s="1" t="n">
        <v>6</v>
      </c>
      <c r="C270" s="1" t="n">
        <v>12</v>
      </c>
      <c r="D270" s="1" t="n">
        <v>61887</v>
      </c>
    </row>
    <row r="271" customFormat="false" ht="15" hidden="false" customHeight="true" outlineLevel="0" collapsed="false">
      <c r="A271" s="1" t="n">
        <v>2025</v>
      </c>
      <c r="B271" s="1" t="n">
        <v>6</v>
      </c>
      <c r="C271" s="1" t="n">
        <v>11</v>
      </c>
      <c r="D271" s="1" t="n">
        <v>69784</v>
      </c>
    </row>
    <row r="272" customFormat="false" ht="15" hidden="false" customHeight="true" outlineLevel="0" collapsed="false">
      <c r="A272" s="1" t="n">
        <v>2025</v>
      </c>
      <c r="B272" s="1" t="n">
        <v>6</v>
      </c>
      <c r="C272" s="1" t="n">
        <v>10</v>
      </c>
      <c r="D272" s="1" t="n">
        <v>66245</v>
      </c>
    </row>
    <row r="273" customFormat="false" ht="15" hidden="false" customHeight="true" outlineLevel="0" collapsed="false">
      <c r="A273" s="1" t="n">
        <v>2025</v>
      </c>
      <c r="B273" s="1" t="n">
        <v>6</v>
      </c>
      <c r="C273" s="1" t="n">
        <v>9</v>
      </c>
      <c r="D273" s="1" t="n">
        <v>67836</v>
      </c>
    </row>
    <row r="274" customFormat="false" ht="15" hidden="false" customHeight="true" outlineLevel="0" collapsed="false">
      <c r="A274" s="1" t="n">
        <v>2025</v>
      </c>
      <c r="B274" s="1" t="n">
        <v>6</v>
      </c>
      <c r="C274" s="1" t="n">
        <v>8</v>
      </c>
      <c r="D274" s="1" t="n">
        <v>59121</v>
      </c>
    </row>
    <row r="275" customFormat="false" ht="15" hidden="false" customHeight="true" outlineLevel="0" collapsed="false">
      <c r="A275" s="1" t="n">
        <v>2025</v>
      </c>
      <c r="B275" s="1" t="n">
        <v>6</v>
      </c>
      <c r="C275" s="1" t="n">
        <v>7</v>
      </c>
      <c r="D275" s="1" t="n">
        <v>32515</v>
      </c>
    </row>
    <row r="276" customFormat="false" ht="15" hidden="false" customHeight="true" outlineLevel="0" collapsed="false">
      <c r="A276" s="1" t="n">
        <v>2025</v>
      </c>
      <c r="B276" s="1" t="n">
        <v>6</v>
      </c>
      <c r="C276" s="1" t="n">
        <v>6</v>
      </c>
      <c r="D276" s="1" t="n">
        <v>35569</v>
      </c>
    </row>
    <row r="277" customFormat="false" ht="15" hidden="false" customHeight="true" outlineLevel="0" collapsed="false">
      <c r="A277" s="1" t="n">
        <v>2025</v>
      </c>
      <c r="B277" s="1" t="n">
        <v>6</v>
      </c>
      <c r="C277" s="1" t="n">
        <v>5</v>
      </c>
      <c r="D277" s="1" t="n">
        <v>71998</v>
      </c>
    </row>
    <row r="278" customFormat="false" ht="15" hidden="false" customHeight="true" outlineLevel="0" collapsed="false">
      <c r="A278" s="1" t="n">
        <v>2025</v>
      </c>
      <c r="B278" s="1" t="n">
        <v>6</v>
      </c>
      <c r="C278" s="1" t="n">
        <v>4</v>
      </c>
      <c r="D278" s="1" t="n">
        <v>68401</v>
      </c>
    </row>
    <row r="279" customFormat="false" ht="15" hidden="false" customHeight="true" outlineLevel="0" collapsed="false">
      <c r="A279" s="1" t="n">
        <v>2025</v>
      </c>
      <c r="B279" s="1" t="n">
        <v>6</v>
      </c>
      <c r="C279" s="1" t="n">
        <v>3</v>
      </c>
      <c r="D279" s="1" t="n">
        <v>69628</v>
      </c>
    </row>
    <row r="280" customFormat="false" ht="15" hidden="false" customHeight="true" outlineLevel="0" collapsed="false">
      <c r="A280" s="1" t="n">
        <v>2025</v>
      </c>
      <c r="B280" s="1" t="n">
        <v>6</v>
      </c>
      <c r="C280" s="1" t="n">
        <v>2</v>
      </c>
      <c r="D280" s="1" t="n">
        <v>69149</v>
      </c>
    </row>
    <row r="281" customFormat="false" ht="15" hidden="false" customHeight="true" outlineLevel="0" collapsed="false">
      <c r="A281" s="1" t="n">
        <v>2025</v>
      </c>
      <c r="B281" s="1" t="n">
        <v>6</v>
      </c>
      <c r="C281" s="1" t="n">
        <v>1</v>
      </c>
      <c r="D281" s="1" t="n">
        <v>57928</v>
      </c>
    </row>
    <row r="282" customFormat="false" ht="15" hidden="false" customHeight="true" outlineLevel="0" collapsed="false">
      <c r="A282" s="1" t="n">
        <v>2025</v>
      </c>
      <c r="B282" s="1" t="n">
        <v>6</v>
      </c>
      <c r="C282" s="1" t="s">
        <v>4</v>
      </c>
      <c r="D282" s="1" t="n">
        <v>1666289</v>
      </c>
    </row>
    <row r="283" customFormat="false" ht="15" hidden="false" customHeight="true" outlineLevel="0" collapsed="false">
      <c r="A283" s="1" t="n">
        <v>2025</v>
      </c>
      <c r="B283" s="1" t="n">
        <v>5</v>
      </c>
      <c r="C283" s="1" t="n">
        <v>31</v>
      </c>
      <c r="D283" s="1" t="n">
        <v>33317</v>
      </c>
    </row>
    <row r="284" customFormat="false" ht="15" hidden="false" customHeight="true" outlineLevel="0" collapsed="false">
      <c r="A284" s="1" t="n">
        <v>2025</v>
      </c>
      <c r="B284" s="1" t="n">
        <v>5</v>
      </c>
      <c r="C284" s="1" t="n">
        <v>30</v>
      </c>
      <c r="D284" s="1" t="n">
        <v>33370</v>
      </c>
    </row>
    <row r="285" customFormat="false" ht="15" hidden="false" customHeight="true" outlineLevel="0" collapsed="false">
      <c r="A285" s="1" t="n">
        <v>2025</v>
      </c>
      <c r="B285" s="1" t="n">
        <v>5</v>
      </c>
      <c r="C285" s="1" t="n">
        <v>29</v>
      </c>
      <c r="D285" s="1" t="n">
        <v>71817</v>
      </c>
    </row>
    <row r="286" customFormat="false" ht="15" hidden="false" customHeight="true" outlineLevel="0" collapsed="false">
      <c r="A286" s="1" t="n">
        <v>2025</v>
      </c>
      <c r="B286" s="1" t="n">
        <v>5</v>
      </c>
      <c r="C286" s="1" t="n">
        <v>28</v>
      </c>
      <c r="D286" s="1" t="n">
        <v>69466</v>
      </c>
    </row>
    <row r="287" customFormat="false" ht="15" hidden="false" customHeight="true" outlineLevel="0" collapsed="false">
      <c r="A287" s="1" t="n">
        <v>2025</v>
      </c>
      <c r="B287" s="1" t="n">
        <v>5</v>
      </c>
      <c r="C287" s="1" t="n">
        <v>27</v>
      </c>
      <c r="D287" s="1" t="n">
        <v>58562</v>
      </c>
    </row>
    <row r="288" customFormat="false" ht="15" hidden="false" customHeight="true" outlineLevel="0" collapsed="false">
      <c r="A288" s="1" t="n">
        <v>2025</v>
      </c>
      <c r="B288" s="1" t="n">
        <v>5</v>
      </c>
      <c r="C288" s="1" t="n">
        <v>26</v>
      </c>
      <c r="D288" s="1" t="n">
        <v>27322</v>
      </c>
    </row>
    <row r="289" customFormat="false" ht="15" hidden="false" customHeight="true" outlineLevel="0" collapsed="false">
      <c r="A289" s="1" t="n">
        <v>2025</v>
      </c>
      <c r="B289" s="1" t="n">
        <v>5</v>
      </c>
      <c r="C289" s="1" t="n">
        <v>25</v>
      </c>
      <c r="D289" s="1" t="n">
        <v>56296</v>
      </c>
    </row>
    <row r="290" customFormat="false" ht="15" hidden="false" customHeight="true" outlineLevel="0" collapsed="false">
      <c r="A290" s="1" t="n">
        <v>2025</v>
      </c>
      <c r="B290" s="1" t="n">
        <v>5</v>
      </c>
      <c r="C290" s="1" t="n">
        <v>24</v>
      </c>
      <c r="D290" s="1" t="n">
        <v>29454</v>
      </c>
    </row>
    <row r="291" customFormat="false" ht="15" hidden="false" customHeight="true" outlineLevel="0" collapsed="false">
      <c r="A291" s="1" t="n">
        <v>2025</v>
      </c>
      <c r="B291" s="1" t="n">
        <v>5</v>
      </c>
      <c r="C291" s="1" t="n">
        <v>23</v>
      </c>
      <c r="D291" s="1" t="n">
        <v>37568</v>
      </c>
    </row>
    <row r="292" customFormat="false" ht="15" hidden="false" customHeight="true" outlineLevel="0" collapsed="false">
      <c r="A292" s="1" t="n">
        <v>2025</v>
      </c>
      <c r="B292" s="1" t="n">
        <v>5</v>
      </c>
      <c r="C292" s="1" t="n">
        <v>22</v>
      </c>
      <c r="D292" s="1" t="n">
        <v>70894</v>
      </c>
    </row>
    <row r="293" customFormat="false" ht="15" hidden="false" customHeight="true" outlineLevel="0" collapsed="false">
      <c r="A293" s="1" t="n">
        <v>2025</v>
      </c>
      <c r="B293" s="1" t="n">
        <v>5</v>
      </c>
      <c r="C293" s="1" t="n">
        <v>21</v>
      </c>
      <c r="D293" s="1" t="n">
        <v>65617</v>
      </c>
    </row>
    <row r="294" customFormat="false" ht="15" hidden="false" customHeight="true" outlineLevel="0" collapsed="false">
      <c r="A294" s="1" t="n">
        <v>2025</v>
      </c>
      <c r="B294" s="1" t="n">
        <v>5</v>
      </c>
      <c r="C294" s="1" t="n">
        <v>20</v>
      </c>
      <c r="D294" s="1" t="n">
        <v>70810</v>
      </c>
    </row>
    <row r="295" customFormat="false" ht="15" hidden="false" customHeight="true" outlineLevel="0" collapsed="false">
      <c r="A295" s="1" t="n">
        <v>2025</v>
      </c>
      <c r="B295" s="1" t="n">
        <v>5</v>
      </c>
      <c r="C295" s="1" t="n">
        <v>19</v>
      </c>
      <c r="D295" s="1" t="n">
        <v>64366</v>
      </c>
    </row>
    <row r="296" customFormat="false" ht="15" hidden="false" customHeight="true" outlineLevel="0" collapsed="false">
      <c r="A296" s="1" t="n">
        <v>2025</v>
      </c>
      <c r="B296" s="1" t="n">
        <v>5</v>
      </c>
      <c r="C296" s="1" t="n">
        <v>18</v>
      </c>
      <c r="D296" s="1" t="n">
        <v>57706</v>
      </c>
    </row>
    <row r="297" customFormat="false" ht="15" hidden="false" customHeight="true" outlineLevel="0" collapsed="false">
      <c r="A297" s="1" t="n">
        <v>2025</v>
      </c>
      <c r="B297" s="1" t="n">
        <v>5</v>
      </c>
      <c r="C297" s="1" t="n">
        <v>17</v>
      </c>
      <c r="D297" s="1" t="n">
        <v>32051</v>
      </c>
    </row>
    <row r="298" customFormat="false" ht="15" hidden="false" customHeight="true" outlineLevel="0" collapsed="false">
      <c r="A298" s="1" t="n">
        <v>2025</v>
      </c>
      <c r="B298" s="1" t="n">
        <v>5</v>
      </c>
      <c r="C298" s="1" t="n">
        <v>16</v>
      </c>
      <c r="D298" s="1" t="n">
        <v>35663</v>
      </c>
    </row>
    <row r="299" customFormat="false" ht="15" hidden="false" customHeight="true" outlineLevel="0" collapsed="false">
      <c r="A299" s="1" t="n">
        <v>2025</v>
      </c>
      <c r="B299" s="1" t="n">
        <v>5</v>
      </c>
      <c r="C299" s="1" t="n">
        <v>15</v>
      </c>
      <c r="D299" s="1" t="n">
        <v>65800</v>
      </c>
    </row>
    <row r="300" customFormat="false" ht="15" hidden="false" customHeight="true" outlineLevel="0" collapsed="false">
      <c r="A300" s="1" t="n">
        <v>2025</v>
      </c>
      <c r="B300" s="1" t="n">
        <v>5</v>
      </c>
      <c r="C300" s="1" t="n">
        <v>14</v>
      </c>
      <c r="D300" s="1" t="n">
        <v>76937</v>
      </c>
    </row>
    <row r="301" customFormat="false" ht="15" hidden="false" customHeight="true" outlineLevel="0" collapsed="false">
      <c r="A301" s="1" t="n">
        <v>2025</v>
      </c>
      <c r="B301" s="1" t="n">
        <v>5</v>
      </c>
      <c r="C301" s="1" t="n">
        <v>13</v>
      </c>
      <c r="D301" s="1" t="n">
        <v>66270</v>
      </c>
    </row>
    <row r="302" customFormat="false" ht="15" hidden="false" customHeight="true" outlineLevel="0" collapsed="false">
      <c r="A302" s="1" t="n">
        <v>2025</v>
      </c>
      <c r="B302" s="1" t="n">
        <v>5</v>
      </c>
      <c r="C302" s="1" t="n">
        <v>12</v>
      </c>
      <c r="D302" s="1" t="n">
        <v>61991</v>
      </c>
    </row>
    <row r="303" customFormat="false" ht="15" hidden="false" customHeight="true" outlineLevel="0" collapsed="false">
      <c r="A303" s="1" t="n">
        <v>2025</v>
      </c>
      <c r="B303" s="1" t="n">
        <v>5</v>
      </c>
      <c r="C303" s="1" t="n">
        <v>11</v>
      </c>
      <c r="D303" s="1" t="n">
        <v>56164</v>
      </c>
    </row>
    <row r="304" customFormat="false" ht="15" hidden="false" customHeight="true" outlineLevel="0" collapsed="false">
      <c r="A304" s="1" t="n">
        <v>2025</v>
      </c>
      <c r="B304" s="1" t="n">
        <v>5</v>
      </c>
      <c r="C304" s="1" t="n">
        <v>10</v>
      </c>
      <c r="D304" s="1" t="n">
        <v>35006</v>
      </c>
    </row>
    <row r="305" customFormat="false" ht="15" hidden="false" customHeight="true" outlineLevel="0" collapsed="false">
      <c r="A305" s="1" t="n">
        <v>2025</v>
      </c>
      <c r="B305" s="1" t="n">
        <v>5</v>
      </c>
      <c r="C305" s="1" t="n">
        <v>9</v>
      </c>
      <c r="D305" s="1" t="n">
        <v>42340</v>
      </c>
    </row>
    <row r="306" customFormat="false" ht="15" hidden="false" customHeight="true" outlineLevel="0" collapsed="false">
      <c r="A306" s="1" t="n">
        <v>2025</v>
      </c>
      <c r="B306" s="1" t="n">
        <v>5</v>
      </c>
      <c r="C306" s="1" t="n">
        <v>8</v>
      </c>
      <c r="D306" s="1" t="n">
        <v>73648</v>
      </c>
    </row>
    <row r="307" customFormat="false" ht="15" hidden="false" customHeight="true" outlineLevel="0" collapsed="false">
      <c r="A307" s="1" t="n">
        <v>2025</v>
      </c>
      <c r="B307" s="1" t="n">
        <v>5</v>
      </c>
      <c r="C307" s="1" t="n">
        <v>7</v>
      </c>
      <c r="D307" s="1" t="n">
        <v>72151</v>
      </c>
    </row>
    <row r="308" customFormat="false" ht="15" hidden="false" customHeight="true" outlineLevel="0" collapsed="false">
      <c r="A308" s="1" t="n">
        <v>2025</v>
      </c>
      <c r="B308" s="1" t="n">
        <v>5</v>
      </c>
      <c r="C308" s="1" t="n">
        <v>6</v>
      </c>
      <c r="D308" s="1" t="n">
        <v>69999</v>
      </c>
    </row>
    <row r="309" customFormat="false" ht="15" hidden="false" customHeight="true" outlineLevel="0" collapsed="false">
      <c r="A309" s="1" t="n">
        <v>2025</v>
      </c>
      <c r="B309" s="1" t="n">
        <v>5</v>
      </c>
      <c r="C309" s="1" t="n">
        <v>5</v>
      </c>
      <c r="D309" s="1" t="n">
        <v>65212</v>
      </c>
    </row>
    <row r="310" customFormat="false" ht="15" hidden="false" customHeight="true" outlineLevel="0" collapsed="false">
      <c r="A310" s="1" t="n">
        <v>2025</v>
      </c>
      <c r="B310" s="1" t="n">
        <v>5</v>
      </c>
      <c r="C310" s="1" t="n">
        <v>4</v>
      </c>
      <c r="D310" s="1" t="n">
        <v>59222</v>
      </c>
    </row>
    <row r="311" customFormat="false" ht="15" hidden="false" customHeight="true" outlineLevel="0" collapsed="false">
      <c r="A311" s="1" t="n">
        <v>2025</v>
      </c>
      <c r="B311" s="1" t="n">
        <v>5</v>
      </c>
      <c r="C311" s="1" t="n">
        <v>3</v>
      </c>
      <c r="D311" s="1" t="n">
        <v>33583</v>
      </c>
    </row>
    <row r="312" customFormat="false" ht="15" hidden="false" customHeight="true" outlineLevel="0" collapsed="false">
      <c r="A312" s="1" t="n">
        <v>2025</v>
      </c>
      <c r="B312" s="1" t="n">
        <v>5</v>
      </c>
      <c r="C312" s="1" t="n">
        <v>2</v>
      </c>
      <c r="D312" s="1" t="n">
        <v>36308</v>
      </c>
    </row>
    <row r="313" customFormat="false" ht="15" hidden="false" customHeight="true" outlineLevel="0" collapsed="false">
      <c r="A313" s="1" t="n">
        <v>2025</v>
      </c>
      <c r="B313" s="1" t="n">
        <v>5</v>
      </c>
      <c r="C313" s="1" t="n">
        <v>1</v>
      </c>
      <c r="D313" s="1" t="n">
        <v>71640</v>
      </c>
    </row>
    <row r="314" customFormat="false" ht="15" hidden="false" customHeight="true" outlineLevel="0" collapsed="false">
      <c r="A314" s="1" t="n">
        <v>2025</v>
      </c>
      <c r="B314" s="1" t="n">
        <v>5</v>
      </c>
      <c r="C314" s="1" t="s">
        <v>4</v>
      </c>
      <c r="D314" s="1" t="n">
        <v>1700550</v>
      </c>
    </row>
    <row r="315" customFormat="false" ht="15" hidden="false" customHeight="true" outlineLevel="0" collapsed="false">
      <c r="A315" s="1" t="n">
        <v>2025</v>
      </c>
      <c r="B315" s="1" t="n">
        <v>4</v>
      </c>
      <c r="C315" s="1" t="n">
        <v>30</v>
      </c>
      <c r="D315" s="1" t="n">
        <v>70751</v>
      </c>
    </row>
    <row r="316" customFormat="false" ht="15" hidden="false" customHeight="true" outlineLevel="0" collapsed="false">
      <c r="A316" s="1" t="n">
        <v>2025</v>
      </c>
      <c r="B316" s="1" t="n">
        <v>4</v>
      </c>
      <c r="C316" s="1" t="n">
        <v>29</v>
      </c>
      <c r="D316" s="1" t="n">
        <v>67761</v>
      </c>
    </row>
    <row r="317" customFormat="false" ht="15" hidden="false" customHeight="true" outlineLevel="0" collapsed="false">
      <c r="A317" s="1" t="n">
        <v>2025</v>
      </c>
      <c r="B317" s="1" t="n">
        <v>4</v>
      </c>
      <c r="C317" s="1" t="n">
        <v>28</v>
      </c>
      <c r="D317" s="1" t="n">
        <v>58191</v>
      </c>
    </row>
    <row r="318" customFormat="false" ht="15" hidden="false" customHeight="true" outlineLevel="0" collapsed="false">
      <c r="A318" s="1" t="n">
        <v>2025</v>
      </c>
      <c r="B318" s="1" t="n">
        <v>4</v>
      </c>
      <c r="C318" s="1" t="n">
        <v>27</v>
      </c>
      <c r="D318" s="1" t="n">
        <v>53345</v>
      </c>
    </row>
    <row r="319" customFormat="false" ht="15" hidden="false" customHeight="true" outlineLevel="0" collapsed="false">
      <c r="A319" s="1" t="n">
        <v>2025</v>
      </c>
      <c r="B319" s="1" t="n">
        <v>4</v>
      </c>
      <c r="C319" s="1" t="n">
        <v>26</v>
      </c>
      <c r="D319" s="1" t="n">
        <v>29570</v>
      </c>
    </row>
    <row r="320" customFormat="false" ht="15" hidden="false" customHeight="true" outlineLevel="0" collapsed="false">
      <c r="A320" s="1" t="n">
        <v>2025</v>
      </c>
      <c r="B320" s="1" t="n">
        <v>4</v>
      </c>
      <c r="C320" s="1" t="n">
        <v>25</v>
      </c>
      <c r="D320" s="1" t="n">
        <v>45519</v>
      </c>
    </row>
    <row r="321" customFormat="false" ht="15" hidden="false" customHeight="true" outlineLevel="0" collapsed="false">
      <c r="A321" s="1" t="n">
        <v>2025</v>
      </c>
      <c r="B321" s="1" t="n">
        <v>4</v>
      </c>
      <c r="C321" s="1" t="n">
        <v>24</v>
      </c>
      <c r="D321" s="1" t="n">
        <v>59947</v>
      </c>
    </row>
    <row r="322" customFormat="false" ht="15" hidden="false" customHeight="true" outlineLevel="0" collapsed="false">
      <c r="A322" s="1" t="n">
        <v>2025</v>
      </c>
      <c r="B322" s="1" t="n">
        <v>4</v>
      </c>
      <c r="C322" s="1" t="n">
        <v>23</v>
      </c>
      <c r="D322" s="1" t="n">
        <v>60042</v>
      </c>
    </row>
    <row r="323" customFormat="false" ht="15" hidden="false" customHeight="true" outlineLevel="0" collapsed="false">
      <c r="A323" s="1" t="n">
        <v>2025</v>
      </c>
      <c r="B323" s="1" t="n">
        <v>4</v>
      </c>
      <c r="C323" s="1" t="n">
        <v>22</v>
      </c>
      <c r="D323" s="1" t="n">
        <v>61367</v>
      </c>
    </row>
    <row r="324" customFormat="false" ht="15" hidden="false" customHeight="true" outlineLevel="0" collapsed="false">
      <c r="A324" s="1" t="n">
        <v>2025</v>
      </c>
      <c r="B324" s="1" t="n">
        <v>4</v>
      </c>
      <c r="C324" s="1" t="n">
        <v>21</v>
      </c>
      <c r="D324" s="1" t="n">
        <v>57026</v>
      </c>
    </row>
    <row r="325" customFormat="false" ht="15" hidden="false" customHeight="true" outlineLevel="0" collapsed="false">
      <c r="A325" s="1" t="n">
        <v>2025</v>
      </c>
      <c r="B325" s="1" t="n">
        <v>4</v>
      </c>
      <c r="C325" s="1" t="n">
        <v>20</v>
      </c>
      <c r="D325" s="1" t="n">
        <v>53580</v>
      </c>
    </row>
    <row r="326" customFormat="false" ht="15" hidden="false" customHeight="true" outlineLevel="0" collapsed="false">
      <c r="A326" s="1" t="n">
        <v>2025</v>
      </c>
      <c r="B326" s="1" t="n">
        <v>4</v>
      </c>
      <c r="C326" s="1" t="n">
        <v>19</v>
      </c>
      <c r="D326" s="1" t="n">
        <v>31093</v>
      </c>
    </row>
    <row r="327" customFormat="false" ht="15" hidden="false" customHeight="true" outlineLevel="0" collapsed="false">
      <c r="A327" s="1" t="n">
        <v>2025</v>
      </c>
      <c r="B327" s="1" t="n">
        <v>4</v>
      </c>
      <c r="C327" s="1" t="n">
        <v>18</v>
      </c>
      <c r="D327" s="1" t="n">
        <v>32994</v>
      </c>
    </row>
    <row r="328" customFormat="false" ht="15" hidden="false" customHeight="true" outlineLevel="0" collapsed="false">
      <c r="A328" s="1" t="n">
        <v>2025</v>
      </c>
      <c r="B328" s="1" t="n">
        <v>4</v>
      </c>
      <c r="C328" s="1" t="n">
        <v>17</v>
      </c>
      <c r="D328" s="1" t="n">
        <v>71211</v>
      </c>
    </row>
    <row r="329" customFormat="false" ht="15" hidden="false" customHeight="true" outlineLevel="0" collapsed="false">
      <c r="A329" s="1" t="n">
        <v>2025</v>
      </c>
      <c r="B329" s="1" t="n">
        <v>4</v>
      </c>
      <c r="C329" s="1" t="n">
        <v>16</v>
      </c>
      <c r="D329" s="1" t="n">
        <v>60987</v>
      </c>
    </row>
    <row r="330" customFormat="false" ht="15" hidden="false" customHeight="true" outlineLevel="0" collapsed="false">
      <c r="A330" s="1" t="n">
        <v>2025</v>
      </c>
      <c r="B330" s="1" t="n">
        <v>4</v>
      </c>
      <c r="C330" s="1" t="n">
        <v>15</v>
      </c>
      <c r="D330" s="1" t="n">
        <v>64017</v>
      </c>
    </row>
    <row r="331" customFormat="false" ht="15" hidden="false" customHeight="true" outlineLevel="0" collapsed="false">
      <c r="A331" s="1" t="n">
        <v>2025</v>
      </c>
      <c r="B331" s="1" t="n">
        <v>4</v>
      </c>
      <c r="C331" s="1" t="n">
        <v>14</v>
      </c>
      <c r="D331" s="1" t="n">
        <v>64677</v>
      </c>
    </row>
    <row r="332" customFormat="false" ht="15" hidden="false" customHeight="true" outlineLevel="0" collapsed="false">
      <c r="A332" s="1" t="n">
        <v>2025</v>
      </c>
      <c r="B332" s="1" t="n">
        <v>4</v>
      </c>
      <c r="C332" s="1" t="n">
        <v>13</v>
      </c>
      <c r="D332" s="1" t="n">
        <v>56459</v>
      </c>
    </row>
    <row r="333" customFormat="false" ht="15" hidden="false" customHeight="true" outlineLevel="0" collapsed="false">
      <c r="A333" s="1" t="n">
        <v>2025</v>
      </c>
      <c r="B333" s="1" t="n">
        <v>4</v>
      </c>
      <c r="C333" s="1" t="n">
        <v>12</v>
      </c>
      <c r="D333" s="1" t="n">
        <v>27006</v>
      </c>
    </row>
    <row r="334" customFormat="false" ht="15" hidden="false" customHeight="true" outlineLevel="0" collapsed="false">
      <c r="A334" s="1" t="n">
        <v>2025</v>
      </c>
      <c r="B334" s="1" t="n">
        <v>4</v>
      </c>
      <c r="C334" s="1" t="n">
        <v>11</v>
      </c>
      <c r="D334" s="1" t="n">
        <v>31875</v>
      </c>
    </row>
    <row r="335" customFormat="false" ht="15" hidden="false" customHeight="true" outlineLevel="0" collapsed="false">
      <c r="A335" s="1" t="n">
        <v>2025</v>
      </c>
      <c r="B335" s="1" t="n">
        <v>4</v>
      </c>
      <c r="C335" s="1" t="n">
        <v>10</v>
      </c>
      <c r="D335" s="1" t="n">
        <v>60385</v>
      </c>
    </row>
    <row r="336" customFormat="false" ht="15" hidden="false" customHeight="true" outlineLevel="0" collapsed="false">
      <c r="A336" s="1" t="n">
        <v>2025</v>
      </c>
      <c r="B336" s="1" t="n">
        <v>4</v>
      </c>
      <c r="C336" s="1" t="n">
        <v>9</v>
      </c>
      <c r="D336" s="1" t="n">
        <v>60302</v>
      </c>
    </row>
    <row r="337" customFormat="false" ht="15" hidden="false" customHeight="true" outlineLevel="0" collapsed="false">
      <c r="A337" s="1" t="n">
        <v>2025</v>
      </c>
      <c r="B337" s="1" t="n">
        <v>4</v>
      </c>
      <c r="C337" s="1" t="n">
        <v>8</v>
      </c>
      <c r="D337" s="1" t="n">
        <v>62613</v>
      </c>
    </row>
    <row r="338" customFormat="false" ht="15" hidden="false" customHeight="true" outlineLevel="0" collapsed="false">
      <c r="A338" s="1" t="n">
        <v>2025</v>
      </c>
      <c r="B338" s="1" t="n">
        <v>4</v>
      </c>
      <c r="C338" s="1" t="n">
        <v>7</v>
      </c>
      <c r="D338" s="1" t="n">
        <v>62572</v>
      </c>
    </row>
    <row r="339" customFormat="false" ht="15" hidden="false" customHeight="true" outlineLevel="0" collapsed="false">
      <c r="A339" s="1" t="n">
        <v>2025</v>
      </c>
      <c r="B339" s="1" t="n">
        <v>4</v>
      </c>
      <c r="C339" s="1" t="n">
        <v>6</v>
      </c>
      <c r="D339" s="1" t="n">
        <v>55544</v>
      </c>
    </row>
    <row r="340" customFormat="false" ht="15" hidden="false" customHeight="true" outlineLevel="0" collapsed="false">
      <c r="A340" s="1" t="n">
        <v>2025</v>
      </c>
      <c r="B340" s="1" t="n">
        <v>4</v>
      </c>
      <c r="C340" s="1" t="n">
        <v>5</v>
      </c>
      <c r="D340" s="1" t="n">
        <v>28261</v>
      </c>
    </row>
    <row r="341" customFormat="false" ht="15" hidden="false" customHeight="true" outlineLevel="0" collapsed="false">
      <c r="A341" s="1" t="n">
        <v>2025</v>
      </c>
      <c r="B341" s="1" t="n">
        <v>4</v>
      </c>
      <c r="C341" s="1" t="n">
        <v>4</v>
      </c>
      <c r="D341" s="1" t="n">
        <v>33178</v>
      </c>
    </row>
    <row r="342" customFormat="false" ht="15" hidden="false" customHeight="true" outlineLevel="0" collapsed="false">
      <c r="A342" s="1" t="n">
        <v>2025</v>
      </c>
      <c r="B342" s="1" t="n">
        <v>4</v>
      </c>
      <c r="C342" s="1" t="n">
        <v>3</v>
      </c>
      <c r="D342" s="1" t="n">
        <v>62220</v>
      </c>
    </row>
    <row r="343" customFormat="false" ht="15" hidden="false" customHeight="true" outlineLevel="0" collapsed="false">
      <c r="A343" s="1" t="n">
        <v>2025</v>
      </c>
      <c r="B343" s="1" t="n">
        <v>4</v>
      </c>
      <c r="C343" s="1" t="n">
        <v>2</v>
      </c>
      <c r="D343" s="1" t="n">
        <v>59912</v>
      </c>
    </row>
    <row r="344" customFormat="false" ht="15" hidden="false" customHeight="true" outlineLevel="0" collapsed="false">
      <c r="A344" s="1" t="n">
        <v>2025</v>
      </c>
      <c r="B344" s="1" t="n">
        <v>4</v>
      </c>
      <c r="C344" s="1" t="n">
        <v>1</v>
      </c>
      <c r="D344" s="1" t="n">
        <v>61632</v>
      </c>
    </row>
    <row r="345" customFormat="false" ht="15" hidden="false" customHeight="true" outlineLevel="0" collapsed="false">
      <c r="A345" s="1" t="n">
        <v>2025</v>
      </c>
      <c r="B345" s="1" t="n">
        <v>4</v>
      </c>
      <c r="C345" s="1" t="s">
        <v>4</v>
      </c>
      <c r="D345" s="1" t="n">
        <v>1604037</v>
      </c>
    </row>
    <row r="346" customFormat="false" ht="15" hidden="false" customHeight="true" outlineLevel="0" collapsed="false">
      <c r="A346" s="1" t="n">
        <v>2025</v>
      </c>
      <c r="B346" s="1" t="n">
        <v>3</v>
      </c>
      <c r="C346" s="1" t="n">
        <v>31</v>
      </c>
      <c r="D346" s="1" t="n">
        <v>59009</v>
      </c>
    </row>
    <row r="347" customFormat="false" ht="15" hidden="false" customHeight="true" outlineLevel="0" collapsed="false">
      <c r="A347" s="1" t="n">
        <v>2025</v>
      </c>
      <c r="B347" s="1" t="n">
        <v>3</v>
      </c>
      <c r="C347" s="1" t="n">
        <v>30</v>
      </c>
      <c r="D347" s="1" t="n">
        <v>51261</v>
      </c>
    </row>
    <row r="348" customFormat="false" ht="15" hidden="false" customHeight="true" outlineLevel="0" collapsed="false">
      <c r="A348" s="1" t="n">
        <v>2025</v>
      </c>
      <c r="B348" s="1" t="n">
        <v>3</v>
      </c>
      <c r="C348" s="1" t="n">
        <v>29</v>
      </c>
      <c r="D348" s="1" t="n">
        <v>31020</v>
      </c>
    </row>
    <row r="349" customFormat="false" ht="15" hidden="false" customHeight="true" outlineLevel="0" collapsed="false">
      <c r="A349" s="1" t="n">
        <v>2025</v>
      </c>
      <c r="B349" s="1" t="n">
        <v>3</v>
      </c>
      <c r="C349" s="1" t="n">
        <v>28</v>
      </c>
      <c r="D349" s="1" t="n">
        <v>33283</v>
      </c>
    </row>
    <row r="350" customFormat="false" ht="15" hidden="false" customHeight="true" outlineLevel="0" collapsed="false">
      <c r="A350" s="1" t="n">
        <v>2025</v>
      </c>
      <c r="B350" s="1" t="n">
        <v>3</v>
      </c>
      <c r="C350" s="1" t="n">
        <v>27</v>
      </c>
      <c r="D350" s="1" t="n">
        <v>55797</v>
      </c>
    </row>
    <row r="351" customFormat="false" ht="15" hidden="false" customHeight="true" outlineLevel="0" collapsed="false">
      <c r="A351" s="1" t="n">
        <v>2025</v>
      </c>
      <c r="B351" s="1" t="n">
        <v>3</v>
      </c>
      <c r="C351" s="1" t="n">
        <v>26</v>
      </c>
      <c r="D351" s="1" t="n">
        <v>54264</v>
      </c>
    </row>
    <row r="352" customFormat="false" ht="15" hidden="false" customHeight="true" outlineLevel="0" collapsed="false">
      <c r="A352" s="1" t="n">
        <v>2025</v>
      </c>
      <c r="B352" s="1" t="n">
        <v>3</v>
      </c>
      <c r="C352" s="1" t="n">
        <v>25</v>
      </c>
      <c r="D352" s="1" t="n">
        <v>64027</v>
      </c>
    </row>
    <row r="353" customFormat="false" ht="15" hidden="false" customHeight="true" outlineLevel="0" collapsed="false">
      <c r="A353" s="1" t="n">
        <v>2025</v>
      </c>
      <c r="B353" s="1" t="n">
        <v>3</v>
      </c>
      <c r="C353" s="1" t="n">
        <v>24</v>
      </c>
      <c r="D353" s="1" t="n">
        <v>61799</v>
      </c>
    </row>
    <row r="354" customFormat="false" ht="15" hidden="false" customHeight="true" outlineLevel="0" collapsed="false">
      <c r="A354" s="1" t="n">
        <v>2025</v>
      </c>
      <c r="B354" s="1" t="n">
        <v>3</v>
      </c>
      <c r="C354" s="1" t="n">
        <v>23</v>
      </c>
      <c r="D354" s="1" t="n">
        <v>45695</v>
      </c>
    </row>
    <row r="355" customFormat="false" ht="15" hidden="false" customHeight="true" outlineLevel="0" collapsed="false">
      <c r="A355" s="1" t="n">
        <v>2025</v>
      </c>
      <c r="B355" s="1" t="n">
        <v>3</v>
      </c>
      <c r="C355" s="1" t="n">
        <v>22</v>
      </c>
      <c r="D355" s="1" t="n">
        <v>29809</v>
      </c>
    </row>
    <row r="356" customFormat="false" ht="15" hidden="false" customHeight="true" outlineLevel="0" collapsed="false">
      <c r="A356" s="1" t="n">
        <v>2025</v>
      </c>
      <c r="B356" s="1" t="n">
        <v>3</v>
      </c>
      <c r="C356" s="1" t="n">
        <v>21</v>
      </c>
      <c r="D356" s="1" t="n">
        <v>35269</v>
      </c>
    </row>
    <row r="357" customFormat="false" ht="15" hidden="false" customHeight="true" outlineLevel="0" collapsed="false">
      <c r="A357" s="1" t="n">
        <v>2025</v>
      </c>
      <c r="B357" s="1" t="n">
        <v>3</v>
      </c>
      <c r="C357" s="1" t="n">
        <v>20</v>
      </c>
      <c r="D357" s="1" t="n">
        <v>57197</v>
      </c>
    </row>
    <row r="358" customFormat="false" ht="15" hidden="false" customHeight="true" outlineLevel="0" collapsed="false">
      <c r="A358" s="1" t="n">
        <v>2025</v>
      </c>
      <c r="B358" s="1" t="n">
        <v>3</v>
      </c>
      <c r="C358" s="1" t="n">
        <v>19</v>
      </c>
      <c r="D358" s="1" t="n">
        <v>60583</v>
      </c>
    </row>
    <row r="359" customFormat="false" ht="15" hidden="false" customHeight="true" outlineLevel="0" collapsed="false">
      <c r="A359" s="1" t="n">
        <v>2025</v>
      </c>
      <c r="B359" s="1" t="n">
        <v>3</v>
      </c>
      <c r="C359" s="1" t="n">
        <v>18</v>
      </c>
      <c r="D359" s="1" t="n">
        <v>62264</v>
      </c>
    </row>
    <row r="360" customFormat="false" ht="15" hidden="false" customHeight="true" outlineLevel="0" collapsed="false">
      <c r="A360" s="1" t="n">
        <v>2025</v>
      </c>
      <c r="B360" s="1" t="n">
        <v>3</v>
      </c>
      <c r="C360" s="1" t="n">
        <v>17</v>
      </c>
      <c r="D360" s="1" t="n">
        <v>61241</v>
      </c>
    </row>
    <row r="361" customFormat="false" ht="15" hidden="false" customHeight="true" outlineLevel="0" collapsed="false">
      <c r="A361" s="1" t="n">
        <v>2025</v>
      </c>
      <c r="B361" s="1" t="n">
        <v>3</v>
      </c>
      <c r="C361" s="1" t="n">
        <v>16</v>
      </c>
      <c r="D361" s="1" t="n">
        <v>53795</v>
      </c>
    </row>
    <row r="362" customFormat="false" ht="15" hidden="false" customHeight="true" outlineLevel="0" collapsed="false">
      <c r="A362" s="1" t="n">
        <v>2025</v>
      </c>
      <c r="B362" s="1" t="n">
        <v>3</v>
      </c>
      <c r="C362" s="1" t="n">
        <v>15</v>
      </c>
      <c r="D362" s="1" t="n">
        <v>30750</v>
      </c>
    </row>
    <row r="363" customFormat="false" ht="15" hidden="false" customHeight="true" outlineLevel="0" collapsed="false">
      <c r="A363" s="1" t="n">
        <v>2025</v>
      </c>
      <c r="B363" s="1" t="n">
        <v>3</v>
      </c>
      <c r="C363" s="1" t="n">
        <v>14</v>
      </c>
      <c r="D363" s="1" t="n">
        <v>27571</v>
      </c>
    </row>
    <row r="364" customFormat="false" ht="15" hidden="false" customHeight="true" outlineLevel="0" collapsed="false">
      <c r="A364" s="1" t="n">
        <v>2025</v>
      </c>
      <c r="B364" s="1" t="n">
        <v>3</v>
      </c>
      <c r="C364" s="1" t="n">
        <v>13</v>
      </c>
      <c r="D364" s="1" t="n">
        <v>58624</v>
      </c>
    </row>
    <row r="365" customFormat="false" ht="15" hidden="false" customHeight="true" outlineLevel="0" collapsed="false">
      <c r="A365" s="1" t="n">
        <v>2025</v>
      </c>
      <c r="B365" s="1" t="n">
        <v>3</v>
      </c>
      <c r="C365" s="1" t="n">
        <v>12</v>
      </c>
      <c r="D365" s="1" t="n">
        <v>61055</v>
      </c>
    </row>
    <row r="366" customFormat="false" ht="15" hidden="false" customHeight="true" outlineLevel="0" collapsed="false">
      <c r="A366" s="1" t="n">
        <v>2025</v>
      </c>
      <c r="B366" s="1" t="n">
        <v>3</v>
      </c>
      <c r="C366" s="1" t="n">
        <v>11</v>
      </c>
      <c r="D366" s="1" t="n">
        <v>62961</v>
      </c>
    </row>
    <row r="367" customFormat="false" ht="15" hidden="false" customHeight="true" outlineLevel="0" collapsed="false">
      <c r="A367" s="1" t="n">
        <v>2025</v>
      </c>
      <c r="B367" s="1" t="n">
        <v>3</v>
      </c>
      <c r="C367" s="1" t="n">
        <v>10</v>
      </c>
      <c r="D367" s="1" t="n">
        <v>62517</v>
      </c>
    </row>
    <row r="368" customFormat="false" ht="15" hidden="false" customHeight="true" outlineLevel="0" collapsed="false">
      <c r="A368" s="1" t="n">
        <v>2025</v>
      </c>
      <c r="B368" s="1" t="n">
        <v>3</v>
      </c>
      <c r="C368" s="1" t="n">
        <v>9</v>
      </c>
      <c r="D368" s="1" t="n">
        <v>54962</v>
      </c>
    </row>
    <row r="369" customFormat="false" ht="15" hidden="false" customHeight="true" outlineLevel="0" collapsed="false">
      <c r="A369" s="1" t="n">
        <v>2025</v>
      </c>
      <c r="B369" s="1" t="n">
        <v>3</v>
      </c>
      <c r="C369" s="1" t="n">
        <v>8</v>
      </c>
      <c r="D369" s="1" t="n">
        <v>29401</v>
      </c>
    </row>
    <row r="370" customFormat="false" ht="15" hidden="false" customHeight="true" outlineLevel="0" collapsed="false">
      <c r="A370" s="1" t="n">
        <v>2025</v>
      </c>
      <c r="B370" s="1" t="n">
        <v>3</v>
      </c>
      <c r="C370" s="1" t="n">
        <v>7</v>
      </c>
      <c r="D370" s="1" t="n">
        <v>35090</v>
      </c>
    </row>
    <row r="371" customFormat="false" ht="15" hidden="false" customHeight="true" outlineLevel="0" collapsed="false">
      <c r="A371" s="1" t="n">
        <v>2025</v>
      </c>
      <c r="B371" s="1" t="n">
        <v>3</v>
      </c>
      <c r="C371" s="1" t="n">
        <v>6</v>
      </c>
      <c r="D371" s="1" t="n">
        <v>60842</v>
      </c>
    </row>
    <row r="372" customFormat="false" ht="15" hidden="false" customHeight="true" outlineLevel="0" collapsed="false">
      <c r="A372" s="1" t="n">
        <v>2025</v>
      </c>
      <c r="B372" s="1" t="n">
        <v>3</v>
      </c>
      <c r="C372" s="1" t="n">
        <v>5</v>
      </c>
      <c r="D372" s="1" t="n">
        <v>60959</v>
      </c>
    </row>
    <row r="373" customFormat="false" ht="15" hidden="false" customHeight="true" outlineLevel="0" collapsed="false">
      <c r="A373" s="1" t="n">
        <v>2025</v>
      </c>
      <c r="B373" s="1" t="n">
        <v>3</v>
      </c>
      <c r="C373" s="1" t="n">
        <v>4</v>
      </c>
      <c r="D373" s="1" t="n">
        <v>61969</v>
      </c>
    </row>
    <row r="374" customFormat="false" ht="15" hidden="false" customHeight="true" outlineLevel="0" collapsed="false">
      <c r="A374" s="1" t="n">
        <v>2025</v>
      </c>
      <c r="B374" s="1" t="n">
        <v>3</v>
      </c>
      <c r="C374" s="1" t="n">
        <v>3</v>
      </c>
      <c r="D374" s="1" t="n">
        <v>63549</v>
      </c>
    </row>
    <row r="375" customFormat="false" ht="15" hidden="false" customHeight="true" outlineLevel="0" collapsed="false">
      <c r="A375" s="1" t="n">
        <v>2025</v>
      </c>
      <c r="B375" s="1" t="n">
        <v>3</v>
      </c>
      <c r="C375" s="1" t="n">
        <v>2</v>
      </c>
      <c r="D375" s="1" t="n">
        <v>54037</v>
      </c>
    </row>
    <row r="376" customFormat="false" ht="15" hidden="false" customHeight="true" outlineLevel="0" collapsed="false">
      <c r="A376" s="1" t="n">
        <v>2025</v>
      </c>
      <c r="B376" s="1" t="n">
        <v>3</v>
      </c>
      <c r="C376" s="1" t="n">
        <v>1</v>
      </c>
      <c r="D376" s="1" t="n">
        <v>23844</v>
      </c>
    </row>
    <row r="377" customFormat="false" ht="15" hidden="false" customHeight="true" outlineLevel="0" collapsed="false">
      <c r="A377" s="1" t="n">
        <v>2025</v>
      </c>
      <c r="B377" s="1" t="n">
        <v>3</v>
      </c>
      <c r="C377" s="1" t="s">
        <v>4</v>
      </c>
      <c r="D377" s="1" t="n">
        <v>1564444</v>
      </c>
    </row>
    <row r="378" customFormat="false" ht="15" hidden="false" customHeight="true" outlineLevel="0" collapsed="false">
      <c r="A378" s="1" t="n">
        <v>2025</v>
      </c>
      <c r="B378" s="1" t="n">
        <v>2</v>
      </c>
      <c r="C378" s="1" t="n">
        <v>28</v>
      </c>
      <c r="D378" s="1" t="n">
        <v>32325</v>
      </c>
    </row>
    <row r="379" customFormat="false" ht="15" hidden="false" customHeight="true" outlineLevel="0" collapsed="false">
      <c r="A379" s="1" t="n">
        <v>2025</v>
      </c>
      <c r="B379" s="1" t="n">
        <v>2</v>
      </c>
      <c r="C379" s="1" t="n">
        <v>27</v>
      </c>
      <c r="D379" s="1" t="n">
        <v>57101</v>
      </c>
    </row>
    <row r="380" customFormat="false" ht="15" hidden="false" customHeight="true" outlineLevel="0" collapsed="false">
      <c r="A380" s="1" t="n">
        <v>2025</v>
      </c>
      <c r="B380" s="1" t="n">
        <v>2</v>
      </c>
      <c r="C380" s="1" t="n">
        <v>26</v>
      </c>
      <c r="D380" s="1" t="n">
        <v>59909</v>
      </c>
    </row>
    <row r="381" customFormat="false" ht="15" hidden="false" customHeight="true" outlineLevel="0" collapsed="false">
      <c r="A381" s="1" t="n">
        <v>2025</v>
      </c>
      <c r="B381" s="1" t="n">
        <v>2</v>
      </c>
      <c r="C381" s="1" t="n">
        <v>25</v>
      </c>
      <c r="D381" s="1" t="n">
        <v>57398</v>
      </c>
    </row>
    <row r="382" customFormat="false" ht="15" hidden="false" customHeight="true" outlineLevel="0" collapsed="false">
      <c r="A382" s="1" t="n">
        <v>2025</v>
      </c>
      <c r="B382" s="1" t="n">
        <v>2</v>
      </c>
      <c r="C382" s="1" t="n">
        <v>24</v>
      </c>
      <c r="D382" s="1" t="n">
        <v>53862</v>
      </c>
    </row>
    <row r="383" customFormat="false" ht="15" hidden="false" customHeight="true" outlineLevel="0" collapsed="false">
      <c r="A383" s="1" t="n">
        <v>2025</v>
      </c>
      <c r="B383" s="1" t="n">
        <v>2</v>
      </c>
      <c r="C383" s="1" t="n">
        <v>23</v>
      </c>
      <c r="D383" s="1" t="n">
        <v>52437</v>
      </c>
    </row>
    <row r="384" customFormat="false" ht="15" hidden="false" customHeight="true" outlineLevel="0" collapsed="false">
      <c r="A384" s="1" t="n">
        <v>2025</v>
      </c>
      <c r="B384" s="1" t="n">
        <v>2</v>
      </c>
      <c r="C384" s="1" t="n">
        <v>22</v>
      </c>
      <c r="D384" s="1" t="n">
        <v>29309</v>
      </c>
    </row>
    <row r="385" customFormat="false" ht="15" hidden="false" customHeight="true" outlineLevel="0" collapsed="false">
      <c r="A385" s="1" t="n">
        <v>2025</v>
      </c>
      <c r="B385" s="1" t="n">
        <v>2</v>
      </c>
      <c r="C385" s="1" t="n">
        <v>21</v>
      </c>
      <c r="D385" s="1" t="n">
        <v>29966</v>
      </c>
    </row>
    <row r="386" customFormat="false" ht="15" hidden="false" customHeight="true" outlineLevel="0" collapsed="false">
      <c r="A386" s="1" t="n">
        <v>2025</v>
      </c>
      <c r="B386" s="1" t="n">
        <v>2</v>
      </c>
      <c r="C386" s="1" t="n">
        <v>20</v>
      </c>
      <c r="D386" s="1" t="n">
        <v>60466</v>
      </c>
    </row>
    <row r="387" customFormat="false" ht="15" hidden="false" customHeight="true" outlineLevel="0" collapsed="false">
      <c r="A387" s="1" t="n">
        <v>2025</v>
      </c>
      <c r="B387" s="1" t="n">
        <v>2</v>
      </c>
      <c r="C387" s="1" t="n">
        <v>19</v>
      </c>
      <c r="D387" s="1" t="n">
        <v>67350</v>
      </c>
    </row>
    <row r="388" customFormat="false" ht="15" hidden="false" customHeight="true" outlineLevel="0" collapsed="false">
      <c r="A388" s="1" t="n">
        <v>2025</v>
      </c>
      <c r="B388" s="1" t="n">
        <v>2</v>
      </c>
      <c r="C388" s="1" t="n">
        <v>18</v>
      </c>
      <c r="D388" s="1" t="n">
        <v>70131</v>
      </c>
    </row>
    <row r="389" customFormat="false" ht="15" hidden="false" customHeight="true" outlineLevel="0" collapsed="false">
      <c r="A389" s="1" t="n">
        <v>2025</v>
      </c>
      <c r="B389" s="1" t="n">
        <v>2</v>
      </c>
      <c r="C389" s="1" t="n">
        <v>17</v>
      </c>
      <c r="D389" s="1" t="n">
        <v>63612</v>
      </c>
    </row>
    <row r="390" customFormat="false" ht="15" hidden="false" customHeight="true" outlineLevel="0" collapsed="false">
      <c r="A390" s="1" t="n">
        <v>2025</v>
      </c>
      <c r="B390" s="1" t="n">
        <v>2</v>
      </c>
      <c r="C390" s="1" t="n">
        <v>16</v>
      </c>
      <c r="D390" s="1" t="n">
        <v>61131</v>
      </c>
    </row>
    <row r="391" customFormat="false" ht="15" hidden="false" customHeight="true" outlineLevel="0" collapsed="false">
      <c r="A391" s="1" t="n">
        <v>2025</v>
      </c>
      <c r="B391" s="1" t="n">
        <v>2</v>
      </c>
      <c r="C391" s="1" t="n">
        <v>15</v>
      </c>
      <c r="D391" s="1" t="n">
        <v>32572</v>
      </c>
    </row>
    <row r="392" customFormat="false" ht="15" hidden="false" customHeight="true" outlineLevel="0" collapsed="false">
      <c r="A392" s="1" t="n">
        <v>2025</v>
      </c>
      <c r="B392" s="1" t="n">
        <v>2</v>
      </c>
      <c r="C392" s="1" t="n">
        <v>14</v>
      </c>
      <c r="D392" s="1" t="n">
        <v>30521</v>
      </c>
    </row>
    <row r="393" customFormat="false" ht="15" hidden="false" customHeight="true" outlineLevel="0" collapsed="false">
      <c r="A393" s="1" t="n">
        <v>2025</v>
      </c>
      <c r="B393" s="1" t="n">
        <v>2</v>
      </c>
      <c r="C393" s="1" t="n">
        <v>13</v>
      </c>
      <c r="D393" s="1" t="n">
        <v>78244</v>
      </c>
    </row>
    <row r="394" customFormat="false" ht="15" hidden="false" customHeight="true" outlineLevel="0" collapsed="false">
      <c r="A394" s="1" t="n">
        <v>2025</v>
      </c>
      <c r="B394" s="1" t="n">
        <v>2</v>
      </c>
      <c r="C394" s="1" t="n">
        <v>12</v>
      </c>
      <c r="D394" s="1" t="n">
        <v>63866</v>
      </c>
    </row>
    <row r="395" customFormat="false" ht="15" hidden="false" customHeight="true" outlineLevel="0" collapsed="false">
      <c r="A395" s="1" t="n">
        <v>2025</v>
      </c>
      <c r="B395" s="1" t="n">
        <v>2</v>
      </c>
      <c r="C395" s="1" t="n">
        <v>11</v>
      </c>
      <c r="D395" s="1" t="n">
        <v>65962</v>
      </c>
    </row>
    <row r="396" customFormat="false" ht="15" hidden="false" customHeight="true" outlineLevel="0" collapsed="false">
      <c r="A396" s="1" t="n">
        <v>2025</v>
      </c>
      <c r="B396" s="1" t="n">
        <v>2</v>
      </c>
      <c r="C396" s="1" t="n">
        <v>10</v>
      </c>
      <c r="D396" s="1" t="n">
        <v>62524</v>
      </c>
    </row>
    <row r="397" customFormat="false" ht="15" hidden="false" customHeight="true" outlineLevel="0" collapsed="false">
      <c r="A397" s="1" t="n">
        <v>2025</v>
      </c>
      <c r="B397" s="1" t="n">
        <v>2</v>
      </c>
      <c r="C397" s="1" t="n">
        <v>9</v>
      </c>
      <c r="D397" s="1" t="n">
        <v>57952</v>
      </c>
    </row>
    <row r="398" customFormat="false" ht="15" hidden="false" customHeight="true" outlineLevel="0" collapsed="false">
      <c r="A398" s="1" t="n">
        <v>2025</v>
      </c>
      <c r="B398" s="1" t="n">
        <v>2</v>
      </c>
      <c r="C398" s="1" t="n">
        <v>8</v>
      </c>
      <c r="D398" s="1" t="n">
        <v>32805</v>
      </c>
    </row>
    <row r="399" customFormat="false" ht="15" hidden="false" customHeight="true" outlineLevel="0" collapsed="false">
      <c r="A399" s="1" t="n">
        <v>2025</v>
      </c>
      <c r="B399" s="1" t="n">
        <v>2</v>
      </c>
      <c r="C399" s="1" t="n">
        <v>7</v>
      </c>
      <c r="D399" s="1" t="n">
        <v>28295</v>
      </c>
    </row>
    <row r="400" customFormat="false" ht="15" hidden="false" customHeight="true" outlineLevel="0" collapsed="false">
      <c r="A400" s="1" t="n">
        <v>2025</v>
      </c>
      <c r="B400" s="1" t="n">
        <v>2</v>
      </c>
      <c r="C400" s="1" t="n">
        <v>6</v>
      </c>
      <c r="D400" s="1" t="n">
        <v>76775</v>
      </c>
    </row>
    <row r="401" customFormat="false" ht="15" hidden="false" customHeight="true" outlineLevel="0" collapsed="false">
      <c r="A401" s="1" t="n">
        <v>2025</v>
      </c>
      <c r="B401" s="1" t="n">
        <v>2</v>
      </c>
      <c r="C401" s="1" t="n">
        <v>5</v>
      </c>
      <c r="D401" s="1" t="n">
        <v>64018</v>
      </c>
    </row>
    <row r="402" customFormat="false" ht="15" hidden="false" customHeight="true" outlineLevel="0" collapsed="false">
      <c r="A402" s="1" t="n">
        <v>2025</v>
      </c>
      <c r="B402" s="1" t="n">
        <v>2</v>
      </c>
      <c r="C402" s="1" t="n">
        <v>4</v>
      </c>
      <c r="D402" s="1" t="n">
        <v>59110</v>
      </c>
    </row>
    <row r="403" customFormat="false" ht="15" hidden="false" customHeight="true" outlineLevel="0" collapsed="false">
      <c r="A403" s="1" t="n">
        <v>2025</v>
      </c>
      <c r="B403" s="1" t="n">
        <v>2</v>
      </c>
      <c r="C403" s="1" t="n">
        <v>3</v>
      </c>
      <c r="D403" s="1" t="n">
        <v>62832</v>
      </c>
    </row>
    <row r="404" customFormat="false" ht="15" hidden="false" customHeight="true" outlineLevel="0" collapsed="false">
      <c r="A404" s="1" t="n">
        <v>2025</v>
      </c>
      <c r="B404" s="1" t="n">
        <v>2</v>
      </c>
      <c r="C404" s="1" t="n">
        <v>2</v>
      </c>
      <c r="D404" s="1" t="n">
        <v>58173</v>
      </c>
    </row>
    <row r="405" customFormat="false" ht="15" hidden="false" customHeight="true" outlineLevel="0" collapsed="false">
      <c r="A405" s="1" t="n">
        <v>2025</v>
      </c>
      <c r="B405" s="1" t="n">
        <v>2</v>
      </c>
      <c r="C405" s="1" t="n">
        <v>1</v>
      </c>
      <c r="D405" s="1" t="n">
        <v>30287</v>
      </c>
    </row>
    <row r="406" customFormat="false" ht="15" hidden="false" customHeight="true" outlineLevel="0" collapsed="false">
      <c r="A406" s="1" t="n">
        <v>2025</v>
      </c>
      <c r="B406" s="1" t="n">
        <v>2</v>
      </c>
      <c r="C406" s="1" t="s">
        <v>4</v>
      </c>
      <c r="D406" s="1" t="n">
        <v>1498933</v>
      </c>
    </row>
    <row r="407" customFormat="false" ht="15" hidden="false" customHeight="true" outlineLevel="0" collapsed="false">
      <c r="A407" s="1" t="n">
        <v>2025</v>
      </c>
      <c r="B407" s="1" t="n">
        <v>1</v>
      </c>
      <c r="C407" s="1" t="n">
        <v>31</v>
      </c>
      <c r="D407" s="1" t="n">
        <v>35585</v>
      </c>
    </row>
    <row r="408" customFormat="false" ht="15" hidden="false" customHeight="true" outlineLevel="0" collapsed="false">
      <c r="A408" s="1" t="n">
        <v>2025</v>
      </c>
      <c r="B408" s="1" t="n">
        <v>1</v>
      </c>
      <c r="C408" s="1" t="n">
        <v>30</v>
      </c>
      <c r="D408" s="1" t="n">
        <v>69626</v>
      </c>
    </row>
    <row r="409" customFormat="false" ht="15" hidden="false" customHeight="true" outlineLevel="0" collapsed="false">
      <c r="A409" s="1" t="n">
        <v>2025</v>
      </c>
      <c r="B409" s="1" t="n">
        <v>1</v>
      </c>
      <c r="C409" s="1" t="n">
        <v>29</v>
      </c>
      <c r="D409" s="1" t="n">
        <v>70881</v>
      </c>
    </row>
    <row r="410" customFormat="false" ht="15" hidden="false" customHeight="true" outlineLevel="0" collapsed="false">
      <c r="A410" s="1" t="n">
        <v>2025</v>
      </c>
      <c r="B410" s="1" t="n">
        <v>1</v>
      </c>
      <c r="C410" s="1" t="n">
        <v>28</v>
      </c>
      <c r="D410" s="1" t="n">
        <v>62128</v>
      </c>
    </row>
    <row r="411" customFormat="false" ht="15" hidden="false" customHeight="true" outlineLevel="0" collapsed="false">
      <c r="A411" s="1" t="n">
        <v>2025</v>
      </c>
      <c r="B411" s="1" t="n">
        <v>1</v>
      </c>
      <c r="C411" s="1" t="n">
        <v>27</v>
      </c>
      <c r="D411" s="1" t="n">
        <v>52788</v>
      </c>
    </row>
    <row r="412" customFormat="false" ht="15" hidden="false" customHeight="true" outlineLevel="0" collapsed="false">
      <c r="A412" s="1" t="n">
        <v>2025</v>
      </c>
      <c r="B412" s="1" t="n">
        <v>1</v>
      </c>
      <c r="C412" s="1" t="n">
        <v>26</v>
      </c>
      <c r="D412" s="1" t="n">
        <v>54542</v>
      </c>
    </row>
    <row r="413" customFormat="false" ht="15" hidden="false" customHeight="true" outlineLevel="0" collapsed="false">
      <c r="A413" s="1" t="n">
        <v>2025</v>
      </c>
      <c r="B413" s="1" t="n">
        <v>1</v>
      </c>
      <c r="C413" s="1" t="n">
        <v>25</v>
      </c>
      <c r="D413" s="1" t="n">
        <v>22755</v>
      </c>
    </row>
    <row r="414" customFormat="false" ht="15" hidden="false" customHeight="true" outlineLevel="0" collapsed="false">
      <c r="A414" s="1" t="n">
        <v>2025</v>
      </c>
      <c r="B414" s="1" t="n">
        <v>1</v>
      </c>
      <c r="C414" s="1" t="n">
        <v>24</v>
      </c>
      <c r="D414" s="1" t="n">
        <v>26472</v>
      </c>
    </row>
    <row r="415" customFormat="false" ht="15" hidden="false" customHeight="true" outlineLevel="0" collapsed="false">
      <c r="A415" s="1" t="n">
        <v>2025</v>
      </c>
      <c r="B415" s="1" t="n">
        <v>1</v>
      </c>
      <c r="C415" s="1" t="n">
        <v>23</v>
      </c>
      <c r="D415" s="1" t="n">
        <v>44335</v>
      </c>
    </row>
    <row r="416" customFormat="false" ht="15" hidden="false" customHeight="true" outlineLevel="0" collapsed="false">
      <c r="A416" s="1" t="n">
        <v>2025</v>
      </c>
      <c r="B416" s="1" t="n">
        <v>1</v>
      </c>
      <c r="C416" s="1" t="n">
        <v>22</v>
      </c>
      <c r="D416" s="1" t="n">
        <v>55671</v>
      </c>
    </row>
    <row r="417" customFormat="false" ht="15" hidden="false" customHeight="true" outlineLevel="0" collapsed="false">
      <c r="A417" s="1" t="n">
        <v>2025</v>
      </c>
      <c r="B417" s="1" t="n">
        <v>1</v>
      </c>
      <c r="C417" s="1" t="n">
        <v>21</v>
      </c>
      <c r="D417" s="1" t="n">
        <v>50501</v>
      </c>
    </row>
    <row r="418" customFormat="false" ht="15" hidden="false" customHeight="true" outlineLevel="0" collapsed="false">
      <c r="A418" s="1" t="n">
        <v>2025</v>
      </c>
      <c r="B418" s="1" t="n">
        <v>1</v>
      </c>
      <c r="C418" s="1" t="n">
        <v>20</v>
      </c>
      <c r="D418" s="1" t="n">
        <v>53604</v>
      </c>
    </row>
    <row r="419" customFormat="false" ht="15" hidden="false" customHeight="true" outlineLevel="0" collapsed="false">
      <c r="A419" s="1" t="n">
        <v>2025</v>
      </c>
      <c r="B419" s="1" t="n">
        <v>1</v>
      </c>
      <c r="C419" s="1" t="n">
        <v>19</v>
      </c>
      <c r="D419" s="1" t="n">
        <v>47790</v>
      </c>
    </row>
    <row r="420" customFormat="false" ht="15" hidden="false" customHeight="true" outlineLevel="0" collapsed="false">
      <c r="A420" s="1" t="n">
        <v>2025</v>
      </c>
      <c r="B420" s="1" t="n">
        <v>1</v>
      </c>
      <c r="C420" s="1" t="n">
        <v>18</v>
      </c>
      <c r="D420" s="1" t="n">
        <v>27199</v>
      </c>
    </row>
    <row r="421" customFormat="false" ht="15" hidden="false" customHeight="true" outlineLevel="0" collapsed="false">
      <c r="A421" s="1" t="n">
        <v>2025</v>
      </c>
      <c r="B421" s="1" t="n">
        <v>1</v>
      </c>
      <c r="C421" s="1" t="n">
        <v>17</v>
      </c>
      <c r="D421" s="1" t="n">
        <v>47326</v>
      </c>
    </row>
    <row r="422" customFormat="false" ht="15" hidden="false" customHeight="true" outlineLevel="0" collapsed="false">
      <c r="A422" s="1" t="n">
        <v>2025</v>
      </c>
      <c r="B422" s="1" t="n">
        <v>1</v>
      </c>
      <c r="C422" s="1" t="n">
        <v>16</v>
      </c>
      <c r="D422" s="1" t="n">
        <v>57616</v>
      </c>
    </row>
    <row r="423" customFormat="false" ht="15" hidden="false" customHeight="true" outlineLevel="0" collapsed="false">
      <c r="A423" s="1" t="n">
        <v>2025</v>
      </c>
      <c r="B423" s="1" t="n">
        <v>1</v>
      </c>
      <c r="C423" s="1" t="n">
        <v>15</v>
      </c>
      <c r="D423" s="1" t="n">
        <v>55761</v>
      </c>
    </row>
    <row r="424" customFormat="false" ht="15" hidden="false" customHeight="true" outlineLevel="0" collapsed="false">
      <c r="A424" s="1" t="n">
        <v>2025</v>
      </c>
      <c r="B424" s="1" t="n">
        <v>1</v>
      </c>
      <c r="C424" s="1" t="n">
        <v>14</v>
      </c>
      <c r="D424" s="1" t="n">
        <v>57080</v>
      </c>
    </row>
    <row r="425" customFormat="false" ht="15" hidden="false" customHeight="true" outlineLevel="0" collapsed="false">
      <c r="A425" s="1" t="n">
        <v>2025</v>
      </c>
      <c r="B425" s="1" t="n">
        <v>1</v>
      </c>
      <c r="C425" s="1" t="n">
        <v>13</v>
      </c>
      <c r="D425" s="1" t="n">
        <v>60379</v>
      </c>
    </row>
    <row r="426" customFormat="false" ht="15" hidden="false" customHeight="true" outlineLevel="0" collapsed="false">
      <c r="A426" s="1" t="n">
        <v>2025</v>
      </c>
      <c r="B426" s="1" t="n">
        <v>1</v>
      </c>
      <c r="C426" s="1" t="n">
        <v>12</v>
      </c>
      <c r="D426" s="1" t="n">
        <v>52918</v>
      </c>
    </row>
    <row r="427" customFormat="false" ht="15" hidden="false" customHeight="true" outlineLevel="0" collapsed="false">
      <c r="A427" s="1" t="n">
        <v>2025</v>
      </c>
      <c r="B427" s="1" t="n">
        <v>1</v>
      </c>
      <c r="C427" s="1" t="n">
        <v>11</v>
      </c>
      <c r="D427" s="1" t="n">
        <v>23105</v>
      </c>
    </row>
    <row r="428" customFormat="false" ht="15" hidden="false" customHeight="true" outlineLevel="0" collapsed="false">
      <c r="A428" s="1" t="n">
        <v>2025</v>
      </c>
      <c r="B428" s="1" t="n">
        <v>1</v>
      </c>
      <c r="C428" s="1" t="n">
        <v>10</v>
      </c>
      <c r="D428" s="1" t="n">
        <v>46583</v>
      </c>
    </row>
    <row r="429" customFormat="false" ht="15" hidden="false" customHeight="true" outlineLevel="0" collapsed="false">
      <c r="A429" s="1" t="n">
        <v>2025</v>
      </c>
      <c r="B429" s="1" t="n">
        <v>1</v>
      </c>
      <c r="C429" s="1" t="n">
        <v>9</v>
      </c>
      <c r="D429" s="1" t="n">
        <v>59590</v>
      </c>
    </row>
    <row r="430" customFormat="false" ht="15" hidden="false" customHeight="true" outlineLevel="0" collapsed="false">
      <c r="A430" s="1" t="n">
        <v>2025</v>
      </c>
      <c r="B430" s="1" t="n">
        <v>1</v>
      </c>
      <c r="C430" s="1" t="n">
        <v>8</v>
      </c>
      <c r="D430" s="1" t="n">
        <v>59831</v>
      </c>
    </row>
    <row r="431" customFormat="false" ht="15" hidden="false" customHeight="true" outlineLevel="0" collapsed="false">
      <c r="A431" s="1" t="n">
        <v>2025</v>
      </c>
      <c r="B431" s="1" t="n">
        <v>1</v>
      </c>
      <c r="C431" s="1" t="n">
        <v>7</v>
      </c>
      <c r="D431" s="1" t="n">
        <v>57370</v>
      </c>
    </row>
    <row r="432" customFormat="false" ht="15" hidden="false" customHeight="true" outlineLevel="0" collapsed="false">
      <c r="A432" s="1" t="n">
        <v>2025</v>
      </c>
      <c r="B432" s="1" t="n">
        <v>1</v>
      </c>
      <c r="C432" s="1" t="n">
        <v>6</v>
      </c>
      <c r="D432" s="1" t="n">
        <v>58305</v>
      </c>
    </row>
    <row r="433" customFormat="false" ht="15" hidden="false" customHeight="true" outlineLevel="0" collapsed="false">
      <c r="A433" s="1" t="n">
        <v>2025</v>
      </c>
      <c r="B433" s="1" t="n">
        <v>1</v>
      </c>
      <c r="C433" s="1" t="n">
        <v>5</v>
      </c>
      <c r="D433" s="1" t="n">
        <v>51596</v>
      </c>
    </row>
    <row r="434" customFormat="false" ht="15" hidden="false" customHeight="true" outlineLevel="0" collapsed="false">
      <c r="A434" s="1" t="n">
        <v>2025</v>
      </c>
      <c r="B434" s="1" t="n">
        <v>1</v>
      </c>
      <c r="C434" s="1" t="n">
        <v>4</v>
      </c>
      <c r="D434" s="1" t="n">
        <v>27520</v>
      </c>
    </row>
    <row r="435" customFormat="false" ht="15" hidden="false" customHeight="true" outlineLevel="0" collapsed="false">
      <c r="A435" s="1" t="n">
        <v>2025</v>
      </c>
      <c r="B435" s="1" t="n">
        <v>1</v>
      </c>
      <c r="C435" s="1" t="n">
        <v>3</v>
      </c>
      <c r="D435" s="1" t="n">
        <v>45750</v>
      </c>
    </row>
    <row r="436" customFormat="false" ht="15" hidden="false" customHeight="true" outlineLevel="0" collapsed="false">
      <c r="A436" s="1" t="n">
        <v>2025</v>
      </c>
      <c r="B436" s="1" t="n">
        <v>1</v>
      </c>
      <c r="C436" s="1" t="n">
        <v>2</v>
      </c>
      <c r="D436" s="1" t="n">
        <v>56348</v>
      </c>
    </row>
    <row r="437" customFormat="false" ht="15" hidden="false" customHeight="true" outlineLevel="0" collapsed="false">
      <c r="A437" s="1" t="n">
        <v>2025</v>
      </c>
      <c r="B437" s="1" t="n">
        <v>1</v>
      </c>
      <c r="C437" s="1" t="n">
        <v>1</v>
      </c>
      <c r="D437" s="1" t="n">
        <v>27226</v>
      </c>
    </row>
    <row r="438" customFormat="false" ht="15" hidden="false" customHeight="true" outlineLevel="0" collapsed="false">
      <c r="A438" s="1" t="n">
        <v>2025</v>
      </c>
      <c r="B438" s="1" t="n">
        <v>1</v>
      </c>
      <c r="C438" s="1" t="s">
        <v>4</v>
      </c>
      <c r="D438" s="1" t="n">
        <v>1518181</v>
      </c>
    </row>
    <row r="439" customFormat="false" ht="15" hidden="false" customHeight="true" outlineLevel="0" collapsed="false">
      <c r="A439" s="1" t="n">
        <v>2025</v>
      </c>
      <c r="B439" s="1" t="s">
        <v>4</v>
      </c>
      <c r="C439" s="1" t="s">
        <v>4</v>
      </c>
      <c r="D439" s="1" t="n">
        <v>19815903</v>
      </c>
    </row>
    <row r="440" customFormat="false" ht="15" hidden="false" customHeight="true" outlineLevel="0" collapsed="false">
      <c r="A440" s="1" t="n">
        <v>2024</v>
      </c>
      <c r="B440" s="1" t="n">
        <v>12</v>
      </c>
      <c r="C440" s="1" t="n">
        <v>31</v>
      </c>
      <c r="D440" s="1" t="n">
        <v>22184</v>
      </c>
    </row>
    <row r="441" customFormat="false" ht="15" hidden="false" customHeight="true" outlineLevel="0" collapsed="false">
      <c r="A441" s="1" t="n">
        <v>2024</v>
      </c>
      <c r="B441" s="1" t="n">
        <v>12</v>
      </c>
      <c r="C441" s="1" t="n">
        <v>30</v>
      </c>
      <c r="D441" s="1" t="n">
        <v>55097</v>
      </c>
    </row>
    <row r="442" customFormat="false" ht="15" hidden="false" customHeight="true" outlineLevel="0" collapsed="false">
      <c r="A442" s="1" t="n">
        <v>2024</v>
      </c>
      <c r="B442" s="1" t="n">
        <v>12</v>
      </c>
      <c r="C442" s="1" t="n">
        <v>29</v>
      </c>
      <c r="D442" s="1" t="n">
        <v>43797</v>
      </c>
    </row>
    <row r="443" customFormat="false" ht="15" hidden="false" customHeight="true" outlineLevel="0" collapsed="false">
      <c r="A443" s="1" t="n">
        <v>2024</v>
      </c>
      <c r="B443" s="1" t="n">
        <v>12</v>
      </c>
      <c r="C443" s="1" t="n">
        <v>28</v>
      </c>
      <c r="D443" s="1" t="n">
        <v>21421</v>
      </c>
    </row>
    <row r="444" customFormat="false" ht="15" hidden="false" customHeight="true" outlineLevel="0" collapsed="false">
      <c r="A444" s="1" t="n">
        <v>2024</v>
      </c>
      <c r="B444" s="1" t="n">
        <v>12</v>
      </c>
      <c r="C444" s="1" t="n">
        <v>27</v>
      </c>
      <c r="D444" s="1" t="n">
        <v>43370</v>
      </c>
    </row>
    <row r="445" customFormat="false" ht="15" hidden="false" customHeight="true" outlineLevel="0" collapsed="false">
      <c r="A445" s="1" t="n">
        <v>2024</v>
      </c>
      <c r="B445" s="1" t="n">
        <v>12</v>
      </c>
      <c r="C445" s="1" t="n">
        <v>26</v>
      </c>
      <c r="D445" s="1" t="n">
        <v>53042</v>
      </c>
    </row>
    <row r="446" customFormat="false" ht="15" hidden="false" customHeight="true" outlineLevel="0" collapsed="false">
      <c r="A446" s="1" t="n">
        <v>2024</v>
      </c>
      <c r="B446" s="1" t="n">
        <v>12</v>
      </c>
      <c r="C446" s="1" t="n">
        <v>25</v>
      </c>
      <c r="D446" s="1" t="n">
        <v>22091</v>
      </c>
    </row>
    <row r="447" customFormat="false" ht="15" hidden="false" customHeight="true" outlineLevel="0" collapsed="false">
      <c r="A447" s="1" t="n">
        <v>2024</v>
      </c>
      <c r="B447" s="1" t="n">
        <v>12</v>
      </c>
      <c r="C447" s="1" t="n">
        <v>24</v>
      </c>
      <c r="D447" s="1" t="n">
        <v>14258</v>
      </c>
    </row>
    <row r="448" customFormat="false" ht="15" hidden="false" customHeight="true" outlineLevel="0" collapsed="false">
      <c r="A448" s="1" t="n">
        <v>2024</v>
      </c>
      <c r="B448" s="1" t="n">
        <v>12</v>
      </c>
      <c r="C448" s="1" t="n">
        <v>23</v>
      </c>
      <c r="D448" s="1" t="n">
        <v>48350</v>
      </c>
    </row>
    <row r="449" customFormat="false" ht="15" hidden="false" customHeight="true" outlineLevel="0" collapsed="false">
      <c r="A449" s="1" t="n">
        <v>2024</v>
      </c>
      <c r="B449" s="1" t="n">
        <v>12</v>
      </c>
      <c r="C449" s="1" t="n">
        <v>22</v>
      </c>
      <c r="D449" s="1" t="n">
        <v>40690</v>
      </c>
    </row>
    <row r="450" customFormat="false" ht="15" hidden="false" customHeight="true" outlineLevel="0" collapsed="false">
      <c r="A450" s="1" t="n">
        <v>2024</v>
      </c>
      <c r="B450" s="1" t="n">
        <v>12</v>
      </c>
      <c r="C450" s="1" t="n">
        <v>21</v>
      </c>
      <c r="D450" s="1" t="n">
        <v>23279</v>
      </c>
    </row>
    <row r="451" customFormat="false" ht="15" hidden="false" customHeight="true" outlineLevel="0" collapsed="false">
      <c r="A451" s="1" t="n">
        <v>2024</v>
      </c>
      <c r="B451" s="1" t="n">
        <v>12</v>
      </c>
      <c r="C451" s="1" t="n">
        <v>20</v>
      </c>
      <c r="D451" s="1" t="n">
        <v>45832</v>
      </c>
    </row>
    <row r="452" customFormat="false" ht="15" hidden="false" customHeight="true" outlineLevel="0" collapsed="false">
      <c r="A452" s="1" t="n">
        <v>2024</v>
      </c>
      <c r="B452" s="1" t="n">
        <v>12</v>
      </c>
      <c r="C452" s="1" t="n">
        <v>19</v>
      </c>
      <c r="D452" s="1" t="n">
        <v>53294</v>
      </c>
    </row>
    <row r="453" customFormat="false" ht="15" hidden="false" customHeight="true" outlineLevel="0" collapsed="false">
      <c r="A453" s="1" t="n">
        <v>2024</v>
      </c>
      <c r="B453" s="1" t="n">
        <v>12</v>
      </c>
      <c r="C453" s="1" t="n">
        <v>18</v>
      </c>
      <c r="D453" s="1" t="n">
        <v>58927</v>
      </c>
    </row>
    <row r="454" customFormat="false" ht="15" hidden="false" customHeight="true" outlineLevel="0" collapsed="false">
      <c r="A454" s="1" t="n">
        <v>2024</v>
      </c>
      <c r="B454" s="1" t="n">
        <v>12</v>
      </c>
      <c r="C454" s="1" t="n">
        <v>17</v>
      </c>
      <c r="D454" s="1" t="n">
        <v>58132</v>
      </c>
    </row>
    <row r="455" customFormat="false" ht="15" hidden="false" customHeight="true" outlineLevel="0" collapsed="false">
      <c r="A455" s="1" t="n">
        <v>2024</v>
      </c>
      <c r="B455" s="1" t="n">
        <v>12</v>
      </c>
      <c r="C455" s="1" t="n">
        <v>16</v>
      </c>
      <c r="D455" s="1" t="n">
        <v>52555</v>
      </c>
    </row>
    <row r="456" customFormat="false" ht="15" hidden="false" customHeight="true" outlineLevel="0" collapsed="false">
      <c r="A456" s="1" t="n">
        <v>2024</v>
      </c>
      <c r="B456" s="1" t="n">
        <v>12</v>
      </c>
      <c r="C456" s="1" t="n">
        <v>15</v>
      </c>
      <c r="D456" s="1" t="n">
        <v>38962</v>
      </c>
    </row>
    <row r="457" customFormat="false" ht="15" hidden="false" customHeight="true" outlineLevel="0" collapsed="false">
      <c r="A457" s="1" t="n">
        <v>2024</v>
      </c>
      <c r="B457" s="1" t="n">
        <v>12</v>
      </c>
      <c r="C457" s="1" t="n">
        <v>14</v>
      </c>
      <c r="D457" s="1" t="n">
        <v>25205</v>
      </c>
    </row>
    <row r="458" customFormat="false" ht="15" hidden="false" customHeight="true" outlineLevel="0" collapsed="false">
      <c r="A458" s="1" t="n">
        <v>2024</v>
      </c>
      <c r="B458" s="1" t="n">
        <v>12</v>
      </c>
      <c r="C458" s="1" t="n">
        <v>13</v>
      </c>
      <c r="D458" s="1" t="n">
        <v>40206</v>
      </c>
    </row>
    <row r="459" customFormat="false" ht="15" hidden="false" customHeight="true" outlineLevel="0" collapsed="false">
      <c r="A459" s="1" t="n">
        <v>2024</v>
      </c>
      <c r="B459" s="1" t="n">
        <v>12</v>
      </c>
      <c r="C459" s="1" t="n">
        <v>12</v>
      </c>
      <c r="D459" s="1" t="n">
        <v>56953</v>
      </c>
    </row>
    <row r="460" customFormat="false" ht="15" hidden="false" customHeight="true" outlineLevel="0" collapsed="false">
      <c r="A460" s="1" t="n">
        <v>2024</v>
      </c>
      <c r="B460" s="1" t="n">
        <v>12</v>
      </c>
      <c r="C460" s="1" t="n">
        <v>11</v>
      </c>
      <c r="D460" s="1" t="n">
        <v>58759</v>
      </c>
    </row>
    <row r="461" customFormat="false" ht="15" hidden="false" customHeight="true" outlineLevel="0" collapsed="false">
      <c r="A461" s="1" t="n">
        <v>2024</v>
      </c>
      <c r="B461" s="1" t="n">
        <v>12</v>
      </c>
      <c r="C461" s="1" t="n">
        <v>10</v>
      </c>
      <c r="D461" s="1" t="n">
        <v>56227</v>
      </c>
    </row>
    <row r="462" customFormat="false" ht="15" hidden="false" customHeight="true" outlineLevel="0" collapsed="false">
      <c r="A462" s="1" t="n">
        <v>2024</v>
      </c>
      <c r="B462" s="1" t="n">
        <v>12</v>
      </c>
      <c r="C462" s="1" t="n">
        <v>9</v>
      </c>
      <c r="D462" s="1" t="n">
        <v>54794</v>
      </c>
    </row>
    <row r="463" customFormat="false" ht="15" hidden="false" customHeight="true" outlineLevel="0" collapsed="false">
      <c r="A463" s="1" t="n">
        <v>2024</v>
      </c>
      <c r="B463" s="1" t="n">
        <v>12</v>
      </c>
      <c r="C463" s="1" t="n">
        <v>8</v>
      </c>
      <c r="D463" s="1" t="n">
        <v>40567</v>
      </c>
    </row>
    <row r="464" customFormat="false" ht="15" hidden="false" customHeight="true" outlineLevel="0" collapsed="false">
      <c r="A464" s="1" t="n">
        <v>2024</v>
      </c>
      <c r="B464" s="1" t="n">
        <v>12</v>
      </c>
      <c r="C464" s="1" t="n">
        <v>7</v>
      </c>
      <c r="D464" s="1" t="n">
        <v>20614</v>
      </c>
    </row>
    <row r="465" customFormat="false" ht="15" hidden="false" customHeight="true" outlineLevel="0" collapsed="false">
      <c r="A465" s="1" t="n">
        <v>2024</v>
      </c>
      <c r="B465" s="1" t="n">
        <v>12</v>
      </c>
      <c r="C465" s="1" t="n">
        <v>6</v>
      </c>
      <c r="D465" s="1" t="n">
        <v>47859</v>
      </c>
    </row>
    <row r="466" customFormat="false" ht="15" hidden="false" customHeight="true" outlineLevel="0" collapsed="false">
      <c r="A466" s="1" t="n">
        <v>2024</v>
      </c>
      <c r="B466" s="1" t="n">
        <v>12</v>
      </c>
      <c r="C466" s="1" t="n">
        <v>5</v>
      </c>
      <c r="D466" s="1" t="n">
        <v>57233</v>
      </c>
    </row>
    <row r="467" customFormat="false" ht="15" hidden="false" customHeight="true" outlineLevel="0" collapsed="false">
      <c r="A467" s="1" t="n">
        <v>2024</v>
      </c>
      <c r="B467" s="1" t="n">
        <v>12</v>
      </c>
      <c r="C467" s="1" t="n">
        <v>4</v>
      </c>
      <c r="D467" s="1" t="n">
        <v>56860</v>
      </c>
    </row>
    <row r="468" customFormat="false" ht="15" hidden="false" customHeight="true" outlineLevel="0" collapsed="false">
      <c r="A468" s="1" t="n">
        <v>2024</v>
      </c>
      <c r="B468" s="1" t="n">
        <v>12</v>
      </c>
      <c r="C468" s="1" t="n">
        <v>3</v>
      </c>
      <c r="D468" s="1" t="n">
        <v>56323</v>
      </c>
    </row>
    <row r="469" customFormat="false" ht="15" hidden="false" customHeight="true" outlineLevel="0" collapsed="false">
      <c r="A469" s="1" t="n">
        <v>2024</v>
      </c>
      <c r="B469" s="1" t="n">
        <v>12</v>
      </c>
      <c r="C469" s="1" t="n">
        <v>2</v>
      </c>
      <c r="D469" s="1" t="n">
        <v>51909</v>
      </c>
    </row>
    <row r="470" customFormat="false" ht="15" hidden="false" customHeight="true" outlineLevel="0" collapsed="false">
      <c r="A470" s="1" t="n">
        <v>2024</v>
      </c>
      <c r="B470" s="1" t="n">
        <v>12</v>
      </c>
      <c r="C470" s="1" t="n">
        <v>1</v>
      </c>
      <c r="D470" s="1" t="n">
        <v>37794</v>
      </c>
    </row>
    <row r="471" customFormat="false" ht="15" hidden="false" customHeight="true" outlineLevel="0" collapsed="false">
      <c r="A471" s="1" t="n">
        <v>2024</v>
      </c>
      <c r="B471" s="1" t="n">
        <v>12</v>
      </c>
      <c r="C471" s="1" t="s">
        <v>4</v>
      </c>
      <c r="D471" s="1" t="n">
        <v>1356584</v>
      </c>
    </row>
    <row r="472" customFormat="false" ht="15" hidden="false" customHeight="true" outlineLevel="0" collapsed="false">
      <c r="A472" s="1" t="n">
        <v>2024</v>
      </c>
      <c r="B472" s="1" t="n">
        <v>11</v>
      </c>
      <c r="C472" s="1" t="n">
        <v>30</v>
      </c>
      <c r="D472" s="1" t="n">
        <v>21871</v>
      </c>
    </row>
    <row r="473" customFormat="false" ht="15" hidden="false" customHeight="true" outlineLevel="0" collapsed="false">
      <c r="A473" s="1" t="n">
        <v>2024</v>
      </c>
      <c r="B473" s="1" t="n">
        <v>11</v>
      </c>
      <c r="C473" s="1" t="n">
        <v>29</v>
      </c>
      <c r="D473" s="1" t="n">
        <v>25913</v>
      </c>
    </row>
    <row r="474" customFormat="false" ht="15" hidden="false" customHeight="true" outlineLevel="0" collapsed="false">
      <c r="A474" s="1" t="n">
        <v>2024</v>
      </c>
      <c r="B474" s="1" t="n">
        <v>11</v>
      </c>
      <c r="C474" s="1" t="n">
        <v>28</v>
      </c>
      <c r="D474" s="1" t="n">
        <v>24688</v>
      </c>
    </row>
    <row r="475" customFormat="false" ht="15" hidden="false" customHeight="true" outlineLevel="0" collapsed="false">
      <c r="A475" s="1" t="n">
        <v>2024</v>
      </c>
      <c r="B475" s="1" t="n">
        <v>11</v>
      </c>
      <c r="C475" s="1" t="n">
        <v>27</v>
      </c>
      <c r="D475" s="1" t="n">
        <v>44439</v>
      </c>
    </row>
    <row r="476" customFormat="false" ht="15" hidden="false" customHeight="true" outlineLevel="0" collapsed="false">
      <c r="A476" s="1" t="n">
        <v>2024</v>
      </c>
      <c r="B476" s="1" t="n">
        <v>11</v>
      </c>
      <c r="C476" s="1" t="n">
        <v>26</v>
      </c>
      <c r="D476" s="1" t="n">
        <v>53519</v>
      </c>
    </row>
    <row r="477" customFormat="false" ht="15" hidden="false" customHeight="true" outlineLevel="0" collapsed="false">
      <c r="A477" s="1" t="n">
        <v>2024</v>
      </c>
      <c r="B477" s="1" t="n">
        <v>11</v>
      </c>
      <c r="C477" s="1" t="n">
        <v>25</v>
      </c>
      <c r="D477" s="1" t="n">
        <v>48678</v>
      </c>
    </row>
    <row r="478" customFormat="false" ht="15" hidden="false" customHeight="true" outlineLevel="0" collapsed="false">
      <c r="A478" s="1" t="n">
        <v>2024</v>
      </c>
      <c r="B478" s="1" t="n">
        <v>11</v>
      </c>
      <c r="C478" s="1" t="n">
        <v>24</v>
      </c>
      <c r="D478" s="1" t="n">
        <v>37416</v>
      </c>
    </row>
    <row r="479" customFormat="false" ht="15" hidden="false" customHeight="true" outlineLevel="0" collapsed="false">
      <c r="A479" s="1" t="n">
        <v>2024</v>
      </c>
      <c r="B479" s="1" t="n">
        <v>11</v>
      </c>
      <c r="C479" s="1" t="n">
        <v>23</v>
      </c>
      <c r="D479" s="1" t="n">
        <v>22276</v>
      </c>
    </row>
    <row r="480" customFormat="false" ht="15" hidden="false" customHeight="true" outlineLevel="0" collapsed="false">
      <c r="A480" s="1" t="n">
        <v>2024</v>
      </c>
      <c r="B480" s="1" t="n">
        <v>11</v>
      </c>
      <c r="C480" s="1" t="n">
        <v>22</v>
      </c>
      <c r="D480" s="1" t="n">
        <v>42351</v>
      </c>
    </row>
    <row r="481" customFormat="false" ht="15" hidden="false" customHeight="true" outlineLevel="0" collapsed="false">
      <c r="A481" s="1" t="n">
        <v>2024</v>
      </c>
      <c r="B481" s="1" t="n">
        <v>11</v>
      </c>
      <c r="C481" s="1" t="n">
        <v>21</v>
      </c>
      <c r="D481" s="1" t="n">
        <v>50090</v>
      </c>
    </row>
    <row r="482" customFormat="false" ht="15" hidden="false" customHeight="true" outlineLevel="0" collapsed="false">
      <c r="A482" s="1" t="n">
        <v>2024</v>
      </c>
      <c r="B482" s="1" t="n">
        <v>11</v>
      </c>
      <c r="C482" s="1" t="n">
        <v>20</v>
      </c>
      <c r="D482" s="1" t="n">
        <v>52327</v>
      </c>
    </row>
    <row r="483" customFormat="false" ht="15" hidden="false" customHeight="true" outlineLevel="0" collapsed="false">
      <c r="A483" s="1" t="n">
        <v>2024</v>
      </c>
      <c r="B483" s="1" t="n">
        <v>11</v>
      </c>
      <c r="C483" s="1" t="n">
        <v>19</v>
      </c>
      <c r="D483" s="1" t="n">
        <v>52125</v>
      </c>
    </row>
    <row r="484" customFormat="false" ht="15" hidden="false" customHeight="true" outlineLevel="0" collapsed="false">
      <c r="A484" s="1" t="n">
        <v>2024</v>
      </c>
      <c r="B484" s="1" t="n">
        <v>11</v>
      </c>
      <c r="C484" s="1" t="n">
        <v>18</v>
      </c>
      <c r="D484" s="1" t="n">
        <v>49618</v>
      </c>
    </row>
    <row r="485" customFormat="false" ht="15" hidden="false" customHeight="true" outlineLevel="0" collapsed="false">
      <c r="A485" s="1" t="n">
        <v>2024</v>
      </c>
      <c r="B485" s="1" t="n">
        <v>11</v>
      </c>
      <c r="C485" s="1" t="n">
        <v>17</v>
      </c>
      <c r="D485" s="1" t="n">
        <v>37713</v>
      </c>
    </row>
    <row r="486" customFormat="false" ht="15" hidden="false" customHeight="true" outlineLevel="0" collapsed="false">
      <c r="A486" s="1" t="n">
        <v>2024</v>
      </c>
      <c r="B486" s="1" t="n">
        <v>11</v>
      </c>
      <c r="C486" s="1" t="n">
        <v>16</v>
      </c>
      <c r="D486" s="1" t="n">
        <v>19401</v>
      </c>
    </row>
    <row r="487" customFormat="false" ht="15" hidden="false" customHeight="true" outlineLevel="0" collapsed="false">
      <c r="A487" s="1" t="n">
        <v>2024</v>
      </c>
      <c r="B487" s="1" t="n">
        <v>11</v>
      </c>
      <c r="C487" s="1" t="n">
        <v>15</v>
      </c>
      <c r="D487" s="1" t="n">
        <v>34623</v>
      </c>
    </row>
    <row r="488" customFormat="false" ht="15" hidden="false" customHeight="true" outlineLevel="0" collapsed="false">
      <c r="A488" s="1" t="n">
        <v>2024</v>
      </c>
      <c r="B488" s="1" t="n">
        <v>11</v>
      </c>
      <c r="C488" s="1" t="n">
        <v>14</v>
      </c>
      <c r="D488" s="1" t="n">
        <v>49006</v>
      </c>
    </row>
    <row r="489" customFormat="false" ht="15" hidden="false" customHeight="true" outlineLevel="0" collapsed="false">
      <c r="A489" s="1" t="n">
        <v>2024</v>
      </c>
      <c r="B489" s="1" t="n">
        <v>11</v>
      </c>
      <c r="C489" s="1" t="n">
        <v>13</v>
      </c>
      <c r="D489" s="1" t="n">
        <v>53627</v>
      </c>
    </row>
    <row r="490" customFormat="false" ht="15" hidden="false" customHeight="true" outlineLevel="0" collapsed="false">
      <c r="A490" s="1" t="n">
        <v>2024</v>
      </c>
      <c r="B490" s="1" t="n">
        <v>11</v>
      </c>
      <c r="C490" s="1" t="n">
        <v>12</v>
      </c>
      <c r="D490" s="1" t="n">
        <v>52133</v>
      </c>
    </row>
    <row r="491" customFormat="false" ht="15" hidden="false" customHeight="true" outlineLevel="0" collapsed="false">
      <c r="A491" s="1" t="n">
        <v>2024</v>
      </c>
      <c r="B491" s="1" t="n">
        <v>11</v>
      </c>
      <c r="C491" s="1" t="n">
        <v>11</v>
      </c>
      <c r="D491" s="1" t="n">
        <v>48409</v>
      </c>
    </row>
    <row r="492" customFormat="false" ht="15" hidden="false" customHeight="true" outlineLevel="0" collapsed="false">
      <c r="A492" s="1" t="n">
        <v>2024</v>
      </c>
      <c r="B492" s="1" t="n">
        <v>11</v>
      </c>
      <c r="C492" s="1" t="n">
        <v>10</v>
      </c>
      <c r="D492" s="1" t="n">
        <v>35836</v>
      </c>
    </row>
    <row r="493" customFormat="false" ht="15" hidden="false" customHeight="true" outlineLevel="0" collapsed="false">
      <c r="A493" s="1" t="n">
        <v>2024</v>
      </c>
      <c r="B493" s="1" t="n">
        <v>11</v>
      </c>
      <c r="C493" s="1" t="n">
        <v>9</v>
      </c>
      <c r="D493" s="1" t="n">
        <v>18275</v>
      </c>
    </row>
    <row r="494" customFormat="false" ht="15" hidden="false" customHeight="true" outlineLevel="0" collapsed="false">
      <c r="A494" s="1" t="n">
        <v>2024</v>
      </c>
      <c r="B494" s="1" t="n">
        <v>11</v>
      </c>
      <c r="C494" s="1" t="n">
        <v>8</v>
      </c>
      <c r="D494" s="1" t="n">
        <v>36942</v>
      </c>
    </row>
    <row r="495" customFormat="false" ht="15" hidden="false" customHeight="true" outlineLevel="0" collapsed="false">
      <c r="A495" s="1" t="n">
        <v>2024</v>
      </c>
      <c r="B495" s="1" t="n">
        <v>11</v>
      </c>
      <c r="C495" s="1" t="n">
        <v>7</v>
      </c>
      <c r="D495" s="1" t="n">
        <v>48559</v>
      </c>
    </row>
    <row r="496" customFormat="false" ht="15" hidden="false" customHeight="true" outlineLevel="0" collapsed="false">
      <c r="A496" s="1" t="n">
        <v>2024</v>
      </c>
      <c r="B496" s="1" t="n">
        <v>11</v>
      </c>
      <c r="C496" s="1" t="n">
        <v>6</v>
      </c>
      <c r="D496" s="1" t="n">
        <v>51378</v>
      </c>
    </row>
    <row r="497" customFormat="false" ht="15" hidden="false" customHeight="true" outlineLevel="0" collapsed="false">
      <c r="A497" s="1" t="n">
        <v>2024</v>
      </c>
      <c r="B497" s="1" t="n">
        <v>11</v>
      </c>
      <c r="C497" s="1" t="n">
        <v>5</v>
      </c>
      <c r="D497" s="1" t="n">
        <v>54444</v>
      </c>
    </row>
    <row r="498" customFormat="false" ht="15" hidden="false" customHeight="true" outlineLevel="0" collapsed="false">
      <c r="A498" s="1" t="n">
        <v>2024</v>
      </c>
      <c r="B498" s="1" t="n">
        <v>11</v>
      </c>
      <c r="C498" s="1" t="n">
        <v>4</v>
      </c>
      <c r="D498" s="1" t="n">
        <v>47400</v>
      </c>
    </row>
    <row r="499" customFormat="false" ht="15" hidden="false" customHeight="true" outlineLevel="0" collapsed="false">
      <c r="A499" s="1" t="n">
        <v>2024</v>
      </c>
      <c r="B499" s="1" t="n">
        <v>11</v>
      </c>
      <c r="C499" s="1" t="n">
        <v>3</v>
      </c>
      <c r="D499" s="1" t="n">
        <v>39000</v>
      </c>
    </row>
    <row r="500" customFormat="false" ht="15" hidden="false" customHeight="true" outlineLevel="0" collapsed="false">
      <c r="A500" s="1" t="n">
        <v>2024</v>
      </c>
      <c r="B500" s="1" t="n">
        <v>11</v>
      </c>
      <c r="C500" s="1" t="n">
        <v>2</v>
      </c>
      <c r="D500" s="1" t="n">
        <v>24945</v>
      </c>
    </row>
    <row r="501" customFormat="false" ht="15" hidden="false" customHeight="true" outlineLevel="0" collapsed="false">
      <c r="A501" s="1" t="n">
        <v>2024</v>
      </c>
      <c r="B501" s="1" t="n">
        <v>11</v>
      </c>
      <c r="C501" s="1" t="n">
        <v>1</v>
      </c>
      <c r="D501" s="1" t="n">
        <v>27420</v>
      </c>
    </row>
    <row r="502" customFormat="false" ht="15" hidden="false" customHeight="true" outlineLevel="0" collapsed="false">
      <c r="A502" s="1" t="n">
        <v>2024</v>
      </c>
      <c r="B502" s="1" t="n">
        <v>11</v>
      </c>
      <c r="C502" s="1" t="s">
        <v>4</v>
      </c>
      <c r="D502" s="1" t="n">
        <v>1204422</v>
      </c>
    </row>
    <row r="503" customFormat="false" ht="15" hidden="false" customHeight="true" outlineLevel="0" collapsed="false">
      <c r="A503" s="1" t="n">
        <v>2024</v>
      </c>
      <c r="B503" s="1" t="n">
        <v>10</v>
      </c>
      <c r="C503" s="1" t="n">
        <v>31</v>
      </c>
      <c r="D503" s="1" t="n">
        <v>51203</v>
      </c>
    </row>
    <row r="504" customFormat="false" ht="15" hidden="false" customHeight="true" outlineLevel="0" collapsed="false">
      <c r="A504" s="1" t="n">
        <v>2024</v>
      </c>
      <c r="B504" s="1" t="n">
        <v>10</v>
      </c>
      <c r="C504" s="1" t="n">
        <v>30</v>
      </c>
      <c r="D504" s="1" t="n">
        <v>52565</v>
      </c>
    </row>
    <row r="505" customFormat="false" ht="15" hidden="false" customHeight="true" outlineLevel="0" collapsed="false">
      <c r="A505" s="1" t="n">
        <v>2024</v>
      </c>
      <c r="B505" s="1" t="n">
        <v>10</v>
      </c>
      <c r="C505" s="1" t="n">
        <v>29</v>
      </c>
      <c r="D505" s="1" t="n">
        <v>52153</v>
      </c>
    </row>
    <row r="506" customFormat="false" ht="15" hidden="false" customHeight="true" outlineLevel="0" collapsed="false">
      <c r="A506" s="1" t="n">
        <v>2024</v>
      </c>
      <c r="B506" s="1" t="n">
        <v>10</v>
      </c>
      <c r="C506" s="1" t="n">
        <v>28</v>
      </c>
      <c r="D506" s="1" t="n">
        <v>52652</v>
      </c>
    </row>
    <row r="507" customFormat="false" ht="15" hidden="false" customHeight="true" outlineLevel="0" collapsed="false">
      <c r="A507" s="1" t="n">
        <v>2024</v>
      </c>
      <c r="B507" s="1" t="n">
        <v>10</v>
      </c>
      <c r="C507" s="1" t="n">
        <v>27</v>
      </c>
      <c r="D507" s="1" t="n">
        <v>35782</v>
      </c>
    </row>
    <row r="508" customFormat="false" ht="15" hidden="false" customHeight="true" outlineLevel="0" collapsed="false">
      <c r="A508" s="1" t="n">
        <v>2024</v>
      </c>
      <c r="B508" s="1" t="n">
        <v>10</v>
      </c>
      <c r="C508" s="1" t="n">
        <v>26</v>
      </c>
      <c r="D508" s="1" t="n">
        <v>22673</v>
      </c>
    </row>
    <row r="509" customFormat="false" ht="15" hidden="false" customHeight="true" outlineLevel="0" collapsed="false">
      <c r="A509" s="1" t="n">
        <v>2024</v>
      </c>
      <c r="B509" s="1" t="n">
        <v>10</v>
      </c>
      <c r="C509" s="1" t="n">
        <v>25</v>
      </c>
      <c r="D509" s="1" t="n">
        <v>34854</v>
      </c>
    </row>
    <row r="510" customFormat="false" ht="15" hidden="false" customHeight="true" outlineLevel="0" collapsed="false">
      <c r="A510" s="1" t="n">
        <v>2024</v>
      </c>
      <c r="B510" s="1" t="n">
        <v>10</v>
      </c>
      <c r="C510" s="1" t="n">
        <v>24</v>
      </c>
      <c r="D510" s="1" t="n">
        <v>53482</v>
      </c>
    </row>
    <row r="511" customFormat="false" ht="15" hidden="false" customHeight="true" outlineLevel="0" collapsed="false">
      <c r="A511" s="1" t="n">
        <v>2024</v>
      </c>
      <c r="B511" s="1" t="n">
        <v>10</v>
      </c>
      <c r="C511" s="1" t="n">
        <v>23</v>
      </c>
      <c r="D511" s="1" t="n">
        <v>52441</v>
      </c>
    </row>
    <row r="512" customFormat="false" ht="15" hidden="false" customHeight="true" outlineLevel="0" collapsed="false">
      <c r="A512" s="1" t="n">
        <v>2024</v>
      </c>
      <c r="B512" s="1" t="n">
        <v>10</v>
      </c>
      <c r="C512" s="1" t="n">
        <v>22</v>
      </c>
      <c r="D512" s="1" t="n">
        <v>56619</v>
      </c>
    </row>
    <row r="513" customFormat="false" ht="15" hidden="false" customHeight="true" outlineLevel="0" collapsed="false">
      <c r="A513" s="1" t="n">
        <v>2024</v>
      </c>
      <c r="B513" s="1" t="n">
        <v>10</v>
      </c>
      <c r="C513" s="1" t="n">
        <v>21</v>
      </c>
      <c r="D513" s="1" t="n">
        <v>51101</v>
      </c>
    </row>
    <row r="514" customFormat="false" ht="15" hidden="false" customHeight="true" outlineLevel="0" collapsed="false">
      <c r="A514" s="1" t="n">
        <v>2024</v>
      </c>
      <c r="B514" s="1" t="n">
        <v>10</v>
      </c>
      <c r="C514" s="1" t="n">
        <v>20</v>
      </c>
      <c r="D514" s="1" t="n">
        <v>35989</v>
      </c>
    </row>
    <row r="515" customFormat="false" ht="15" hidden="false" customHeight="true" outlineLevel="0" collapsed="false">
      <c r="A515" s="1" t="n">
        <v>2024</v>
      </c>
      <c r="B515" s="1" t="n">
        <v>10</v>
      </c>
      <c r="C515" s="1" t="n">
        <v>19</v>
      </c>
      <c r="D515" s="1" t="n">
        <v>21698</v>
      </c>
    </row>
    <row r="516" customFormat="false" ht="15" hidden="false" customHeight="true" outlineLevel="0" collapsed="false">
      <c r="A516" s="1" t="n">
        <v>2024</v>
      </c>
      <c r="B516" s="1" t="n">
        <v>10</v>
      </c>
      <c r="C516" s="1" t="n">
        <v>18</v>
      </c>
      <c r="D516" s="1" t="n">
        <v>37272</v>
      </c>
    </row>
    <row r="517" customFormat="false" ht="15" hidden="false" customHeight="true" outlineLevel="0" collapsed="false">
      <c r="A517" s="1" t="n">
        <v>2024</v>
      </c>
      <c r="B517" s="1" t="n">
        <v>10</v>
      </c>
      <c r="C517" s="1" t="n">
        <v>17</v>
      </c>
      <c r="D517" s="1" t="n">
        <v>52025</v>
      </c>
    </row>
    <row r="518" customFormat="false" ht="15" hidden="false" customHeight="true" outlineLevel="0" collapsed="false">
      <c r="A518" s="1" t="n">
        <v>2024</v>
      </c>
      <c r="B518" s="1" t="n">
        <v>10</v>
      </c>
      <c r="C518" s="1" t="n">
        <v>16</v>
      </c>
      <c r="D518" s="1" t="n">
        <v>51461</v>
      </c>
    </row>
    <row r="519" customFormat="false" ht="15" hidden="false" customHeight="true" outlineLevel="0" collapsed="false">
      <c r="A519" s="1" t="n">
        <v>2024</v>
      </c>
      <c r="B519" s="1" t="n">
        <v>10</v>
      </c>
      <c r="C519" s="1" t="n">
        <v>15</v>
      </c>
      <c r="D519" s="1" t="n">
        <v>56591</v>
      </c>
    </row>
    <row r="520" customFormat="false" ht="15" hidden="false" customHeight="true" outlineLevel="0" collapsed="false">
      <c r="A520" s="1" t="n">
        <v>2024</v>
      </c>
      <c r="B520" s="1" t="n">
        <v>10</v>
      </c>
      <c r="C520" s="1" t="n">
        <v>14</v>
      </c>
      <c r="D520" s="1" t="n">
        <v>49986</v>
      </c>
    </row>
    <row r="521" customFormat="false" ht="15" hidden="false" customHeight="true" outlineLevel="0" collapsed="false">
      <c r="A521" s="1" t="n">
        <v>2024</v>
      </c>
      <c r="B521" s="1" t="n">
        <v>10</v>
      </c>
      <c r="C521" s="1" t="n">
        <v>13</v>
      </c>
      <c r="D521" s="1" t="n">
        <v>34386</v>
      </c>
    </row>
    <row r="522" customFormat="false" ht="15" hidden="false" customHeight="true" outlineLevel="0" collapsed="false">
      <c r="A522" s="1" t="n">
        <v>2024</v>
      </c>
      <c r="B522" s="1" t="n">
        <v>10</v>
      </c>
      <c r="C522" s="1" t="n">
        <v>12</v>
      </c>
      <c r="D522" s="1" t="n">
        <v>22513</v>
      </c>
    </row>
    <row r="523" customFormat="false" ht="15" hidden="false" customHeight="true" outlineLevel="0" collapsed="false">
      <c r="A523" s="1" t="n">
        <v>2024</v>
      </c>
      <c r="B523" s="1" t="n">
        <v>10</v>
      </c>
      <c r="C523" s="1" t="n">
        <v>11</v>
      </c>
      <c r="D523" s="1" t="n">
        <v>36074</v>
      </c>
    </row>
    <row r="524" customFormat="false" ht="15" hidden="false" customHeight="true" outlineLevel="0" collapsed="false">
      <c r="A524" s="1" t="n">
        <v>2024</v>
      </c>
      <c r="B524" s="1" t="n">
        <v>10</v>
      </c>
      <c r="C524" s="1" t="n">
        <v>10</v>
      </c>
      <c r="D524" s="1" t="n">
        <v>49954</v>
      </c>
    </row>
    <row r="525" customFormat="false" ht="15" hidden="false" customHeight="true" outlineLevel="0" collapsed="false">
      <c r="A525" s="1" t="n">
        <v>2024</v>
      </c>
      <c r="B525" s="1" t="n">
        <v>10</v>
      </c>
      <c r="C525" s="1" t="n">
        <v>9</v>
      </c>
      <c r="D525" s="1" t="n">
        <v>48981</v>
      </c>
    </row>
    <row r="526" customFormat="false" ht="15" hidden="false" customHeight="true" outlineLevel="0" collapsed="false">
      <c r="A526" s="1" t="n">
        <v>2024</v>
      </c>
      <c r="B526" s="1" t="n">
        <v>10</v>
      </c>
      <c r="C526" s="1" t="n">
        <v>8</v>
      </c>
      <c r="D526" s="1" t="n">
        <v>52077</v>
      </c>
    </row>
    <row r="527" customFormat="false" ht="15" hidden="false" customHeight="true" outlineLevel="0" collapsed="false">
      <c r="A527" s="1" t="n">
        <v>2024</v>
      </c>
      <c r="B527" s="1" t="n">
        <v>10</v>
      </c>
      <c r="C527" s="1" t="n">
        <v>7</v>
      </c>
      <c r="D527" s="1" t="n">
        <v>52138</v>
      </c>
    </row>
    <row r="528" customFormat="false" ht="15" hidden="false" customHeight="true" outlineLevel="0" collapsed="false">
      <c r="A528" s="1" t="n">
        <v>2024</v>
      </c>
      <c r="B528" s="1" t="n">
        <v>10</v>
      </c>
      <c r="C528" s="1" t="n">
        <v>6</v>
      </c>
      <c r="D528" s="1" t="n">
        <v>34006</v>
      </c>
    </row>
    <row r="529" customFormat="false" ht="15" hidden="false" customHeight="true" outlineLevel="0" collapsed="false">
      <c r="A529" s="1" t="n">
        <v>2024</v>
      </c>
      <c r="B529" s="1" t="n">
        <v>10</v>
      </c>
      <c r="C529" s="1" t="n">
        <v>5</v>
      </c>
      <c r="D529" s="1" t="n">
        <v>19520</v>
      </c>
    </row>
    <row r="530" customFormat="false" ht="15" hidden="false" customHeight="true" outlineLevel="0" collapsed="false">
      <c r="A530" s="1" t="n">
        <v>2024</v>
      </c>
      <c r="B530" s="1" t="n">
        <v>10</v>
      </c>
      <c r="C530" s="1" t="n">
        <v>4</v>
      </c>
      <c r="D530" s="1" t="n">
        <v>38488</v>
      </c>
    </row>
    <row r="531" customFormat="false" ht="15" hidden="false" customHeight="true" outlineLevel="0" collapsed="false">
      <c r="A531" s="1" t="n">
        <v>2024</v>
      </c>
      <c r="B531" s="1" t="n">
        <v>10</v>
      </c>
      <c r="C531" s="1" t="n">
        <v>3</v>
      </c>
      <c r="D531" s="1" t="n">
        <v>49356</v>
      </c>
    </row>
    <row r="532" customFormat="false" ht="15" hidden="false" customHeight="true" outlineLevel="0" collapsed="false">
      <c r="A532" s="1" t="n">
        <v>2024</v>
      </c>
      <c r="B532" s="1" t="n">
        <v>10</v>
      </c>
      <c r="C532" s="1" t="n">
        <v>2</v>
      </c>
      <c r="D532" s="1" t="n">
        <v>49327</v>
      </c>
    </row>
    <row r="533" customFormat="false" ht="15" hidden="false" customHeight="true" outlineLevel="0" collapsed="false">
      <c r="A533" s="1" t="n">
        <v>2024</v>
      </c>
      <c r="B533" s="1" t="n">
        <v>10</v>
      </c>
      <c r="C533" s="1" t="n">
        <v>1</v>
      </c>
      <c r="D533" s="1" t="n">
        <v>54376</v>
      </c>
    </row>
    <row r="534" customFormat="false" ht="15" hidden="false" customHeight="true" outlineLevel="0" collapsed="false">
      <c r="A534" s="1" t="n">
        <v>2024</v>
      </c>
      <c r="B534" s="1" t="n">
        <v>10</v>
      </c>
      <c r="C534" s="1" t="s">
        <v>4</v>
      </c>
      <c r="D534" s="1" t="n">
        <v>1361743</v>
      </c>
    </row>
    <row r="535" customFormat="false" ht="15" hidden="false" customHeight="true" outlineLevel="0" collapsed="false">
      <c r="A535" s="1" t="n">
        <v>2024</v>
      </c>
      <c r="B535" s="1" t="n">
        <v>9</v>
      </c>
      <c r="C535" s="1" t="n">
        <v>30</v>
      </c>
      <c r="D535" s="1" t="n">
        <v>52825</v>
      </c>
    </row>
    <row r="536" customFormat="false" ht="15" hidden="false" customHeight="true" outlineLevel="0" collapsed="false">
      <c r="A536" s="1" t="n">
        <v>2024</v>
      </c>
      <c r="B536" s="1" t="n">
        <v>9</v>
      </c>
      <c r="C536" s="1" t="n">
        <v>29</v>
      </c>
      <c r="D536" s="1" t="n">
        <v>27257</v>
      </c>
    </row>
    <row r="537" customFormat="false" ht="15" hidden="false" customHeight="true" outlineLevel="0" collapsed="false">
      <c r="A537" s="1" t="n">
        <v>2024</v>
      </c>
      <c r="B537" s="1" t="n">
        <v>9</v>
      </c>
      <c r="C537" s="1" t="n">
        <v>28</v>
      </c>
      <c r="D537" s="1" t="n">
        <v>20768</v>
      </c>
    </row>
    <row r="538" customFormat="false" ht="15" hidden="false" customHeight="true" outlineLevel="0" collapsed="false">
      <c r="A538" s="1" t="n">
        <v>2024</v>
      </c>
      <c r="B538" s="1" t="n">
        <v>9</v>
      </c>
      <c r="C538" s="1" t="n">
        <v>27</v>
      </c>
      <c r="D538" s="1" t="n">
        <v>32947</v>
      </c>
    </row>
    <row r="539" customFormat="false" ht="15" hidden="false" customHeight="true" outlineLevel="0" collapsed="false">
      <c r="A539" s="1" t="n">
        <v>2024</v>
      </c>
      <c r="B539" s="1" t="n">
        <v>9</v>
      </c>
      <c r="C539" s="1" t="n">
        <v>26</v>
      </c>
      <c r="D539" s="1" t="n">
        <v>50690</v>
      </c>
    </row>
    <row r="540" customFormat="false" ht="15" hidden="false" customHeight="true" outlineLevel="0" collapsed="false">
      <c r="A540" s="1" t="n">
        <v>2024</v>
      </c>
      <c r="B540" s="1" t="n">
        <v>9</v>
      </c>
      <c r="C540" s="1" t="n">
        <v>25</v>
      </c>
      <c r="D540" s="1" t="n">
        <v>48693</v>
      </c>
    </row>
    <row r="541" customFormat="false" ht="15" hidden="false" customHeight="true" outlineLevel="0" collapsed="false">
      <c r="A541" s="1" t="n">
        <v>2024</v>
      </c>
      <c r="B541" s="1" t="n">
        <v>9</v>
      </c>
      <c r="C541" s="1" t="n">
        <v>24</v>
      </c>
      <c r="D541" s="1" t="n">
        <v>53325</v>
      </c>
    </row>
    <row r="542" customFormat="false" ht="15" hidden="false" customHeight="true" outlineLevel="0" collapsed="false">
      <c r="A542" s="1" t="n">
        <v>2024</v>
      </c>
      <c r="B542" s="1" t="n">
        <v>9</v>
      </c>
      <c r="C542" s="1" t="n">
        <v>23</v>
      </c>
      <c r="D542" s="1" t="n">
        <v>51400</v>
      </c>
    </row>
    <row r="543" customFormat="false" ht="15" hidden="false" customHeight="true" outlineLevel="0" collapsed="false">
      <c r="A543" s="1" t="n">
        <v>2024</v>
      </c>
      <c r="B543" s="1" t="n">
        <v>9</v>
      </c>
      <c r="C543" s="1" t="n">
        <v>22</v>
      </c>
      <c r="D543" s="1" t="n">
        <v>36399</v>
      </c>
    </row>
    <row r="544" customFormat="false" ht="15" hidden="false" customHeight="true" outlineLevel="0" collapsed="false">
      <c r="A544" s="1" t="n">
        <v>2024</v>
      </c>
      <c r="B544" s="1" t="n">
        <v>9</v>
      </c>
      <c r="C544" s="1" t="n">
        <v>21</v>
      </c>
      <c r="D544" s="1" t="n">
        <v>16155</v>
      </c>
    </row>
    <row r="545" customFormat="false" ht="15" hidden="false" customHeight="true" outlineLevel="0" collapsed="false">
      <c r="A545" s="1" t="n">
        <v>2024</v>
      </c>
      <c r="B545" s="1" t="n">
        <v>9</v>
      </c>
      <c r="C545" s="1" t="n">
        <v>20</v>
      </c>
      <c r="D545" s="1" t="n">
        <v>37534</v>
      </c>
    </row>
    <row r="546" customFormat="false" ht="15" hidden="false" customHeight="true" outlineLevel="0" collapsed="false">
      <c r="A546" s="1" t="n">
        <v>2024</v>
      </c>
      <c r="B546" s="1" t="n">
        <v>9</v>
      </c>
      <c r="C546" s="1" t="n">
        <v>19</v>
      </c>
      <c r="D546" s="1" t="n">
        <v>48928</v>
      </c>
    </row>
    <row r="547" customFormat="false" ht="15" hidden="false" customHeight="true" outlineLevel="0" collapsed="false">
      <c r="A547" s="1" t="n">
        <v>2024</v>
      </c>
      <c r="B547" s="1" t="n">
        <v>9</v>
      </c>
      <c r="C547" s="1" t="n">
        <v>18</v>
      </c>
      <c r="D547" s="1" t="n">
        <v>50995</v>
      </c>
    </row>
    <row r="548" customFormat="false" ht="15" hidden="false" customHeight="true" outlineLevel="0" collapsed="false">
      <c r="A548" s="1" t="n">
        <v>2024</v>
      </c>
      <c r="B548" s="1" t="n">
        <v>9</v>
      </c>
      <c r="C548" s="1" t="n">
        <v>17</v>
      </c>
      <c r="D548" s="1" t="n">
        <v>53925</v>
      </c>
    </row>
    <row r="549" customFormat="false" ht="15" hidden="false" customHeight="true" outlineLevel="0" collapsed="false">
      <c r="A549" s="1" t="n">
        <v>2024</v>
      </c>
      <c r="B549" s="1" t="n">
        <v>9</v>
      </c>
      <c r="C549" s="1" t="n">
        <v>16</v>
      </c>
      <c r="D549" s="1" t="n">
        <v>50946</v>
      </c>
    </row>
    <row r="550" customFormat="false" ht="15" hidden="false" customHeight="true" outlineLevel="0" collapsed="false">
      <c r="A550" s="1" t="n">
        <v>2024</v>
      </c>
      <c r="B550" s="1" t="n">
        <v>9</v>
      </c>
      <c r="C550" s="1" t="n">
        <v>15</v>
      </c>
      <c r="D550" s="1" t="n">
        <v>35572</v>
      </c>
    </row>
    <row r="551" customFormat="false" ht="15" hidden="false" customHeight="true" outlineLevel="0" collapsed="false">
      <c r="A551" s="1" t="n">
        <v>2024</v>
      </c>
      <c r="B551" s="1" t="n">
        <v>9</v>
      </c>
      <c r="C551" s="1" t="n">
        <v>14</v>
      </c>
      <c r="D551" s="1" t="n">
        <v>22022</v>
      </c>
    </row>
    <row r="552" customFormat="false" ht="15" hidden="false" customHeight="true" outlineLevel="0" collapsed="false">
      <c r="A552" s="1" t="n">
        <v>2024</v>
      </c>
      <c r="B552" s="1" t="n">
        <v>9</v>
      </c>
      <c r="C552" s="1" t="n">
        <v>13</v>
      </c>
      <c r="D552" s="1" t="n">
        <v>38035</v>
      </c>
    </row>
    <row r="553" customFormat="false" ht="15" hidden="false" customHeight="true" outlineLevel="0" collapsed="false">
      <c r="A553" s="1" t="n">
        <v>2024</v>
      </c>
      <c r="B553" s="1" t="n">
        <v>9</v>
      </c>
      <c r="C553" s="1" t="n">
        <v>12</v>
      </c>
      <c r="D553" s="1" t="n">
        <v>49930</v>
      </c>
    </row>
    <row r="554" customFormat="false" ht="15" hidden="false" customHeight="true" outlineLevel="0" collapsed="false">
      <c r="A554" s="1" t="n">
        <v>2024</v>
      </c>
      <c r="B554" s="1" t="n">
        <v>9</v>
      </c>
      <c r="C554" s="1" t="n">
        <v>11</v>
      </c>
      <c r="D554" s="1" t="n">
        <v>50860</v>
      </c>
    </row>
    <row r="555" customFormat="false" ht="15" hidden="false" customHeight="true" outlineLevel="0" collapsed="false">
      <c r="A555" s="1" t="n">
        <v>2024</v>
      </c>
      <c r="B555" s="1" t="n">
        <v>9</v>
      </c>
      <c r="C555" s="1" t="n">
        <v>10</v>
      </c>
      <c r="D555" s="1" t="n">
        <v>52524</v>
      </c>
    </row>
    <row r="556" customFormat="false" ht="15" hidden="false" customHeight="true" outlineLevel="0" collapsed="false">
      <c r="A556" s="1" t="n">
        <v>2024</v>
      </c>
      <c r="B556" s="1" t="n">
        <v>9</v>
      </c>
      <c r="C556" s="1" t="n">
        <v>9</v>
      </c>
      <c r="D556" s="1" t="n">
        <v>52095</v>
      </c>
    </row>
    <row r="557" customFormat="false" ht="15" hidden="false" customHeight="true" outlineLevel="0" collapsed="false">
      <c r="A557" s="1" t="n">
        <v>2024</v>
      </c>
      <c r="B557" s="1" t="n">
        <v>9</v>
      </c>
      <c r="C557" s="1" t="n">
        <v>8</v>
      </c>
      <c r="D557" s="1" t="n">
        <v>37329</v>
      </c>
    </row>
    <row r="558" customFormat="false" ht="15" hidden="false" customHeight="true" outlineLevel="0" collapsed="false">
      <c r="A558" s="1" t="n">
        <v>2024</v>
      </c>
      <c r="B558" s="1" t="n">
        <v>9</v>
      </c>
      <c r="C558" s="1" t="n">
        <v>7</v>
      </c>
      <c r="D558" s="1" t="n">
        <v>21270</v>
      </c>
    </row>
    <row r="559" customFormat="false" ht="15" hidden="false" customHeight="true" outlineLevel="0" collapsed="false">
      <c r="A559" s="1" t="n">
        <v>2024</v>
      </c>
      <c r="B559" s="1" t="n">
        <v>9</v>
      </c>
      <c r="C559" s="1" t="n">
        <v>6</v>
      </c>
      <c r="D559" s="1" t="n">
        <v>41556</v>
      </c>
    </row>
    <row r="560" customFormat="false" ht="15" hidden="false" customHeight="true" outlineLevel="0" collapsed="false">
      <c r="A560" s="1" t="n">
        <v>2024</v>
      </c>
      <c r="B560" s="1" t="n">
        <v>9</v>
      </c>
      <c r="C560" s="1" t="n">
        <v>5</v>
      </c>
      <c r="D560" s="1" t="n">
        <v>54087</v>
      </c>
    </row>
    <row r="561" customFormat="false" ht="15" hidden="false" customHeight="true" outlineLevel="0" collapsed="false">
      <c r="A561" s="1" t="n">
        <v>2024</v>
      </c>
      <c r="B561" s="1" t="n">
        <v>9</v>
      </c>
      <c r="C561" s="1" t="n">
        <v>4</v>
      </c>
      <c r="D561" s="1" t="n">
        <v>59690</v>
      </c>
    </row>
    <row r="562" customFormat="false" ht="15" hidden="false" customHeight="true" outlineLevel="0" collapsed="false">
      <c r="A562" s="1" t="n">
        <v>2024</v>
      </c>
      <c r="B562" s="1" t="n">
        <v>9</v>
      </c>
      <c r="C562" s="1" t="n">
        <v>3</v>
      </c>
      <c r="D562" s="1" t="n">
        <v>54495</v>
      </c>
    </row>
    <row r="563" customFormat="false" ht="15" hidden="false" customHeight="true" outlineLevel="0" collapsed="false">
      <c r="A563" s="1" t="n">
        <v>2024</v>
      </c>
      <c r="B563" s="1" t="n">
        <v>9</v>
      </c>
      <c r="C563" s="1" t="n">
        <v>2</v>
      </c>
      <c r="D563" s="1" t="n">
        <v>25145</v>
      </c>
    </row>
    <row r="564" customFormat="false" ht="15" hidden="false" customHeight="true" outlineLevel="0" collapsed="false">
      <c r="A564" s="1" t="n">
        <v>2024</v>
      </c>
      <c r="B564" s="1" t="n">
        <v>9</v>
      </c>
      <c r="C564" s="1" t="n">
        <v>1</v>
      </c>
      <c r="D564" s="1" t="n">
        <v>27500</v>
      </c>
    </row>
    <row r="565" customFormat="false" ht="15" hidden="false" customHeight="true" outlineLevel="0" collapsed="false">
      <c r="A565" s="1" t="n">
        <v>2024</v>
      </c>
      <c r="B565" s="1" t="n">
        <v>9</v>
      </c>
      <c r="C565" s="1" t="s">
        <v>4</v>
      </c>
      <c r="D565" s="1" t="n">
        <v>1254897</v>
      </c>
    </row>
    <row r="566" customFormat="false" ht="15" hidden="false" customHeight="true" outlineLevel="0" collapsed="false">
      <c r="A566" s="1" t="n">
        <v>2024</v>
      </c>
      <c r="B566" s="1" t="n">
        <v>8</v>
      </c>
      <c r="C566" s="1" t="n">
        <v>31</v>
      </c>
      <c r="D566" s="1" t="n">
        <v>16854</v>
      </c>
    </row>
    <row r="567" customFormat="false" ht="15" hidden="false" customHeight="true" outlineLevel="0" collapsed="false">
      <c r="A567" s="1" t="n">
        <v>2024</v>
      </c>
      <c r="B567" s="1" t="n">
        <v>8</v>
      </c>
      <c r="C567" s="1" t="n">
        <v>30</v>
      </c>
      <c r="D567" s="1" t="n">
        <v>41389</v>
      </c>
    </row>
    <row r="568" customFormat="false" ht="15" hidden="false" customHeight="true" outlineLevel="0" collapsed="false">
      <c r="A568" s="1" t="n">
        <v>2024</v>
      </c>
      <c r="B568" s="1" t="n">
        <v>8</v>
      </c>
      <c r="C568" s="1" t="n">
        <v>29</v>
      </c>
      <c r="D568" s="1" t="n">
        <v>53776</v>
      </c>
    </row>
    <row r="569" customFormat="false" ht="15" hidden="false" customHeight="true" outlineLevel="0" collapsed="false">
      <c r="A569" s="1" t="n">
        <v>2024</v>
      </c>
      <c r="B569" s="1" t="n">
        <v>8</v>
      </c>
      <c r="C569" s="1" t="n">
        <v>28</v>
      </c>
      <c r="D569" s="1" t="n">
        <v>53705</v>
      </c>
    </row>
    <row r="570" customFormat="false" ht="15" hidden="false" customHeight="true" outlineLevel="0" collapsed="false">
      <c r="A570" s="1" t="n">
        <v>2024</v>
      </c>
      <c r="B570" s="1" t="n">
        <v>8</v>
      </c>
      <c r="C570" s="1" t="n">
        <v>27</v>
      </c>
      <c r="D570" s="1" t="n">
        <v>56357</v>
      </c>
    </row>
    <row r="571" customFormat="false" ht="15" hidden="false" customHeight="true" outlineLevel="0" collapsed="false">
      <c r="A571" s="1" t="n">
        <v>2024</v>
      </c>
      <c r="B571" s="1" t="n">
        <v>8</v>
      </c>
      <c r="C571" s="1" t="n">
        <v>26</v>
      </c>
      <c r="D571" s="1" t="n">
        <v>54499</v>
      </c>
    </row>
    <row r="572" customFormat="false" ht="15" hidden="false" customHeight="true" outlineLevel="0" collapsed="false">
      <c r="A572" s="1" t="n">
        <v>2024</v>
      </c>
      <c r="B572" s="1" t="n">
        <v>8</v>
      </c>
      <c r="C572" s="1" t="n">
        <v>25</v>
      </c>
      <c r="D572" s="1" t="n">
        <v>35414</v>
      </c>
    </row>
    <row r="573" customFormat="false" ht="15" hidden="false" customHeight="true" outlineLevel="0" collapsed="false">
      <c r="A573" s="1" t="n">
        <v>2024</v>
      </c>
      <c r="B573" s="1" t="n">
        <v>8</v>
      </c>
      <c r="C573" s="1" t="n">
        <v>24</v>
      </c>
      <c r="D573" s="1" t="n">
        <v>21658</v>
      </c>
    </row>
    <row r="574" customFormat="false" ht="15" hidden="false" customHeight="true" outlineLevel="0" collapsed="false">
      <c r="A574" s="1" t="n">
        <v>2024</v>
      </c>
      <c r="B574" s="1" t="n">
        <v>8</v>
      </c>
      <c r="C574" s="1" t="n">
        <v>23</v>
      </c>
      <c r="D574" s="1" t="n">
        <v>38973</v>
      </c>
    </row>
    <row r="575" customFormat="false" ht="15" hidden="false" customHeight="true" outlineLevel="0" collapsed="false">
      <c r="A575" s="1" t="n">
        <v>2024</v>
      </c>
      <c r="B575" s="1" t="n">
        <v>8</v>
      </c>
      <c r="C575" s="1" t="n">
        <v>22</v>
      </c>
      <c r="D575" s="1" t="n">
        <v>50532</v>
      </c>
    </row>
    <row r="576" customFormat="false" ht="15" hidden="false" customHeight="true" outlineLevel="0" collapsed="false">
      <c r="A576" s="1" t="n">
        <v>2024</v>
      </c>
      <c r="B576" s="1" t="n">
        <v>8</v>
      </c>
      <c r="C576" s="1" t="s">
        <v>4</v>
      </c>
      <c r="D576" s="1" t="n">
        <v>423157</v>
      </c>
    </row>
    <row r="577" customFormat="false" ht="15" hidden="false" customHeight="true" outlineLevel="0" collapsed="false">
      <c r="A577" s="1" t="n">
        <v>2024</v>
      </c>
      <c r="B577" s="1" t="s">
        <v>4</v>
      </c>
      <c r="C577" s="1" t="s">
        <v>4</v>
      </c>
      <c r="D577" s="1" t="n">
        <v>5600803</v>
      </c>
    </row>
    <row r="578" customFormat="false" ht="15" hidden="false" customHeight="true" outlineLevel="0" collapsed="false">
      <c r="A578" s="1" t="s">
        <v>4</v>
      </c>
      <c r="B578" s="1" t="s">
        <v>4</v>
      </c>
      <c r="C578" s="1" t="s">
        <v>4</v>
      </c>
      <c r="D578" s="1" t="n">
        <v>28769017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24"/>
  </cols>
  <sheetData>
    <row r="1" customFormat="false" ht="17.25" hidden="false" customHeight="true" outlineLevel="0" collapsed="false">
      <c r="A1" s="2" t="s">
        <v>5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6</v>
      </c>
      <c r="B3" s="3" t="s">
        <v>7</v>
      </c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</row>
    <row r="4" customFormat="false" ht="15" hidden="false" customHeight="true" outlineLevel="0" collapsed="false">
      <c r="A4" s="4" t="s">
        <v>13</v>
      </c>
      <c r="B4" s="5" t="n">
        <v>423157</v>
      </c>
      <c r="C4" s="5" t="n">
        <v>10</v>
      </c>
      <c r="D4" s="5" t="n">
        <f aca="false">IF(C4&gt;0,B4/C4,"")</f>
        <v>42315.7</v>
      </c>
      <c r="E4" s="6"/>
      <c r="F4" s="5" t="n">
        <f aca="false">B4</f>
        <v>423157</v>
      </c>
      <c r="G4" s="7" t="n">
        <v>999</v>
      </c>
    </row>
    <row r="5" customFormat="false" ht="15" hidden="false" customHeight="true" outlineLevel="0" collapsed="false">
      <c r="A5" s="4" t="s">
        <v>14</v>
      </c>
      <c r="B5" s="5" t="n">
        <v>1254897</v>
      </c>
      <c r="C5" s="5" t="n">
        <v>30</v>
      </c>
      <c r="D5" s="5" t="n">
        <f aca="false">IF(C5&gt;0,B5/C5,"")</f>
        <v>41829.9</v>
      </c>
      <c r="E5" s="6" t="n">
        <f aca="false">IF(B4&gt;0,(B5-B4)/B4,"")</f>
        <v>1.96555888240062</v>
      </c>
      <c r="F5" s="5" t="n">
        <f aca="false">F4+B5</f>
        <v>1678054</v>
      </c>
      <c r="G5" s="7" t="n">
        <v>999</v>
      </c>
    </row>
    <row r="6" customFormat="false" ht="15" hidden="false" customHeight="true" outlineLevel="0" collapsed="false">
      <c r="A6" s="4" t="s">
        <v>15</v>
      </c>
      <c r="B6" s="5" t="n">
        <v>1361743</v>
      </c>
      <c r="C6" s="5" t="n">
        <v>31</v>
      </c>
      <c r="D6" s="5" t="n">
        <f aca="false">IF(C6&gt;0,B6/C6,"")</f>
        <v>43927.1935483871</v>
      </c>
      <c r="E6" s="6" t="n">
        <f aca="false">IF(B5&gt;0,(B6-B5)/B5,"")</f>
        <v>0.0851432428318818</v>
      </c>
      <c r="F6" s="5" t="n">
        <f aca="false">F5+B6</f>
        <v>3039797</v>
      </c>
      <c r="G6" s="7" t="n">
        <v>999</v>
      </c>
    </row>
    <row r="7" customFormat="false" ht="15" hidden="false" customHeight="true" outlineLevel="0" collapsed="false">
      <c r="A7" s="4" t="s">
        <v>16</v>
      </c>
      <c r="B7" s="5" t="n">
        <v>1204422</v>
      </c>
      <c r="C7" s="5" t="n">
        <v>30</v>
      </c>
      <c r="D7" s="5" t="n">
        <f aca="false">IF(C7&gt;0,B7/C7,"")</f>
        <v>40147.4</v>
      </c>
      <c r="E7" s="6" t="n">
        <f aca="false">IF(B6&gt;0,(B7-B6)/B6,"")</f>
        <v>-0.115529141695606</v>
      </c>
      <c r="F7" s="5" t="n">
        <f aca="false">F6+B7</f>
        <v>4244219</v>
      </c>
      <c r="G7" s="7" t="n">
        <v>999</v>
      </c>
    </row>
    <row r="8" customFormat="false" ht="15" hidden="false" customHeight="true" outlineLevel="0" collapsed="false">
      <c r="A8" s="4" t="s">
        <v>17</v>
      </c>
      <c r="B8" s="5" t="n">
        <v>1356584</v>
      </c>
      <c r="C8" s="5" t="n">
        <v>31</v>
      </c>
      <c r="D8" s="5" t="n">
        <f aca="false">IF(C8&gt;0,B8/C8,"")</f>
        <v>43760.7741935484</v>
      </c>
      <c r="E8" s="6" t="n">
        <f aca="false">IF(B7&gt;0,(B8-B7)/B7,"")</f>
        <v>0.126336118071573</v>
      </c>
      <c r="F8" s="5" t="n">
        <f aca="false">F7+B8</f>
        <v>5600803</v>
      </c>
      <c r="G8" s="7" t="n">
        <v>999</v>
      </c>
    </row>
    <row r="9" customFormat="false" ht="15" hidden="false" customHeight="true" outlineLevel="0" collapsed="false">
      <c r="A9" s="4" t="s">
        <v>18</v>
      </c>
      <c r="B9" s="5" t="n">
        <v>1518181</v>
      </c>
      <c r="C9" s="5" t="n">
        <v>31</v>
      </c>
      <c r="D9" s="5" t="n">
        <f aca="false">IF(C9&gt;0,B9/C9,"")</f>
        <v>48973.5806451613</v>
      </c>
      <c r="E9" s="6" t="n">
        <f aca="false">IF(B8&gt;0,(B9-B8)/B8,"")</f>
        <v>0.119120526263025</v>
      </c>
      <c r="F9" s="5" t="n">
        <f aca="false">F8+B9</f>
        <v>7118984</v>
      </c>
      <c r="G9" s="7" t="n">
        <v>999</v>
      </c>
    </row>
    <row r="10" customFormat="false" ht="15" hidden="false" customHeight="true" outlineLevel="0" collapsed="false">
      <c r="A10" s="4" t="s">
        <v>19</v>
      </c>
      <c r="B10" s="5" t="n">
        <v>1498933</v>
      </c>
      <c r="C10" s="5" t="n">
        <v>28</v>
      </c>
      <c r="D10" s="5" t="n">
        <f aca="false">IF(C10&gt;0,B10/C10,"")</f>
        <v>53533.3214285714</v>
      </c>
      <c r="E10" s="6" t="n">
        <f aca="false">IF(B9&gt;0,(B10-B9)/B9,"")</f>
        <v>-0.0126783301859264</v>
      </c>
      <c r="F10" s="5" t="n">
        <f aca="false">F9+B10</f>
        <v>8617917</v>
      </c>
      <c r="G10" s="7" t="n">
        <v>999</v>
      </c>
    </row>
    <row r="11" customFormat="false" ht="15" hidden="false" customHeight="true" outlineLevel="0" collapsed="false">
      <c r="A11" s="4" t="s">
        <v>20</v>
      </c>
      <c r="B11" s="5" t="n">
        <v>1564444</v>
      </c>
      <c r="C11" s="5" t="n">
        <v>31</v>
      </c>
      <c r="D11" s="5" t="n">
        <f aca="false">IF(C11&gt;0,B11/C11,"")</f>
        <v>50465.935483871</v>
      </c>
      <c r="E11" s="6" t="n">
        <f aca="false">IF(B10&gt;0,(B11-B10)/B10,"")</f>
        <v>0.0437050888865613</v>
      </c>
      <c r="F11" s="5" t="n">
        <f aca="false">F10+B11</f>
        <v>10182361</v>
      </c>
      <c r="G11" s="7" t="n">
        <v>999</v>
      </c>
    </row>
    <row r="12" customFormat="false" ht="15" hidden="false" customHeight="true" outlineLevel="0" collapsed="false">
      <c r="A12" s="4" t="s">
        <v>21</v>
      </c>
      <c r="B12" s="5" t="n">
        <v>1604037</v>
      </c>
      <c r="C12" s="5" t="n">
        <v>30</v>
      </c>
      <c r="D12" s="5" t="n">
        <f aca="false">IF(C12&gt;0,B12/C12,"")</f>
        <v>53467.9</v>
      </c>
      <c r="E12" s="6" t="n">
        <f aca="false">IF(B11&gt;0,(B12-B11)/B11,"")</f>
        <v>0.0253080327579639</v>
      </c>
      <c r="F12" s="5" t="n">
        <f aca="false">F11+B12</f>
        <v>11786398</v>
      </c>
      <c r="G12" s="7" t="n">
        <v>999</v>
      </c>
    </row>
    <row r="13" customFormat="false" ht="15" hidden="false" customHeight="true" outlineLevel="0" collapsed="false">
      <c r="A13" s="4" t="s">
        <v>22</v>
      </c>
      <c r="B13" s="5" t="n">
        <v>1700550</v>
      </c>
      <c r="C13" s="5" t="n">
        <v>31</v>
      </c>
      <c r="D13" s="5" t="n">
        <f aca="false">IF(C13&gt;0,B13/C13,"")</f>
        <v>54856.4516129032</v>
      </c>
      <c r="E13" s="6" t="n">
        <f aca="false">IF(B12&gt;0,(B13-B12)/B12,"")</f>
        <v>0.0601688115673142</v>
      </c>
      <c r="F13" s="5" t="n">
        <f aca="false">F12+B13</f>
        <v>13486948</v>
      </c>
      <c r="G13" s="7" t="n">
        <v>999</v>
      </c>
    </row>
    <row r="14" customFormat="false" ht="15" hidden="false" customHeight="true" outlineLevel="0" collapsed="false">
      <c r="A14" s="4" t="s">
        <v>23</v>
      </c>
      <c r="B14" s="5" t="n">
        <v>1666289</v>
      </c>
      <c r="C14" s="5" t="n">
        <v>30</v>
      </c>
      <c r="D14" s="5" t="n">
        <f aca="false">IF(C14&gt;0,B14/C14,"")</f>
        <v>55542.9666666667</v>
      </c>
      <c r="E14" s="6" t="n">
        <f aca="false">IF(B13&gt;0,(B14-B13)/B13,"")</f>
        <v>-0.0201470112610626</v>
      </c>
      <c r="F14" s="5" t="n">
        <f aca="false">F13+B14</f>
        <v>15153237</v>
      </c>
      <c r="G14" s="7" t="n">
        <v>999</v>
      </c>
    </row>
    <row r="15" customFormat="false" ht="15" hidden="false" customHeight="true" outlineLevel="0" collapsed="false">
      <c r="A15" s="4" t="s">
        <v>24</v>
      </c>
      <c r="B15" s="5" t="n">
        <v>1673386</v>
      </c>
      <c r="C15" s="5" t="n">
        <v>31</v>
      </c>
      <c r="D15" s="5" t="n">
        <f aca="false">IF(C15&gt;0,B15/C15,"")</f>
        <v>53980.1935483871</v>
      </c>
      <c r="E15" s="6" t="n">
        <f aca="false">IF(B14&gt;0,(B15-B14)/B14,"")</f>
        <v>0.00425916512681774</v>
      </c>
      <c r="F15" s="5" t="n">
        <f aca="false">F14+B15</f>
        <v>16826623</v>
      </c>
      <c r="G15" s="7" t="n">
        <v>999</v>
      </c>
    </row>
    <row r="16" customFormat="false" ht="15" hidden="false" customHeight="true" outlineLevel="0" collapsed="false">
      <c r="A16" s="4" t="s">
        <v>25</v>
      </c>
      <c r="B16" s="5" t="n">
        <v>1670134</v>
      </c>
      <c r="C16" s="5" t="n">
        <v>31</v>
      </c>
      <c r="D16" s="5" t="n">
        <f aca="false">IF(C16&gt;0,B16/C16,"")</f>
        <v>53875.2903225806</v>
      </c>
      <c r="E16" s="6" t="n">
        <f aca="false">IF(B15&gt;0,(B16-B15)/B15,"")</f>
        <v>-0.00194336512914534</v>
      </c>
      <c r="F16" s="5" t="n">
        <f aca="false">F15+B16</f>
        <v>18496757</v>
      </c>
      <c r="G16" s="7" t="n">
        <v>999</v>
      </c>
    </row>
    <row r="17" customFormat="false" ht="15" hidden="false" customHeight="true" outlineLevel="0" collapsed="false">
      <c r="A17" s="4" t="s">
        <v>26</v>
      </c>
      <c r="B17" s="5" t="n">
        <v>1683940</v>
      </c>
      <c r="C17" s="5" t="n">
        <v>30</v>
      </c>
      <c r="D17" s="5" t="n">
        <f aca="false">IF(C17&gt;0,B17/C17,"")</f>
        <v>56131.3333333333</v>
      </c>
      <c r="E17" s="6" t="n">
        <f aca="false">IF(B16&gt;0,(B17-B16)/B16,"")</f>
        <v>0.00826640257608072</v>
      </c>
      <c r="F17" s="5" t="n">
        <f aca="false">F16+B17</f>
        <v>20180697</v>
      </c>
      <c r="G17" s="7" t="n">
        <v>999</v>
      </c>
    </row>
    <row r="18" customFormat="false" ht="15" hidden="false" customHeight="true" outlineLevel="0" collapsed="false">
      <c r="A18" s="4" t="s">
        <v>27</v>
      </c>
      <c r="B18" s="5" t="n">
        <v>1776040</v>
      </c>
      <c r="C18" s="5" t="n">
        <v>31</v>
      </c>
      <c r="D18" s="5" t="n">
        <f aca="false">IF(C18&gt;0,B18/C18,"")</f>
        <v>57291.6129032258</v>
      </c>
      <c r="E18" s="6" t="n">
        <f aca="false">IF(B17&gt;0,(B18-B17)/B17,"")</f>
        <v>0.0546931600888393</v>
      </c>
      <c r="F18" s="5" t="n">
        <f aca="false">F17+B18</f>
        <v>21956737</v>
      </c>
      <c r="G18" s="7" t="n">
        <v>999</v>
      </c>
    </row>
    <row r="19" customFormat="false" ht="15" hidden="false" customHeight="true" outlineLevel="0" collapsed="false">
      <c r="A19" s="4" t="s">
        <v>28</v>
      </c>
      <c r="B19" s="5" t="n">
        <v>1686529</v>
      </c>
      <c r="C19" s="5" t="n">
        <v>30</v>
      </c>
      <c r="D19" s="5" t="n">
        <f aca="false">IF(C19&gt;0,B19/C19,"")</f>
        <v>56217.6333333333</v>
      </c>
      <c r="E19" s="6" t="n">
        <f aca="false">IF(B18&gt;0,(B19-B18)/B18,"")</f>
        <v>-0.0503992027206594</v>
      </c>
      <c r="F19" s="5" t="n">
        <f aca="false">F18+B19</f>
        <v>23643266</v>
      </c>
      <c r="G19" s="7" t="n">
        <v>999</v>
      </c>
    </row>
    <row r="20" customFormat="false" ht="15" hidden="false" customHeight="true" outlineLevel="0" collapsed="false">
      <c r="A20" s="4" t="s">
        <v>29</v>
      </c>
      <c r="B20" s="5" t="n">
        <v>1773440</v>
      </c>
      <c r="C20" s="5" t="n">
        <v>31</v>
      </c>
      <c r="D20" s="5" t="n">
        <f aca="false">IF(C20&gt;0,B20/C20,"")</f>
        <v>57207.7419354839</v>
      </c>
      <c r="E20" s="6" t="n">
        <f aca="false">IF(B19&gt;0,(B20-B19)/B19,"")</f>
        <v>0.051532466978036</v>
      </c>
      <c r="F20" s="5" t="n">
        <f aca="false">F19+B20</f>
        <v>25416706</v>
      </c>
      <c r="G20" s="7" t="n">
        <v>999</v>
      </c>
    </row>
    <row r="21" customFormat="false" ht="15" hidden="false" customHeight="true" outlineLevel="0" collapsed="false">
      <c r="A21" s="4" t="s">
        <v>30</v>
      </c>
      <c r="B21" s="5" t="n">
        <v>1806123</v>
      </c>
      <c r="C21" s="5" t="n">
        <v>31</v>
      </c>
      <c r="D21" s="5" t="n">
        <f aca="false">IF(C21&gt;0,B21/C21,"")</f>
        <v>58262.0322580645</v>
      </c>
      <c r="E21" s="6" t="n">
        <f aca="false">IF(B20&gt;0,(B21-B20)/B20,"")</f>
        <v>0.018429154637315</v>
      </c>
      <c r="F21" s="5" t="n">
        <f aca="false">F20+B21</f>
        <v>27222829</v>
      </c>
      <c r="G21" s="7" t="n">
        <v>999</v>
      </c>
    </row>
    <row r="22" customFormat="false" ht="15" hidden="false" customHeight="true" outlineLevel="0" collapsed="false">
      <c r="A22" s="4" t="s">
        <v>31</v>
      </c>
      <c r="B22" s="5" t="n">
        <v>1546188</v>
      </c>
      <c r="C22" s="5" t="n">
        <v>26</v>
      </c>
      <c r="D22" s="5" t="n">
        <f aca="false">IF(C22&gt;0,B22/C22,"")</f>
        <v>59468.7692307692</v>
      </c>
      <c r="E22" s="6" t="n">
        <f aca="false">IF(B21&gt;0,(B22-B21)/B21,"")</f>
        <v>-0.143918769651901</v>
      </c>
      <c r="F22" s="5" t="n">
        <f aca="false">F21+B22</f>
        <v>28769017</v>
      </c>
      <c r="G22" s="7" t="n">
        <v>999</v>
      </c>
    </row>
    <row r="24" customFormat="false" ht="15" hidden="false" customHeight="true" outlineLevel="0" collapsed="false">
      <c r="A24" s="8" t="s">
        <v>32</v>
      </c>
    </row>
    <row r="25" customFormat="false" ht="15" hidden="false" customHeight="true" outlineLevel="0" collapsed="false">
      <c r="A25" s="9" t="s">
        <v>33</v>
      </c>
      <c r="B25" s="5" t="n">
        <f aca="false">SUM(B4:B22)</f>
        <v>28769017</v>
      </c>
    </row>
    <row r="26" customFormat="false" ht="15" hidden="false" customHeight="true" outlineLevel="0" collapsed="false">
      <c r="A26" s="9" t="s">
        <v>34</v>
      </c>
      <c r="B26" s="5" t="n">
        <f aca="false">AVERAGE(D4:D22)</f>
        <v>51645.0384444362</v>
      </c>
    </row>
    <row r="27" customFormat="false" ht="15" hidden="false" customHeight="true" outlineLevel="0" collapsed="false">
      <c r="A27" s="9" t="s">
        <v>35</v>
      </c>
      <c r="B27" s="6" t="n">
        <f aca="false">AVERAGE(E5:E22)</f>
        <v>0.123216957307874</v>
      </c>
    </row>
    <row r="28" customFormat="false" ht="15" hidden="false" customHeight="true" outlineLevel="0" collapsed="false">
      <c r="A28" s="9" t="s">
        <v>36</v>
      </c>
      <c r="B28" s="5" t="n">
        <f aca="false">MAX(B4:B22)</f>
        <v>1806123</v>
      </c>
    </row>
    <row r="29" customFormat="false" ht="15" hidden="false" customHeight="true" outlineLevel="0" collapsed="false">
      <c r="A29" s="9" t="s">
        <v>37</v>
      </c>
      <c r="B29" s="10" t="n">
        <f aca="false">F22*G4/1024/1024/1024</f>
        <v>26.7664417466149</v>
      </c>
    </row>
    <row r="30" customFormat="false" ht="15" hidden="false" customHeight="true" outlineLevel="0" collapsed="false">
      <c r="A30" s="9" t="s">
        <v>38</v>
      </c>
      <c r="B30" s="7" t="n">
        <v>20</v>
      </c>
    </row>
    <row r="31" customFormat="false" ht="15" hidden="false" customHeight="true" outlineLevel="0" collapsed="false">
      <c r="A31" s="9" t="s">
        <v>39</v>
      </c>
      <c r="B31" s="5" t="n">
        <f aca="false">B8*F30/B25</f>
        <v>0</v>
      </c>
    </row>
    <row r="33" customFormat="false" ht="15" hidden="false" customHeight="true" outlineLevel="0" collapsed="false">
      <c r="A33" s="11" t="s">
        <v>40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tru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6"/>
    <col collapsed="false" customWidth="true" hidden="false" outlineLevel="0" max="5" min="4" style="1" width="18"/>
    <col collapsed="false" customWidth="true" hidden="false" outlineLevel="0" max="6" min="6" style="1" width="16"/>
    <col collapsed="false" customWidth="true" hidden="false" outlineLevel="0" max="8" min="8" style="1" width="34"/>
    <col collapsed="false" customWidth="true" hidden="false" outlineLevel="0" max="9" min="9" style="1" width="18"/>
    <col collapsed="false" customWidth="true" hidden="false" outlineLevel="0" max="10" min="10" style="1" width="14"/>
  </cols>
  <sheetData>
    <row r="1" customFormat="false" ht="17.25" hidden="false" customHeight="true" outlineLevel="0" collapsed="false">
      <c r="A1" s="2" t="s">
        <v>41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H3" s="12" t="s">
        <v>48</v>
      </c>
      <c r="I3" s="12"/>
      <c r="J3" s="12"/>
    </row>
    <row r="4" customFormat="false" ht="15" hidden="false" customHeight="true" outlineLevel="0" collapsed="false">
      <c r="A4" s="13" t="n">
        <v>45526</v>
      </c>
      <c r="B4" s="3" t="s">
        <v>49</v>
      </c>
      <c r="C4" s="14" t="n">
        <v>50532</v>
      </c>
      <c r="D4" s="14"/>
      <c r="E4" s="14"/>
      <c r="F4" s="3" t="s">
        <v>50</v>
      </c>
      <c r="G4" s="3"/>
      <c r="H4" s="3" t="s">
        <v>51</v>
      </c>
      <c r="I4" s="3" t="s">
        <v>52</v>
      </c>
      <c r="J4" s="3" t="s">
        <v>53</v>
      </c>
    </row>
    <row r="5" customFormat="false" ht="15" hidden="false" customHeight="true" outlineLevel="0" collapsed="false">
      <c r="A5" s="15" t="n">
        <v>45527</v>
      </c>
      <c r="B5" s="4" t="s">
        <v>54</v>
      </c>
      <c r="C5" s="5" t="n">
        <v>38973</v>
      </c>
      <c r="D5" s="5"/>
      <c r="E5" s="5"/>
      <c r="F5" s="4" t="s">
        <v>50</v>
      </c>
      <c r="H5" s="4" t="s">
        <v>55</v>
      </c>
      <c r="I5" s="5" t="n">
        <f aca="false">AVERAGEIF(B$4:B$557,H5,C$4:C$557)</f>
        <v>60026.9240506329</v>
      </c>
      <c r="J5" s="6" t="n">
        <f aca="false">I5/MAX(I$6:I$12)</f>
        <v>0.951506950409597</v>
      </c>
    </row>
    <row r="6" customFormat="false" ht="15" hidden="false" customHeight="true" outlineLevel="0" collapsed="false">
      <c r="A6" s="15" t="n">
        <v>45528</v>
      </c>
      <c r="B6" s="4" t="s">
        <v>56</v>
      </c>
      <c r="C6" s="5" t="n">
        <v>21658</v>
      </c>
      <c r="D6" s="5"/>
      <c r="E6" s="5"/>
      <c r="F6" s="4" t="s">
        <v>57</v>
      </c>
      <c r="H6" s="4" t="s">
        <v>58</v>
      </c>
      <c r="I6" s="5" t="n">
        <f aca="false">AVERAGEIF(B$4:B$557,H6,C$4:C$557)</f>
        <v>63086.164556962</v>
      </c>
      <c r="J6" s="6" t="n">
        <f aca="false">I6/MAX(I$6:I$12)</f>
        <v>1</v>
      </c>
    </row>
    <row r="7" customFormat="false" ht="15" hidden="false" customHeight="true" outlineLevel="0" collapsed="false">
      <c r="A7" s="15" t="n">
        <v>45529</v>
      </c>
      <c r="B7" s="4" t="s">
        <v>59</v>
      </c>
      <c r="C7" s="5" t="n">
        <v>35414</v>
      </c>
      <c r="D7" s="5"/>
      <c r="E7" s="5"/>
      <c r="F7" s="4" t="s">
        <v>57</v>
      </c>
      <c r="H7" s="4" t="s">
        <v>60</v>
      </c>
      <c r="I7" s="5" t="n">
        <f aca="false">AVERAGEIF(B$4:B$557,H7,C$4:C$557)</f>
        <v>61933.5443037975</v>
      </c>
      <c r="J7" s="6" t="n">
        <f aca="false">I7/MAX(I$6:I$12)</f>
        <v>0.981729428928528</v>
      </c>
    </row>
    <row r="8" customFormat="false" ht="15" hidden="false" customHeight="true" outlineLevel="0" collapsed="false">
      <c r="A8" s="15" t="n">
        <v>45530</v>
      </c>
      <c r="B8" s="4" t="s">
        <v>55</v>
      </c>
      <c r="C8" s="5" t="n">
        <v>54499</v>
      </c>
      <c r="D8" s="5"/>
      <c r="E8" s="5"/>
      <c r="F8" s="4" t="s">
        <v>50</v>
      </c>
      <c r="H8" s="4" t="s">
        <v>49</v>
      </c>
      <c r="I8" s="5" t="n">
        <f aca="false">AVERAGEIF(B$4:B$557,H8,C$4:C$557)</f>
        <v>61209.0875</v>
      </c>
      <c r="J8" s="6" t="n">
        <f aca="false">I8/MAX(I$6:I$12)</f>
        <v>0.970245820614643</v>
      </c>
    </row>
    <row r="9" customFormat="false" ht="15" hidden="false" customHeight="true" outlineLevel="0" collapsed="false">
      <c r="A9" s="15" t="n">
        <v>45531</v>
      </c>
      <c r="B9" s="4" t="s">
        <v>58</v>
      </c>
      <c r="C9" s="5" t="n">
        <v>56357</v>
      </c>
      <c r="D9" s="5"/>
      <c r="E9" s="5"/>
      <c r="F9" s="4" t="s">
        <v>50</v>
      </c>
      <c r="H9" s="4" t="s">
        <v>54</v>
      </c>
      <c r="I9" s="5" t="n">
        <f aca="false">AVERAGEIF(B$4:B$557,H9,C$4:C$557)</f>
        <v>35751.5949367089</v>
      </c>
      <c r="J9" s="6" t="n">
        <f aca="false">I9/MAX(I$6:I$12)</f>
        <v>0.56671054878329</v>
      </c>
    </row>
    <row r="10" customFormat="false" ht="15" hidden="false" customHeight="true" outlineLevel="0" collapsed="false">
      <c r="A10" s="15" t="n">
        <v>45532</v>
      </c>
      <c r="B10" s="4" t="s">
        <v>60</v>
      </c>
      <c r="C10" s="5" t="n">
        <v>53705</v>
      </c>
      <c r="D10" s="5" t="n">
        <f aca="false">AVERAGE(C4:C10)</f>
        <v>44448.2857142857</v>
      </c>
      <c r="E10" s="5"/>
      <c r="F10" s="4" t="s">
        <v>50</v>
      </c>
      <c r="H10" s="4" t="s">
        <v>56</v>
      </c>
      <c r="I10" s="5" t="n">
        <f aca="false">AVERAGEIF(B$4:B$557,H10,C$4:C$557)</f>
        <v>27762.9620253165</v>
      </c>
      <c r="J10" s="6" t="n">
        <f aca="false">I10/MAX(I$6:I$12)</f>
        <v>0.440080043227998</v>
      </c>
    </row>
    <row r="11" customFormat="false" ht="15" hidden="false" customHeight="true" outlineLevel="0" collapsed="false">
      <c r="A11" s="15" t="n">
        <v>45533</v>
      </c>
      <c r="B11" s="4" t="s">
        <v>49</v>
      </c>
      <c r="C11" s="5" t="n">
        <v>53776</v>
      </c>
      <c r="D11" s="5" t="n">
        <f aca="false">AVERAGE(C5:C11)</f>
        <v>44911.7142857143</v>
      </c>
      <c r="E11" s="5"/>
      <c r="F11" s="4" t="s">
        <v>50</v>
      </c>
      <c r="H11" s="4" t="s">
        <v>59</v>
      </c>
      <c r="I11" s="5" t="n">
        <f aca="false">AVERAGEIF(B$4:B$557,H11,C$4:C$557)</f>
        <v>53619.6962025316</v>
      </c>
      <c r="J11" s="6" t="n">
        <f aca="false">I11/MAX(I$6:I$12)</f>
        <v>0.849943828081625</v>
      </c>
    </row>
    <row r="12" customFormat="false" ht="15" hidden="false" customHeight="true" outlineLevel="0" collapsed="false">
      <c r="A12" s="15" t="n">
        <v>45534</v>
      </c>
      <c r="B12" s="4" t="s">
        <v>54</v>
      </c>
      <c r="C12" s="5" t="n">
        <v>41389</v>
      </c>
      <c r="D12" s="5" t="n">
        <f aca="false">AVERAGE(C6:C12)</f>
        <v>45256.8571428571</v>
      </c>
      <c r="E12" s="5"/>
      <c r="F12" s="4" t="s">
        <v>50</v>
      </c>
    </row>
    <row r="13" customFormat="false" ht="15" hidden="false" customHeight="true" outlineLevel="0" collapsed="false">
      <c r="A13" s="15" t="n">
        <v>45535</v>
      </c>
      <c r="B13" s="4" t="s">
        <v>56</v>
      </c>
      <c r="C13" s="5" t="n">
        <v>16854</v>
      </c>
      <c r="D13" s="5" t="n">
        <f aca="false">AVERAGE(C7:C13)</f>
        <v>44570.5714285714</v>
      </c>
      <c r="E13" s="5"/>
      <c r="F13" s="4" t="s">
        <v>57</v>
      </c>
      <c r="H13" s="9" t="s">
        <v>61</v>
      </c>
      <c r="I13" s="5" t="n">
        <f aca="false">AVERAGEIF(F$4:F$557,"Weekday",C$4:C$557)</f>
        <v>56413.6035353535</v>
      </c>
    </row>
    <row r="14" customFormat="false" ht="15" hidden="false" customHeight="true" outlineLevel="0" collapsed="false">
      <c r="A14" s="15" t="n">
        <v>45536</v>
      </c>
      <c r="B14" s="4" t="s">
        <v>59</v>
      </c>
      <c r="C14" s="5" t="n">
        <v>27500</v>
      </c>
      <c r="D14" s="5" t="n">
        <f aca="false">AVERAGE(C8:C14)</f>
        <v>43440</v>
      </c>
      <c r="E14" s="5"/>
      <c r="F14" s="4" t="s">
        <v>57</v>
      </c>
      <c r="H14" s="9" t="s">
        <v>62</v>
      </c>
      <c r="I14" s="5" t="n">
        <f aca="false">AVERAGEIF(F$4:F$557,"Weekend",C$4:C$557)</f>
        <v>40691.3291139241</v>
      </c>
    </row>
    <row r="15" customFormat="false" ht="15" hidden="false" customHeight="true" outlineLevel="0" collapsed="false">
      <c r="A15" s="15" t="n">
        <v>45537</v>
      </c>
      <c r="B15" s="4" t="s">
        <v>55</v>
      </c>
      <c r="C15" s="5" t="n">
        <v>25145</v>
      </c>
      <c r="D15" s="5" t="n">
        <f aca="false">AVERAGE(C9:C15)</f>
        <v>39246.5714285714</v>
      </c>
      <c r="E15" s="5"/>
      <c r="F15" s="4" t="s">
        <v>50</v>
      </c>
      <c r="H15" s="9" t="s">
        <v>63</v>
      </c>
      <c r="I15" s="6" t="n">
        <f aca="false">I14/I13</f>
        <v>0.721303490007041</v>
      </c>
    </row>
    <row r="16" customFormat="false" ht="15" hidden="false" customHeight="true" outlineLevel="0" collapsed="false">
      <c r="A16" s="15" t="n">
        <v>45538</v>
      </c>
      <c r="B16" s="4" t="s">
        <v>58</v>
      </c>
      <c r="C16" s="5" t="n">
        <v>54495</v>
      </c>
      <c r="D16" s="5" t="n">
        <f aca="false">AVERAGE(C10:C16)</f>
        <v>38980.5714285714</v>
      </c>
      <c r="E16" s="5"/>
      <c r="F16" s="4" t="s">
        <v>50</v>
      </c>
    </row>
    <row r="17" customFormat="false" ht="15" hidden="false" customHeight="true" outlineLevel="0" collapsed="false">
      <c r="A17" s="15" t="n">
        <v>45539</v>
      </c>
      <c r="B17" s="4" t="s">
        <v>60</v>
      </c>
      <c r="C17" s="5" t="n">
        <v>59690</v>
      </c>
      <c r="D17" s="5" t="n">
        <f aca="false">AVERAGE(C11:C17)</f>
        <v>39835.5714285714</v>
      </c>
      <c r="E17" s="5"/>
      <c r="F17" s="4" t="s">
        <v>50</v>
      </c>
    </row>
    <row r="18" customFormat="false" ht="15" hidden="false" customHeight="true" outlineLevel="0" collapsed="false">
      <c r="A18" s="15" t="n">
        <v>45540</v>
      </c>
      <c r="B18" s="4" t="s">
        <v>49</v>
      </c>
      <c r="C18" s="5" t="n">
        <v>54087</v>
      </c>
      <c r="D18" s="5" t="n">
        <f aca="false">AVERAGE(C12:C18)</f>
        <v>39880</v>
      </c>
      <c r="E18" s="5"/>
      <c r="F18" s="4" t="s">
        <v>50</v>
      </c>
      <c r="H18" s="12" t="s">
        <v>64</v>
      </c>
      <c r="I18" s="12"/>
      <c r="J18" s="12"/>
    </row>
    <row r="19" customFormat="false" ht="15" hidden="false" customHeight="true" outlineLevel="0" collapsed="false">
      <c r="A19" s="15" t="n">
        <v>45541</v>
      </c>
      <c r="B19" s="4" t="s">
        <v>54</v>
      </c>
      <c r="C19" s="5" t="n">
        <v>41556</v>
      </c>
      <c r="D19" s="5" t="n">
        <f aca="false">AVERAGE(C13:C19)</f>
        <v>39903.8571428571</v>
      </c>
      <c r="E19" s="5"/>
      <c r="F19" s="4" t="s">
        <v>50</v>
      </c>
      <c r="H19" s="9" t="s">
        <v>65</v>
      </c>
      <c r="I19" s="5" t="n">
        <f aca="false">AVERAGE(C4:C557)</f>
        <v>51929.6335740072</v>
      </c>
    </row>
    <row r="20" customFormat="false" ht="15" hidden="false" customHeight="true" outlineLevel="0" collapsed="false">
      <c r="A20" s="15" t="n">
        <v>45542</v>
      </c>
      <c r="B20" s="4" t="s">
        <v>56</v>
      </c>
      <c r="C20" s="5" t="n">
        <v>21270</v>
      </c>
      <c r="D20" s="5" t="n">
        <f aca="false">AVERAGE(C14:C20)</f>
        <v>40534.7142857143</v>
      </c>
      <c r="E20" s="5"/>
      <c r="F20" s="4" t="s">
        <v>57</v>
      </c>
      <c r="H20" s="9" t="s">
        <v>66</v>
      </c>
      <c r="I20" s="7" t="n">
        <v>20</v>
      </c>
    </row>
    <row r="21" customFormat="false" ht="15" hidden="false" customHeight="true" outlineLevel="0" collapsed="false">
      <c r="A21" s="15" t="n">
        <v>45543</v>
      </c>
      <c r="B21" s="4" t="s">
        <v>59</v>
      </c>
      <c r="C21" s="5" t="n">
        <v>37329</v>
      </c>
      <c r="D21" s="5" t="n">
        <f aca="false">AVERAGE(C15:C21)</f>
        <v>41938.8571428571</v>
      </c>
      <c r="E21" s="5"/>
      <c r="F21" s="4" t="s">
        <v>57</v>
      </c>
      <c r="H21" s="9" t="s">
        <v>67</v>
      </c>
      <c r="I21" s="5" t="n">
        <f aca="false">I19*I20</f>
        <v>1038592.67148014</v>
      </c>
    </row>
    <row r="22" customFormat="false" ht="15" hidden="false" customHeight="true" outlineLevel="0" collapsed="false">
      <c r="A22" s="15" t="n">
        <v>45544</v>
      </c>
      <c r="B22" s="4" t="s">
        <v>55</v>
      </c>
      <c r="C22" s="5" t="n">
        <v>52095</v>
      </c>
      <c r="D22" s="5" t="n">
        <f aca="false">AVERAGE(C16:C22)</f>
        <v>45788.8571428571</v>
      </c>
      <c r="E22" s="5"/>
      <c r="F22" s="4" t="s">
        <v>50</v>
      </c>
      <c r="H22" s="9" t="s">
        <v>68</v>
      </c>
      <c r="I22" s="5" t="n">
        <f aca="false">I21*2</f>
        <v>2077185.34296029</v>
      </c>
    </row>
    <row r="23" customFormat="false" ht="15" hidden="false" customHeight="true" outlineLevel="0" collapsed="false">
      <c r="A23" s="15" t="n">
        <v>45545</v>
      </c>
      <c r="B23" s="4" t="s">
        <v>58</v>
      </c>
      <c r="C23" s="5" t="n">
        <v>52524</v>
      </c>
      <c r="D23" s="5" t="n">
        <f aca="false">AVERAGE(C17:C23)</f>
        <v>45507.2857142857</v>
      </c>
      <c r="E23" s="5"/>
      <c r="F23" s="4" t="s">
        <v>50</v>
      </c>
      <c r="H23" s="11" t="s">
        <v>69</v>
      </c>
    </row>
    <row r="24" customFormat="false" ht="15" hidden="false" customHeight="true" outlineLevel="0" collapsed="false">
      <c r="A24" s="15" t="n">
        <v>45546</v>
      </c>
      <c r="B24" s="4" t="s">
        <v>60</v>
      </c>
      <c r="C24" s="5" t="n">
        <v>50860</v>
      </c>
      <c r="D24" s="5" t="n">
        <f aca="false">AVERAGE(C18:C24)</f>
        <v>44245.8571428571</v>
      </c>
      <c r="E24" s="5"/>
      <c r="F24" s="4" t="s">
        <v>50</v>
      </c>
    </row>
    <row r="25" customFormat="false" ht="15" hidden="false" customHeight="true" outlineLevel="0" collapsed="false">
      <c r="A25" s="15" t="n">
        <v>45547</v>
      </c>
      <c r="B25" s="4" t="s">
        <v>49</v>
      </c>
      <c r="C25" s="5" t="n">
        <v>49930</v>
      </c>
      <c r="D25" s="5" t="n">
        <f aca="false">AVERAGE(C19:C25)</f>
        <v>43652</v>
      </c>
      <c r="E25" s="5"/>
      <c r="F25" s="4" t="s">
        <v>50</v>
      </c>
    </row>
    <row r="26" customFormat="false" ht="15" hidden="false" customHeight="true" outlineLevel="0" collapsed="false">
      <c r="A26" s="15" t="n">
        <v>45548</v>
      </c>
      <c r="B26" s="4" t="s">
        <v>54</v>
      </c>
      <c r="C26" s="5" t="n">
        <v>38035</v>
      </c>
      <c r="D26" s="5" t="n">
        <f aca="false">AVERAGE(C20:C26)</f>
        <v>43149</v>
      </c>
      <c r="E26" s="5"/>
      <c r="F26" s="4" t="s">
        <v>50</v>
      </c>
    </row>
    <row r="27" customFormat="false" ht="15" hidden="false" customHeight="true" outlineLevel="0" collapsed="false">
      <c r="A27" s="15" t="n">
        <v>45549</v>
      </c>
      <c r="B27" s="4" t="s">
        <v>56</v>
      </c>
      <c r="C27" s="5" t="n">
        <v>22022</v>
      </c>
      <c r="D27" s="5" t="n">
        <f aca="false">AVERAGE(C21:C27)</f>
        <v>43256.4285714286</v>
      </c>
      <c r="E27" s="5"/>
      <c r="F27" s="4" t="s">
        <v>57</v>
      </c>
    </row>
    <row r="28" customFormat="false" ht="15" hidden="false" customHeight="true" outlineLevel="0" collapsed="false">
      <c r="A28" s="15" t="n">
        <v>45550</v>
      </c>
      <c r="B28" s="4" t="s">
        <v>59</v>
      </c>
      <c r="C28" s="5" t="n">
        <v>35572</v>
      </c>
      <c r="D28" s="5" t="n">
        <f aca="false">AVERAGE(C22:C28)</f>
        <v>43005.4285714286</v>
      </c>
      <c r="E28" s="5"/>
      <c r="F28" s="4" t="s">
        <v>57</v>
      </c>
    </row>
    <row r="29" customFormat="false" ht="15" hidden="false" customHeight="true" outlineLevel="0" collapsed="false">
      <c r="A29" s="15" t="n">
        <v>45551</v>
      </c>
      <c r="B29" s="4" t="s">
        <v>55</v>
      </c>
      <c r="C29" s="5" t="n">
        <v>50946</v>
      </c>
      <c r="D29" s="5" t="n">
        <f aca="false">AVERAGE(C23:C29)</f>
        <v>42841.2857142857</v>
      </c>
      <c r="E29" s="5"/>
      <c r="F29" s="4" t="s">
        <v>50</v>
      </c>
    </row>
    <row r="30" customFormat="false" ht="15" hidden="false" customHeight="true" outlineLevel="0" collapsed="false">
      <c r="A30" s="15" t="n">
        <v>45552</v>
      </c>
      <c r="B30" s="4" t="s">
        <v>58</v>
      </c>
      <c r="C30" s="5" t="n">
        <v>53925</v>
      </c>
      <c r="D30" s="5" t="n">
        <f aca="false">AVERAGE(C24:C30)</f>
        <v>43041.4285714286</v>
      </c>
      <c r="E30" s="5"/>
      <c r="F30" s="4" t="s">
        <v>50</v>
      </c>
    </row>
    <row r="31" customFormat="false" ht="15" hidden="false" customHeight="true" outlineLevel="0" collapsed="false">
      <c r="A31" s="15" t="n">
        <v>45553</v>
      </c>
      <c r="B31" s="4" t="s">
        <v>60</v>
      </c>
      <c r="C31" s="5" t="n">
        <v>50995</v>
      </c>
      <c r="D31" s="5" t="n">
        <f aca="false">AVERAGE(C25:C31)</f>
        <v>43060.7142857143</v>
      </c>
      <c r="E31" s="5"/>
      <c r="F31" s="4" t="s">
        <v>50</v>
      </c>
    </row>
    <row r="32" customFormat="false" ht="15" hidden="false" customHeight="true" outlineLevel="0" collapsed="false">
      <c r="A32" s="15" t="n">
        <v>45554</v>
      </c>
      <c r="B32" s="4" t="s">
        <v>49</v>
      </c>
      <c r="C32" s="5" t="n">
        <v>48928</v>
      </c>
      <c r="D32" s="5" t="n">
        <f aca="false">AVERAGE(C26:C32)</f>
        <v>42917.5714285714</v>
      </c>
      <c r="E32" s="5"/>
      <c r="F32" s="4" t="s">
        <v>50</v>
      </c>
    </row>
    <row r="33" customFormat="false" ht="15" hidden="false" customHeight="true" outlineLevel="0" collapsed="false">
      <c r="A33" s="15" t="n">
        <v>45555</v>
      </c>
      <c r="B33" s="4" t="s">
        <v>54</v>
      </c>
      <c r="C33" s="5" t="n">
        <v>37534</v>
      </c>
      <c r="D33" s="5" t="n">
        <f aca="false">AVERAGE(C27:C33)</f>
        <v>42846</v>
      </c>
      <c r="E33" s="5" t="n">
        <f aca="false">AVERAGE(C4:C33)</f>
        <v>42919.8333333333</v>
      </c>
      <c r="F33" s="4" t="s">
        <v>50</v>
      </c>
    </row>
    <row r="34" customFormat="false" ht="15" hidden="false" customHeight="true" outlineLevel="0" collapsed="false">
      <c r="A34" s="15" t="n">
        <v>45556</v>
      </c>
      <c r="B34" s="4" t="s">
        <v>56</v>
      </c>
      <c r="C34" s="5" t="n">
        <v>16155</v>
      </c>
      <c r="D34" s="5" t="n">
        <f aca="false">AVERAGE(C28:C34)</f>
        <v>42007.8571428571</v>
      </c>
      <c r="E34" s="5" t="n">
        <f aca="false">AVERAGE(C5:C34)</f>
        <v>41773.9333333333</v>
      </c>
      <c r="F34" s="4" t="s">
        <v>57</v>
      </c>
    </row>
    <row r="35" customFormat="false" ht="15" hidden="false" customHeight="true" outlineLevel="0" collapsed="false">
      <c r="A35" s="15" t="n">
        <v>45557</v>
      </c>
      <c r="B35" s="4" t="s">
        <v>59</v>
      </c>
      <c r="C35" s="5" t="n">
        <v>36399</v>
      </c>
      <c r="D35" s="5" t="n">
        <f aca="false">AVERAGE(C29:C35)</f>
        <v>42126</v>
      </c>
      <c r="E35" s="5" t="n">
        <f aca="false">AVERAGE(C6:C35)</f>
        <v>41688.1333333333</v>
      </c>
      <c r="F35" s="4" t="s">
        <v>57</v>
      </c>
    </row>
    <row r="36" customFormat="false" ht="15" hidden="false" customHeight="true" outlineLevel="0" collapsed="false">
      <c r="A36" s="15" t="n">
        <v>45558</v>
      </c>
      <c r="B36" s="4" t="s">
        <v>55</v>
      </c>
      <c r="C36" s="5" t="n">
        <v>51400</v>
      </c>
      <c r="D36" s="5" t="n">
        <f aca="false">AVERAGE(C30:C36)</f>
        <v>42190.8571428571</v>
      </c>
      <c r="E36" s="5" t="n">
        <f aca="false">AVERAGE(C7:C36)</f>
        <v>42679.5333333333</v>
      </c>
      <c r="F36" s="4" t="s">
        <v>50</v>
      </c>
    </row>
    <row r="37" customFormat="false" ht="15" hidden="false" customHeight="true" outlineLevel="0" collapsed="false">
      <c r="A37" s="15" t="n">
        <v>45559</v>
      </c>
      <c r="B37" s="4" t="s">
        <v>58</v>
      </c>
      <c r="C37" s="5" t="n">
        <v>53325</v>
      </c>
      <c r="D37" s="5" t="n">
        <f aca="false">AVERAGE(C31:C37)</f>
        <v>42105.1428571429</v>
      </c>
      <c r="E37" s="5" t="n">
        <f aca="false">AVERAGE(C8:C37)</f>
        <v>43276.5666666667</v>
      </c>
      <c r="F37" s="4" t="s">
        <v>50</v>
      </c>
    </row>
    <row r="38" customFormat="false" ht="15" hidden="false" customHeight="true" outlineLevel="0" collapsed="false">
      <c r="A38" s="15" t="n">
        <v>45560</v>
      </c>
      <c r="B38" s="4" t="s">
        <v>60</v>
      </c>
      <c r="C38" s="5" t="n">
        <v>48693</v>
      </c>
      <c r="D38" s="5" t="n">
        <f aca="false">AVERAGE(C32:C38)</f>
        <v>41776.2857142857</v>
      </c>
      <c r="E38" s="5" t="n">
        <f aca="false">AVERAGE(C9:C38)</f>
        <v>43083.0333333333</v>
      </c>
      <c r="F38" s="4" t="s">
        <v>50</v>
      </c>
    </row>
    <row r="39" customFormat="false" ht="15" hidden="false" customHeight="true" outlineLevel="0" collapsed="false">
      <c r="A39" s="15" t="n">
        <v>45561</v>
      </c>
      <c r="B39" s="4" t="s">
        <v>49</v>
      </c>
      <c r="C39" s="5" t="n">
        <v>50690</v>
      </c>
      <c r="D39" s="5" t="n">
        <f aca="false">AVERAGE(C33:C39)</f>
        <v>42028</v>
      </c>
      <c r="E39" s="5" t="n">
        <f aca="false">AVERAGE(C10:C39)</f>
        <v>42894.1333333333</v>
      </c>
      <c r="F39" s="4" t="s">
        <v>50</v>
      </c>
    </row>
    <row r="40" customFormat="false" ht="15" hidden="false" customHeight="true" outlineLevel="0" collapsed="false">
      <c r="A40" s="15" t="n">
        <v>45562</v>
      </c>
      <c r="B40" s="4" t="s">
        <v>54</v>
      </c>
      <c r="C40" s="5" t="n">
        <v>32947</v>
      </c>
      <c r="D40" s="5" t="n">
        <f aca="false">AVERAGE(C34:C40)</f>
        <v>41372.7142857143</v>
      </c>
      <c r="E40" s="5" t="n">
        <f aca="false">AVERAGE(C11:C40)</f>
        <v>42202.2</v>
      </c>
      <c r="F40" s="4" t="s">
        <v>50</v>
      </c>
    </row>
    <row r="41" customFormat="false" ht="15" hidden="false" customHeight="true" outlineLevel="0" collapsed="false">
      <c r="A41" s="15" t="n">
        <v>45563</v>
      </c>
      <c r="B41" s="4" t="s">
        <v>56</v>
      </c>
      <c r="C41" s="5" t="n">
        <v>20768</v>
      </c>
      <c r="D41" s="5" t="n">
        <f aca="false">AVERAGE(C35:C41)</f>
        <v>42031.7142857143</v>
      </c>
      <c r="E41" s="5" t="n">
        <f aca="false">AVERAGE(C12:C41)</f>
        <v>41101.9333333333</v>
      </c>
      <c r="F41" s="4" t="s">
        <v>57</v>
      </c>
    </row>
    <row r="42" customFormat="false" ht="15" hidden="false" customHeight="true" outlineLevel="0" collapsed="false">
      <c r="A42" s="15" t="n">
        <v>45564</v>
      </c>
      <c r="B42" s="4" t="s">
        <v>59</v>
      </c>
      <c r="C42" s="5" t="n">
        <v>27257</v>
      </c>
      <c r="D42" s="5" t="n">
        <f aca="false">AVERAGE(C36:C42)</f>
        <v>40725.7142857143</v>
      </c>
      <c r="E42" s="5" t="n">
        <f aca="false">AVERAGE(C13:C42)</f>
        <v>40630.8666666667</v>
      </c>
      <c r="F42" s="4" t="s">
        <v>57</v>
      </c>
    </row>
    <row r="43" customFormat="false" ht="15" hidden="false" customHeight="true" outlineLevel="0" collapsed="false">
      <c r="A43" s="15" t="n">
        <v>45565</v>
      </c>
      <c r="B43" s="4" t="s">
        <v>55</v>
      </c>
      <c r="C43" s="5" t="n">
        <v>52825</v>
      </c>
      <c r="D43" s="5" t="n">
        <f aca="false">AVERAGE(C37:C43)</f>
        <v>40929.2857142857</v>
      </c>
      <c r="E43" s="5" t="n">
        <f aca="false">AVERAGE(C14:C43)</f>
        <v>41829.9</v>
      </c>
      <c r="F43" s="4" t="s">
        <v>50</v>
      </c>
    </row>
    <row r="44" customFormat="false" ht="15" hidden="false" customHeight="true" outlineLevel="0" collapsed="false">
      <c r="A44" s="15" t="n">
        <v>45566</v>
      </c>
      <c r="B44" s="4" t="s">
        <v>58</v>
      </c>
      <c r="C44" s="5" t="n">
        <v>54376</v>
      </c>
      <c r="D44" s="5" t="n">
        <f aca="false">AVERAGE(C38:C44)</f>
        <v>41079.4285714286</v>
      </c>
      <c r="E44" s="5" t="n">
        <f aca="false">AVERAGE(C15:C44)</f>
        <v>42725.7666666667</v>
      </c>
      <c r="F44" s="4" t="s">
        <v>50</v>
      </c>
    </row>
    <row r="45" customFormat="false" ht="15" hidden="false" customHeight="true" outlineLevel="0" collapsed="false">
      <c r="A45" s="15" t="n">
        <v>45567</v>
      </c>
      <c r="B45" s="4" t="s">
        <v>60</v>
      </c>
      <c r="C45" s="5" t="n">
        <v>49327</v>
      </c>
      <c r="D45" s="5" t="n">
        <f aca="false">AVERAGE(C39:C45)</f>
        <v>41170</v>
      </c>
      <c r="E45" s="5" t="n">
        <f aca="false">AVERAGE(C16:C45)</f>
        <v>43531.8333333333</v>
      </c>
      <c r="F45" s="4" t="s">
        <v>50</v>
      </c>
    </row>
    <row r="46" customFormat="false" ht="15" hidden="false" customHeight="true" outlineLevel="0" collapsed="false">
      <c r="A46" s="15" t="n">
        <v>45568</v>
      </c>
      <c r="B46" s="4" t="s">
        <v>49</v>
      </c>
      <c r="C46" s="5" t="n">
        <v>49356</v>
      </c>
      <c r="D46" s="5" t="n">
        <f aca="false">AVERAGE(C40:C46)</f>
        <v>40979.4285714286</v>
      </c>
      <c r="E46" s="5" t="n">
        <f aca="false">AVERAGE(C17:C46)</f>
        <v>43360.5333333333</v>
      </c>
      <c r="F46" s="4" t="s">
        <v>50</v>
      </c>
    </row>
    <row r="47" customFormat="false" ht="15" hidden="false" customHeight="true" outlineLevel="0" collapsed="false">
      <c r="A47" s="15" t="n">
        <v>45569</v>
      </c>
      <c r="B47" s="4" t="s">
        <v>54</v>
      </c>
      <c r="C47" s="5" t="n">
        <v>38488</v>
      </c>
      <c r="D47" s="5" t="n">
        <f aca="false">AVERAGE(C41:C47)</f>
        <v>41771</v>
      </c>
      <c r="E47" s="5" t="n">
        <f aca="false">AVERAGE(C18:C47)</f>
        <v>42653.8</v>
      </c>
      <c r="F47" s="4" t="s">
        <v>50</v>
      </c>
    </row>
    <row r="48" customFormat="false" ht="15" hidden="false" customHeight="true" outlineLevel="0" collapsed="false">
      <c r="A48" s="15" t="n">
        <v>45570</v>
      </c>
      <c r="B48" s="4" t="s">
        <v>56</v>
      </c>
      <c r="C48" s="5" t="n">
        <v>19520</v>
      </c>
      <c r="D48" s="5" t="n">
        <f aca="false">AVERAGE(C42:C48)</f>
        <v>41592.7142857143</v>
      </c>
      <c r="E48" s="5" t="n">
        <f aca="false">AVERAGE(C19:C48)</f>
        <v>41501.5666666667</v>
      </c>
      <c r="F48" s="4" t="s">
        <v>57</v>
      </c>
    </row>
    <row r="49" customFormat="false" ht="15" hidden="false" customHeight="true" outlineLevel="0" collapsed="false">
      <c r="A49" s="15" t="n">
        <v>45571</v>
      </c>
      <c r="B49" s="4" t="s">
        <v>59</v>
      </c>
      <c r="C49" s="5" t="n">
        <v>34006</v>
      </c>
      <c r="D49" s="5" t="n">
        <f aca="false">AVERAGE(C43:C49)</f>
        <v>42556.8571428571</v>
      </c>
      <c r="E49" s="5" t="n">
        <f aca="false">AVERAGE(C20:C49)</f>
        <v>41249.9</v>
      </c>
      <c r="F49" s="4" t="s">
        <v>57</v>
      </c>
    </row>
    <row r="50" customFormat="false" ht="15" hidden="false" customHeight="true" outlineLevel="0" collapsed="false">
      <c r="A50" s="15" t="n">
        <v>45572</v>
      </c>
      <c r="B50" s="4" t="s">
        <v>55</v>
      </c>
      <c r="C50" s="5" t="n">
        <v>52138</v>
      </c>
      <c r="D50" s="5" t="n">
        <f aca="false">AVERAGE(C44:C50)</f>
        <v>42458.7142857143</v>
      </c>
      <c r="E50" s="5" t="n">
        <f aca="false">AVERAGE(C21:C50)</f>
        <v>42278.8333333333</v>
      </c>
      <c r="F50" s="4" t="s">
        <v>50</v>
      </c>
    </row>
    <row r="51" customFormat="false" ht="15" hidden="false" customHeight="true" outlineLevel="0" collapsed="false">
      <c r="A51" s="15" t="n">
        <v>45573</v>
      </c>
      <c r="B51" s="4" t="s">
        <v>58</v>
      </c>
      <c r="C51" s="5" t="n">
        <v>52077</v>
      </c>
      <c r="D51" s="5" t="n">
        <f aca="false">AVERAGE(C45:C51)</f>
        <v>42130.2857142857</v>
      </c>
      <c r="E51" s="5" t="n">
        <f aca="false">AVERAGE(C22:C51)</f>
        <v>42770.4333333333</v>
      </c>
      <c r="F51" s="4" t="s">
        <v>50</v>
      </c>
    </row>
    <row r="52" customFormat="false" ht="15" hidden="false" customHeight="true" outlineLevel="0" collapsed="false">
      <c r="A52" s="15" t="n">
        <v>45574</v>
      </c>
      <c r="B52" s="4" t="s">
        <v>60</v>
      </c>
      <c r="C52" s="5" t="n">
        <v>48981</v>
      </c>
      <c r="D52" s="5" t="n">
        <f aca="false">AVERAGE(C46:C52)</f>
        <v>42080.8571428571</v>
      </c>
      <c r="E52" s="5" t="n">
        <f aca="false">AVERAGE(C23:C52)</f>
        <v>42666.6333333333</v>
      </c>
      <c r="F52" s="4" t="s">
        <v>50</v>
      </c>
    </row>
    <row r="53" customFormat="false" ht="15" hidden="false" customHeight="true" outlineLevel="0" collapsed="false">
      <c r="A53" s="15" t="n">
        <v>45575</v>
      </c>
      <c r="B53" s="4" t="s">
        <v>49</v>
      </c>
      <c r="C53" s="5" t="n">
        <v>49954</v>
      </c>
      <c r="D53" s="5" t="n">
        <f aca="false">AVERAGE(C47:C53)</f>
        <v>42166.2857142857</v>
      </c>
      <c r="E53" s="5" t="n">
        <f aca="false">AVERAGE(C24:C53)</f>
        <v>42580.9666666667</v>
      </c>
      <c r="F53" s="4" t="s">
        <v>50</v>
      </c>
    </row>
    <row r="54" customFormat="false" ht="15" hidden="false" customHeight="true" outlineLevel="0" collapsed="false">
      <c r="A54" s="15" t="n">
        <v>45576</v>
      </c>
      <c r="B54" s="4" t="s">
        <v>54</v>
      </c>
      <c r="C54" s="5" t="n">
        <v>36074</v>
      </c>
      <c r="D54" s="5" t="n">
        <f aca="false">AVERAGE(C48:C54)</f>
        <v>41821.4285714286</v>
      </c>
      <c r="E54" s="5" t="n">
        <f aca="false">AVERAGE(C25:C54)</f>
        <v>42088.1</v>
      </c>
      <c r="F54" s="4" t="s">
        <v>50</v>
      </c>
    </row>
    <row r="55" customFormat="false" ht="15" hidden="false" customHeight="true" outlineLevel="0" collapsed="false">
      <c r="A55" s="15" t="n">
        <v>45577</v>
      </c>
      <c r="B55" s="4" t="s">
        <v>56</v>
      </c>
      <c r="C55" s="5" t="n">
        <v>22513</v>
      </c>
      <c r="D55" s="5" t="n">
        <f aca="false">AVERAGE(C49:C55)</f>
        <v>42249</v>
      </c>
      <c r="E55" s="5" t="n">
        <f aca="false">AVERAGE(C26:C55)</f>
        <v>41174.2</v>
      </c>
      <c r="F55" s="4" t="s">
        <v>57</v>
      </c>
    </row>
    <row r="56" customFormat="false" ht="15" hidden="false" customHeight="true" outlineLevel="0" collapsed="false">
      <c r="A56" s="15" t="n">
        <v>45578</v>
      </c>
      <c r="B56" s="4" t="s">
        <v>59</v>
      </c>
      <c r="C56" s="5" t="n">
        <v>34386</v>
      </c>
      <c r="D56" s="5" t="n">
        <f aca="false">AVERAGE(C50:C56)</f>
        <v>42303.2857142857</v>
      </c>
      <c r="E56" s="5" t="n">
        <f aca="false">AVERAGE(C27:C56)</f>
        <v>41052.5666666667</v>
      </c>
      <c r="F56" s="4" t="s">
        <v>57</v>
      </c>
    </row>
    <row r="57" customFormat="false" ht="15" hidden="false" customHeight="true" outlineLevel="0" collapsed="false">
      <c r="A57" s="15" t="n">
        <v>45579</v>
      </c>
      <c r="B57" s="4" t="s">
        <v>55</v>
      </c>
      <c r="C57" s="5" t="n">
        <v>49986</v>
      </c>
      <c r="D57" s="5" t="n">
        <f aca="false">AVERAGE(C51:C57)</f>
        <v>41995.8571428571</v>
      </c>
      <c r="E57" s="5" t="n">
        <f aca="false">AVERAGE(C28:C57)</f>
        <v>41984.7</v>
      </c>
      <c r="F57" s="4" t="s">
        <v>50</v>
      </c>
    </row>
    <row r="58" customFormat="false" ht="15" hidden="false" customHeight="true" outlineLevel="0" collapsed="false">
      <c r="A58" s="15" t="n">
        <v>45580</v>
      </c>
      <c r="B58" s="4" t="s">
        <v>58</v>
      </c>
      <c r="C58" s="5" t="n">
        <v>56591</v>
      </c>
      <c r="D58" s="5" t="n">
        <f aca="false">AVERAGE(C52:C58)</f>
        <v>42640.7142857143</v>
      </c>
      <c r="E58" s="5" t="n">
        <f aca="false">AVERAGE(C29:C58)</f>
        <v>42685.3333333333</v>
      </c>
      <c r="F58" s="4" t="s">
        <v>50</v>
      </c>
    </row>
    <row r="59" customFormat="false" ht="15" hidden="false" customHeight="true" outlineLevel="0" collapsed="false">
      <c r="A59" s="15" t="n">
        <v>45581</v>
      </c>
      <c r="B59" s="4" t="s">
        <v>60</v>
      </c>
      <c r="C59" s="5" t="n">
        <v>51461</v>
      </c>
      <c r="D59" s="5" t="n">
        <f aca="false">AVERAGE(C53:C59)</f>
        <v>42995</v>
      </c>
      <c r="E59" s="5" t="n">
        <f aca="false">AVERAGE(C30:C59)</f>
        <v>42702.5</v>
      </c>
      <c r="F59" s="4" t="s">
        <v>50</v>
      </c>
    </row>
    <row r="60" customFormat="false" ht="15" hidden="false" customHeight="true" outlineLevel="0" collapsed="false">
      <c r="A60" s="15" t="n">
        <v>45582</v>
      </c>
      <c r="B60" s="4" t="s">
        <v>49</v>
      </c>
      <c r="C60" s="5" t="n">
        <v>52025</v>
      </c>
      <c r="D60" s="5" t="n">
        <f aca="false">AVERAGE(C54:C60)</f>
        <v>43290.8571428571</v>
      </c>
      <c r="E60" s="5" t="n">
        <f aca="false">AVERAGE(C31:C60)</f>
        <v>42639.1666666667</v>
      </c>
      <c r="F60" s="4" t="s">
        <v>50</v>
      </c>
    </row>
    <row r="61" customFormat="false" ht="15" hidden="false" customHeight="true" outlineLevel="0" collapsed="false">
      <c r="A61" s="15" t="n">
        <v>45583</v>
      </c>
      <c r="B61" s="4" t="s">
        <v>54</v>
      </c>
      <c r="C61" s="5" t="n">
        <v>37272</v>
      </c>
      <c r="D61" s="5" t="n">
        <f aca="false">AVERAGE(C55:C61)</f>
        <v>43462</v>
      </c>
      <c r="E61" s="5" t="n">
        <f aca="false">AVERAGE(C32:C61)</f>
        <v>42181.7333333333</v>
      </c>
      <c r="F61" s="4" t="s">
        <v>50</v>
      </c>
    </row>
    <row r="62" customFormat="false" ht="15" hidden="false" customHeight="true" outlineLevel="0" collapsed="false">
      <c r="A62" s="15" t="n">
        <v>45584</v>
      </c>
      <c r="B62" s="4" t="s">
        <v>56</v>
      </c>
      <c r="C62" s="5" t="n">
        <v>21698</v>
      </c>
      <c r="D62" s="5" t="n">
        <f aca="false">AVERAGE(C56:C62)</f>
        <v>43345.5714285714</v>
      </c>
      <c r="E62" s="5" t="n">
        <f aca="false">AVERAGE(C33:C62)</f>
        <v>41274.0666666667</v>
      </c>
      <c r="F62" s="4" t="s">
        <v>57</v>
      </c>
    </row>
    <row r="63" customFormat="false" ht="15" hidden="false" customHeight="true" outlineLevel="0" collapsed="false">
      <c r="A63" s="15" t="n">
        <v>45585</v>
      </c>
      <c r="B63" s="4" t="s">
        <v>59</v>
      </c>
      <c r="C63" s="5" t="n">
        <v>35989</v>
      </c>
      <c r="D63" s="5" t="n">
        <f aca="false">AVERAGE(C57:C63)</f>
        <v>43574.5714285714</v>
      </c>
      <c r="E63" s="5" t="n">
        <f aca="false">AVERAGE(C34:C63)</f>
        <v>41222.5666666667</v>
      </c>
      <c r="F63" s="4" t="s">
        <v>57</v>
      </c>
    </row>
    <row r="64" customFormat="false" ht="15" hidden="false" customHeight="true" outlineLevel="0" collapsed="false">
      <c r="A64" s="15" t="n">
        <v>45586</v>
      </c>
      <c r="B64" s="4" t="s">
        <v>55</v>
      </c>
      <c r="C64" s="5" t="n">
        <v>51101</v>
      </c>
      <c r="D64" s="5" t="n">
        <f aca="false">AVERAGE(C58:C64)</f>
        <v>43733.8571428571</v>
      </c>
      <c r="E64" s="5" t="n">
        <f aca="false">AVERAGE(C35:C64)</f>
        <v>42387.4333333333</v>
      </c>
      <c r="F64" s="4" t="s">
        <v>50</v>
      </c>
    </row>
    <row r="65" customFormat="false" ht="15" hidden="false" customHeight="true" outlineLevel="0" collapsed="false">
      <c r="A65" s="15" t="n">
        <v>45587</v>
      </c>
      <c r="B65" s="4" t="s">
        <v>58</v>
      </c>
      <c r="C65" s="5" t="n">
        <v>56619</v>
      </c>
      <c r="D65" s="5" t="n">
        <f aca="false">AVERAGE(C59:C65)</f>
        <v>43737.8571428571</v>
      </c>
      <c r="E65" s="5" t="n">
        <f aca="false">AVERAGE(C36:C65)</f>
        <v>43061.4333333333</v>
      </c>
      <c r="F65" s="4" t="s">
        <v>50</v>
      </c>
    </row>
    <row r="66" customFormat="false" ht="15" hidden="false" customHeight="true" outlineLevel="0" collapsed="false">
      <c r="A66" s="15" t="n">
        <v>45588</v>
      </c>
      <c r="B66" s="4" t="s">
        <v>60</v>
      </c>
      <c r="C66" s="5" t="n">
        <v>52441</v>
      </c>
      <c r="D66" s="5" t="n">
        <f aca="false">AVERAGE(C60:C66)</f>
        <v>43877.8571428571</v>
      </c>
      <c r="E66" s="5" t="n">
        <f aca="false">AVERAGE(C37:C66)</f>
        <v>43096.1333333333</v>
      </c>
      <c r="F66" s="4" t="s">
        <v>50</v>
      </c>
    </row>
    <row r="67" customFormat="false" ht="15" hidden="false" customHeight="true" outlineLevel="0" collapsed="false">
      <c r="A67" s="15" t="n">
        <v>45589</v>
      </c>
      <c r="B67" s="4" t="s">
        <v>49</v>
      </c>
      <c r="C67" s="5" t="n">
        <v>53482</v>
      </c>
      <c r="D67" s="5" t="n">
        <f aca="false">AVERAGE(C61:C67)</f>
        <v>44086</v>
      </c>
      <c r="E67" s="5" t="n">
        <f aca="false">AVERAGE(C38:C67)</f>
        <v>43101.3666666667</v>
      </c>
      <c r="F67" s="4" t="s">
        <v>50</v>
      </c>
    </row>
    <row r="68" customFormat="false" ht="15" hidden="false" customHeight="true" outlineLevel="0" collapsed="false">
      <c r="A68" s="15" t="n">
        <v>45590</v>
      </c>
      <c r="B68" s="4" t="s">
        <v>54</v>
      </c>
      <c r="C68" s="5" t="n">
        <v>34854</v>
      </c>
      <c r="D68" s="5" t="n">
        <f aca="false">AVERAGE(C62:C68)</f>
        <v>43740.5714285714</v>
      </c>
      <c r="E68" s="5" t="n">
        <f aca="false">AVERAGE(C39:C68)</f>
        <v>42640.0666666667</v>
      </c>
      <c r="F68" s="4" t="s">
        <v>50</v>
      </c>
    </row>
    <row r="69" customFormat="false" ht="15" hidden="false" customHeight="true" outlineLevel="0" collapsed="false">
      <c r="A69" s="15" t="n">
        <v>45591</v>
      </c>
      <c r="B69" s="4" t="s">
        <v>56</v>
      </c>
      <c r="C69" s="5" t="n">
        <v>22673</v>
      </c>
      <c r="D69" s="5" t="n">
        <f aca="false">AVERAGE(C63:C69)</f>
        <v>43879.8571428571</v>
      </c>
      <c r="E69" s="5" t="n">
        <f aca="false">AVERAGE(C40:C69)</f>
        <v>41706.1666666667</v>
      </c>
      <c r="F69" s="4" t="s">
        <v>57</v>
      </c>
    </row>
    <row r="70" customFormat="false" ht="15" hidden="false" customHeight="true" outlineLevel="0" collapsed="false">
      <c r="A70" s="15" t="n">
        <v>45592</v>
      </c>
      <c r="B70" s="4" t="s">
        <v>59</v>
      </c>
      <c r="C70" s="5" t="n">
        <v>35782</v>
      </c>
      <c r="D70" s="5" t="n">
        <f aca="false">AVERAGE(C64:C70)</f>
        <v>43850.2857142857</v>
      </c>
      <c r="E70" s="5" t="n">
        <f aca="false">AVERAGE(C41:C70)</f>
        <v>41800.6666666667</v>
      </c>
      <c r="F70" s="4" t="s">
        <v>57</v>
      </c>
    </row>
    <row r="71" customFormat="false" ht="15" hidden="false" customHeight="true" outlineLevel="0" collapsed="false">
      <c r="A71" s="15" t="n">
        <v>45593</v>
      </c>
      <c r="B71" s="4" t="s">
        <v>55</v>
      </c>
      <c r="C71" s="5" t="n">
        <v>52652</v>
      </c>
      <c r="D71" s="5" t="n">
        <f aca="false">AVERAGE(C65:C71)</f>
        <v>44071.8571428571</v>
      </c>
      <c r="E71" s="5" t="n">
        <f aca="false">AVERAGE(C42:C71)</f>
        <v>42863.4666666667</v>
      </c>
      <c r="F71" s="4" t="s">
        <v>50</v>
      </c>
    </row>
    <row r="72" customFormat="false" ht="15" hidden="false" customHeight="true" outlineLevel="0" collapsed="false">
      <c r="A72" s="15" t="n">
        <v>45594</v>
      </c>
      <c r="B72" s="4" t="s">
        <v>58</v>
      </c>
      <c r="C72" s="5" t="n">
        <v>52153</v>
      </c>
      <c r="D72" s="5" t="n">
        <f aca="false">AVERAGE(C66:C72)</f>
        <v>43433.8571428571</v>
      </c>
      <c r="E72" s="5" t="n">
        <f aca="false">AVERAGE(C43:C72)</f>
        <v>43693.3333333333</v>
      </c>
      <c r="F72" s="4" t="s">
        <v>50</v>
      </c>
    </row>
    <row r="73" customFormat="false" ht="15" hidden="false" customHeight="true" outlineLevel="0" collapsed="false">
      <c r="A73" s="15" t="n">
        <v>45595</v>
      </c>
      <c r="B73" s="4" t="s">
        <v>60</v>
      </c>
      <c r="C73" s="5" t="n">
        <v>52565</v>
      </c>
      <c r="D73" s="5" t="n">
        <f aca="false">AVERAGE(C67:C73)</f>
        <v>43451.5714285714</v>
      </c>
      <c r="E73" s="5" t="n">
        <f aca="false">AVERAGE(C44:C73)</f>
        <v>43684.6666666667</v>
      </c>
      <c r="F73" s="4" t="s">
        <v>50</v>
      </c>
    </row>
    <row r="74" customFormat="false" ht="15" hidden="false" customHeight="true" outlineLevel="0" collapsed="false">
      <c r="A74" s="15" t="n">
        <v>45596</v>
      </c>
      <c r="B74" s="4" t="s">
        <v>49</v>
      </c>
      <c r="C74" s="5" t="n">
        <v>51203</v>
      </c>
      <c r="D74" s="5" t="n">
        <f aca="false">AVERAGE(C68:C74)</f>
        <v>43126</v>
      </c>
      <c r="E74" s="5" t="n">
        <f aca="false">AVERAGE(C45:C74)</f>
        <v>43578.9</v>
      </c>
      <c r="F74" s="4" t="s">
        <v>50</v>
      </c>
    </row>
    <row r="75" customFormat="false" ht="15" hidden="false" customHeight="true" outlineLevel="0" collapsed="false">
      <c r="A75" s="15" t="n">
        <v>45597</v>
      </c>
      <c r="B75" s="4" t="s">
        <v>54</v>
      </c>
      <c r="C75" s="5" t="n">
        <v>27420</v>
      </c>
      <c r="D75" s="5" t="n">
        <f aca="false">AVERAGE(C69:C75)</f>
        <v>42064</v>
      </c>
      <c r="E75" s="5" t="n">
        <f aca="false">AVERAGE(C46:C75)</f>
        <v>42848.6666666667</v>
      </c>
      <c r="F75" s="4" t="s">
        <v>50</v>
      </c>
    </row>
    <row r="76" customFormat="false" ht="15" hidden="false" customHeight="true" outlineLevel="0" collapsed="false">
      <c r="A76" s="15" t="n">
        <v>45598</v>
      </c>
      <c r="B76" s="4" t="s">
        <v>56</v>
      </c>
      <c r="C76" s="5" t="n">
        <v>24945</v>
      </c>
      <c r="D76" s="5" t="n">
        <f aca="false">AVERAGE(C70:C76)</f>
        <v>42388.5714285714</v>
      </c>
      <c r="E76" s="5" t="n">
        <f aca="false">AVERAGE(C47:C76)</f>
        <v>42034.9666666667</v>
      </c>
      <c r="F76" s="4" t="s">
        <v>57</v>
      </c>
    </row>
    <row r="77" customFormat="false" ht="15" hidden="false" customHeight="true" outlineLevel="0" collapsed="false">
      <c r="A77" s="15" t="n">
        <v>45599</v>
      </c>
      <c r="B77" s="4" t="s">
        <v>59</v>
      </c>
      <c r="C77" s="5" t="n">
        <v>39000</v>
      </c>
      <c r="D77" s="5" t="n">
        <f aca="false">AVERAGE(C71:C77)</f>
        <v>42848.2857142857</v>
      </c>
      <c r="E77" s="5" t="n">
        <f aca="false">AVERAGE(C48:C77)</f>
        <v>42052.0333333333</v>
      </c>
      <c r="F77" s="4" t="s">
        <v>57</v>
      </c>
    </row>
    <row r="78" customFormat="false" ht="15" hidden="false" customHeight="true" outlineLevel="0" collapsed="false">
      <c r="A78" s="15" t="n">
        <v>45600</v>
      </c>
      <c r="B78" s="4" t="s">
        <v>55</v>
      </c>
      <c r="C78" s="5" t="n">
        <v>47400</v>
      </c>
      <c r="D78" s="5" t="n">
        <f aca="false">AVERAGE(C72:C78)</f>
        <v>42098</v>
      </c>
      <c r="E78" s="5" t="n">
        <f aca="false">AVERAGE(C49:C78)</f>
        <v>42981.3666666667</v>
      </c>
      <c r="F78" s="4" t="s">
        <v>50</v>
      </c>
    </row>
    <row r="79" customFormat="false" ht="15" hidden="false" customHeight="true" outlineLevel="0" collapsed="false">
      <c r="A79" s="15" t="n">
        <v>45601</v>
      </c>
      <c r="B79" s="4" t="s">
        <v>58</v>
      </c>
      <c r="C79" s="5" t="n">
        <v>54444</v>
      </c>
      <c r="D79" s="5" t="n">
        <f aca="false">AVERAGE(C73:C79)</f>
        <v>42425.2857142857</v>
      </c>
      <c r="E79" s="5" t="n">
        <f aca="false">AVERAGE(C50:C79)</f>
        <v>43662.6333333333</v>
      </c>
      <c r="F79" s="4" t="s">
        <v>50</v>
      </c>
    </row>
    <row r="80" customFormat="false" ht="15" hidden="false" customHeight="true" outlineLevel="0" collapsed="false">
      <c r="A80" s="15" t="n">
        <v>45602</v>
      </c>
      <c r="B80" s="4" t="s">
        <v>60</v>
      </c>
      <c r="C80" s="5" t="n">
        <v>51378</v>
      </c>
      <c r="D80" s="5" t="n">
        <f aca="false">AVERAGE(C74:C80)</f>
        <v>42255.7142857143</v>
      </c>
      <c r="E80" s="5" t="n">
        <f aca="false">AVERAGE(C51:C80)</f>
        <v>43637.3</v>
      </c>
      <c r="F80" s="4" t="s">
        <v>50</v>
      </c>
    </row>
    <row r="81" customFormat="false" ht="15" hidden="false" customHeight="true" outlineLevel="0" collapsed="false">
      <c r="A81" s="15" t="n">
        <v>45603</v>
      </c>
      <c r="B81" s="4" t="s">
        <v>49</v>
      </c>
      <c r="C81" s="5" t="n">
        <v>48559</v>
      </c>
      <c r="D81" s="5" t="n">
        <f aca="false">AVERAGE(C75:C81)</f>
        <v>41878</v>
      </c>
      <c r="E81" s="5" t="n">
        <f aca="false">AVERAGE(C52:C81)</f>
        <v>43520.0333333333</v>
      </c>
      <c r="F81" s="4" t="s">
        <v>50</v>
      </c>
    </row>
    <row r="82" customFormat="false" ht="15" hidden="false" customHeight="true" outlineLevel="0" collapsed="false">
      <c r="A82" s="15" t="n">
        <v>45604</v>
      </c>
      <c r="B82" s="4" t="s">
        <v>54</v>
      </c>
      <c r="C82" s="5" t="n">
        <v>36942</v>
      </c>
      <c r="D82" s="5" t="n">
        <f aca="false">AVERAGE(C76:C82)</f>
        <v>43238.2857142857</v>
      </c>
      <c r="E82" s="5" t="n">
        <f aca="false">AVERAGE(C53:C82)</f>
        <v>43118.7333333333</v>
      </c>
      <c r="F82" s="4" t="s">
        <v>50</v>
      </c>
    </row>
    <row r="83" customFormat="false" ht="15" hidden="false" customHeight="true" outlineLevel="0" collapsed="false">
      <c r="A83" s="15" t="n">
        <v>45605</v>
      </c>
      <c r="B83" s="4" t="s">
        <v>56</v>
      </c>
      <c r="C83" s="5" t="n">
        <v>18275</v>
      </c>
      <c r="D83" s="5" t="n">
        <f aca="false">AVERAGE(C77:C83)</f>
        <v>42285.4285714286</v>
      </c>
      <c r="E83" s="5" t="n">
        <f aca="false">AVERAGE(C54:C83)</f>
        <v>42062.7666666667</v>
      </c>
      <c r="F83" s="4" t="s">
        <v>57</v>
      </c>
    </row>
    <row r="84" customFormat="false" ht="15" hidden="false" customHeight="true" outlineLevel="0" collapsed="false">
      <c r="A84" s="15" t="n">
        <v>45606</v>
      </c>
      <c r="B84" s="4" t="s">
        <v>59</v>
      </c>
      <c r="C84" s="5" t="n">
        <v>35836</v>
      </c>
      <c r="D84" s="5" t="n">
        <f aca="false">AVERAGE(C78:C84)</f>
        <v>41833.4285714286</v>
      </c>
      <c r="E84" s="5" t="n">
        <f aca="false">AVERAGE(C55:C84)</f>
        <v>42054.8333333333</v>
      </c>
      <c r="F84" s="4" t="s">
        <v>57</v>
      </c>
    </row>
    <row r="85" customFormat="false" ht="15" hidden="false" customHeight="true" outlineLevel="0" collapsed="false">
      <c r="A85" s="15" t="n">
        <v>45607</v>
      </c>
      <c r="B85" s="4" t="s">
        <v>55</v>
      </c>
      <c r="C85" s="5" t="n">
        <v>48409</v>
      </c>
      <c r="D85" s="5" t="n">
        <f aca="false">AVERAGE(C79:C85)</f>
        <v>41977.5714285714</v>
      </c>
      <c r="E85" s="5" t="n">
        <f aca="false">AVERAGE(C56:C85)</f>
        <v>42918.0333333333</v>
      </c>
      <c r="F85" s="4" t="s">
        <v>50</v>
      </c>
    </row>
    <row r="86" customFormat="false" ht="15" hidden="false" customHeight="true" outlineLevel="0" collapsed="false">
      <c r="A86" s="15" t="n">
        <v>45608</v>
      </c>
      <c r="B86" s="4" t="s">
        <v>58</v>
      </c>
      <c r="C86" s="5" t="n">
        <v>52133</v>
      </c>
      <c r="D86" s="5" t="n">
        <f aca="false">AVERAGE(C80:C86)</f>
        <v>41647.4285714286</v>
      </c>
      <c r="E86" s="5" t="n">
        <f aca="false">AVERAGE(C57:C86)</f>
        <v>43509.6</v>
      </c>
      <c r="F86" s="4" t="s">
        <v>50</v>
      </c>
    </row>
    <row r="87" customFormat="false" ht="15" hidden="false" customHeight="true" outlineLevel="0" collapsed="false">
      <c r="A87" s="15" t="n">
        <v>45609</v>
      </c>
      <c r="B87" s="4" t="s">
        <v>60</v>
      </c>
      <c r="C87" s="5" t="n">
        <v>53627</v>
      </c>
      <c r="D87" s="5" t="n">
        <f aca="false">AVERAGE(C81:C87)</f>
        <v>41968.7142857143</v>
      </c>
      <c r="E87" s="5" t="n">
        <f aca="false">AVERAGE(C58:C87)</f>
        <v>43630.9666666667</v>
      </c>
      <c r="F87" s="4" t="s">
        <v>50</v>
      </c>
    </row>
    <row r="88" customFormat="false" ht="15" hidden="false" customHeight="true" outlineLevel="0" collapsed="false">
      <c r="A88" s="15" t="n">
        <v>45610</v>
      </c>
      <c r="B88" s="4" t="s">
        <v>49</v>
      </c>
      <c r="C88" s="5" t="n">
        <v>49006</v>
      </c>
      <c r="D88" s="5" t="n">
        <f aca="false">AVERAGE(C82:C88)</f>
        <v>42032.5714285714</v>
      </c>
      <c r="E88" s="5" t="n">
        <f aca="false">AVERAGE(C59:C88)</f>
        <v>43378.1333333333</v>
      </c>
      <c r="F88" s="4" t="s">
        <v>50</v>
      </c>
    </row>
    <row r="89" customFormat="false" ht="15" hidden="false" customHeight="true" outlineLevel="0" collapsed="false">
      <c r="A89" s="15" t="n">
        <v>45611</v>
      </c>
      <c r="B89" s="4" t="s">
        <v>54</v>
      </c>
      <c r="C89" s="5" t="n">
        <v>34623</v>
      </c>
      <c r="D89" s="5" t="n">
        <f aca="false">AVERAGE(C83:C89)</f>
        <v>41701.2857142857</v>
      </c>
      <c r="E89" s="5" t="n">
        <f aca="false">AVERAGE(C60:C89)</f>
        <v>42816.8666666667</v>
      </c>
      <c r="F89" s="4" t="s">
        <v>50</v>
      </c>
    </row>
    <row r="90" customFormat="false" ht="15" hidden="false" customHeight="true" outlineLevel="0" collapsed="false">
      <c r="A90" s="15" t="n">
        <v>45612</v>
      </c>
      <c r="B90" s="4" t="s">
        <v>56</v>
      </c>
      <c r="C90" s="5" t="n">
        <v>19401</v>
      </c>
      <c r="D90" s="5" t="n">
        <f aca="false">AVERAGE(C84:C90)</f>
        <v>41862.1428571429</v>
      </c>
      <c r="E90" s="5" t="n">
        <f aca="false">AVERAGE(C61:C90)</f>
        <v>41729.4</v>
      </c>
      <c r="F90" s="4" t="s">
        <v>57</v>
      </c>
    </row>
    <row r="91" customFormat="false" ht="15" hidden="false" customHeight="true" outlineLevel="0" collapsed="false">
      <c r="A91" s="15" t="n">
        <v>45613</v>
      </c>
      <c r="B91" s="4" t="s">
        <v>59</v>
      </c>
      <c r="C91" s="5" t="n">
        <v>37713</v>
      </c>
      <c r="D91" s="5" t="n">
        <f aca="false">AVERAGE(C85:C91)</f>
        <v>42130.2857142857</v>
      </c>
      <c r="E91" s="5" t="n">
        <f aca="false">AVERAGE(C62:C91)</f>
        <v>41744.1</v>
      </c>
      <c r="F91" s="4" t="s">
        <v>57</v>
      </c>
    </row>
    <row r="92" customFormat="false" ht="15" hidden="false" customHeight="true" outlineLevel="0" collapsed="false">
      <c r="A92" s="15" t="n">
        <v>45614</v>
      </c>
      <c r="B92" s="4" t="s">
        <v>55</v>
      </c>
      <c r="C92" s="5" t="n">
        <v>49618</v>
      </c>
      <c r="D92" s="5" t="n">
        <f aca="false">AVERAGE(C86:C92)</f>
        <v>42303</v>
      </c>
      <c r="E92" s="5" t="n">
        <f aca="false">AVERAGE(C63:C92)</f>
        <v>42674.7666666667</v>
      </c>
      <c r="F92" s="4" t="s">
        <v>50</v>
      </c>
    </row>
    <row r="93" customFormat="false" ht="15" hidden="false" customHeight="true" outlineLevel="0" collapsed="false">
      <c r="A93" s="15" t="n">
        <v>45615</v>
      </c>
      <c r="B93" s="4" t="s">
        <v>58</v>
      </c>
      <c r="C93" s="5" t="n">
        <v>52125</v>
      </c>
      <c r="D93" s="5" t="n">
        <f aca="false">AVERAGE(C87:C93)</f>
        <v>42301.8571428571</v>
      </c>
      <c r="E93" s="5" t="n">
        <f aca="false">AVERAGE(C64:C93)</f>
        <v>43212.6333333333</v>
      </c>
      <c r="F93" s="4" t="s">
        <v>50</v>
      </c>
    </row>
    <row r="94" customFormat="false" ht="15" hidden="false" customHeight="true" outlineLevel="0" collapsed="false">
      <c r="A94" s="15" t="n">
        <v>45616</v>
      </c>
      <c r="B94" s="4" t="s">
        <v>60</v>
      </c>
      <c r="C94" s="5" t="n">
        <v>52327</v>
      </c>
      <c r="D94" s="5" t="n">
        <f aca="false">AVERAGE(C88:C94)</f>
        <v>42116.1428571429</v>
      </c>
      <c r="E94" s="5" t="n">
        <f aca="false">AVERAGE(C65:C94)</f>
        <v>43253.5</v>
      </c>
      <c r="F94" s="4" t="s">
        <v>50</v>
      </c>
    </row>
    <row r="95" customFormat="false" ht="15" hidden="false" customHeight="true" outlineLevel="0" collapsed="false">
      <c r="A95" s="15" t="n">
        <v>45617</v>
      </c>
      <c r="B95" s="4" t="s">
        <v>49</v>
      </c>
      <c r="C95" s="5" t="n">
        <v>50090</v>
      </c>
      <c r="D95" s="5" t="n">
        <f aca="false">AVERAGE(C89:C95)</f>
        <v>42271</v>
      </c>
      <c r="E95" s="5" t="n">
        <f aca="false">AVERAGE(C66:C95)</f>
        <v>43035.8666666667</v>
      </c>
      <c r="F95" s="4" t="s">
        <v>50</v>
      </c>
    </row>
    <row r="96" customFormat="false" ht="15" hidden="false" customHeight="true" outlineLevel="0" collapsed="false">
      <c r="A96" s="15" t="n">
        <v>45618</v>
      </c>
      <c r="B96" s="4" t="s">
        <v>54</v>
      </c>
      <c r="C96" s="5" t="n">
        <v>42351</v>
      </c>
      <c r="D96" s="5" t="n">
        <f aca="false">AVERAGE(C90:C96)</f>
        <v>43375</v>
      </c>
      <c r="E96" s="5" t="n">
        <f aca="false">AVERAGE(C67:C96)</f>
        <v>42699.5333333333</v>
      </c>
      <c r="F96" s="4" t="s">
        <v>50</v>
      </c>
    </row>
    <row r="97" customFormat="false" ht="15" hidden="false" customHeight="true" outlineLevel="0" collapsed="false">
      <c r="A97" s="15" t="n">
        <v>45619</v>
      </c>
      <c r="B97" s="4" t="s">
        <v>56</v>
      </c>
      <c r="C97" s="5" t="n">
        <v>22276</v>
      </c>
      <c r="D97" s="5" t="n">
        <f aca="false">AVERAGE(C91:C97)</f>
        <v>43785.7142857143</v>
      </c>
      <c r="E97" s="5" t="n">
        <f aca="false">AVERAGE(C68:C97)</f>
        <v>41659.3333333333</v>
      </c>
      <c r="F97" s="4" t="s">
        <v>57</v>
      </c>
    </row>
    <row r="98" customFormat="false" ht="15" hidden="false" customHeight="true" outlineLevel="0" collapsed="false">
      <c r="A98" s="15" t="n">
        <v>45620</v>
      </c>
      <c r="B98" s="4" t="s">
        <v>59</v>
      </c>
      <c r="C98" s="5" t="n">
        <v>37416</v>
      </c>
      <c r="D98" s="5" t="n">
        <f aca="false">AVERAGE(C92:C98)</f>
        <v>43743.2857142857</v>
      </c>
      <c r="E98" s="5" t="n">
        <f aca="false">AVERAGE(C69:C98)</f>
        <v>41744.7333333333</v>
      </c>
      <c r="F98" s="4" t="s">
        <v>57</v>
      </c>
    </row>
    <row r="99" customFormat="false" ht="15" hidden="false" customHeight="true" outlineLevel="0" collapsed="false">
      <c r="A99" s="15" t="n">
        <v>45621</v>
      </c>
      <c r="B99" s="4" t="s">
        <v>55</v>
      </c>
      <c r="C99" s="5" t="n">
        <v>48678</v>
      </c>
      <c r="D99" s="5" t="n">
        <f aca="false">AVERAGE(C93:C99)</f>
        <v>43609</v>
      </c>
      <c r="E99" s="5" t="n">
        <f aca="false">AVERAGE(C70:C99)</f>
        <v>42611.5666666667</v>
      </c>
      <c r="F99" s="4" t="s">
        <v>50</v>
      </c>
    </row>
    <row r="100" customFormat="false" ht="15" hidden="false" customHeight="true" outlineLevel="0" collapsed="false">
      <c r="A100" s="15" t="n">
        <v>45622</v>
      </c>
      <c r="B100" s="4" t="s">
        <v>58</v>
      </c>
      <c r="C100" s="5" t="n">
        <v>53519</v>
      </c>
      <c r="D100" s="5" t="n">
        <f aca="false">AVERAGE(C94:C100)</f>
        <v>43808.1428571429</v>
      </c>
      <c r="E100" s="5" t="n">
        <f aca="false">AVERAGE(C71:C100)</f>
        <v>43202.8</v>
      </c>
      <c r="F100" s="4" t="s">
        <v>50</v>
      </c>
    </row>
    <row r="101" customFormat="false" ht="15" hidden="false" customHeight="true" outlineLevel="0" collapsed="false">
      <c r="A101" s="15" t="n">
        <v>45623</v>
      </c>
      <c r="B101" s="4" t="s">
        <v>60</v>
      </c>
      <c r="C101" s="5" t="n">
        <v>44439</v>
      </c>
      <c r="D101" s="5" t="n">
        <f aca="false">AVERAGE(C95:C101)</f>
        <v>42681.2857142857</v>
      </c>
      <c r="E101" s="5" t="n">
        <f aca="false">AVERAGE(C72:C101)</f>
        <v>42929.0333333333</v>
      </c>
      <c r="F101" s="4" t="s">
        <v>50</v>
      </c>
    </row>
    <row r="102" customFormat="false" ht="15" hidden="false" customHeight="true" outlineLevel="0" collapsed="false">
      <c r="A102" s="15" t="n">
        <v>45624</v>
      </c>
      <c r="B102" s="4" t="s">
        <v>49</v>
      </c>
      <c r="C102" s="5" t="n">
        <v>24688</v>
      </c>
      <c r="D102" s="5" t="n">
        <f aca="false">AVERAGE(C96:C102)</f>
        <v>39052.4285714286</v>
      </c>
      <c r="E102" s="5" t="n">
        <f aca="false">AVERAGE(C73:C102)</f>
        <v>42013.5333333333</v>
      </c>
      <c r="F102" s="4" t="s">
        <v>50</v>
      </c>
    </row>
    <row r="103" customFormat="false" ht="15" hidden="false" customHeight="true" outlineLevel="0" collapsed="false">
      <c r="A103" s="15" t="n">
        <v>45625</v>
      </c>
      <c r="B103" s="4" t="s">
        <v>54</v>
      </c>
      <c r="C103" s="5" t="n">
        <v>25913</v>
      </c>
      <c r="D103" s="5" t="n">
        <f aca="false">AVERAGE(C97:C103)</f>
        <v>36704.1428571429</v>
      </c>
      <c r="E103" s="5" t="n">
        <f aca="false">AVERAGE(C74:C103)</f>
        <v>41125.1333333333</v>
      </c>
      <c r="F103" s="4" t="s">
        <v>50</v>
      </c>
    </row>
    <row r="104" customFormat="false" ht="15" hidden="false" customHeight="true" outlineLevel="0" collapsed="false">
      <c r="A104" s="15" t="n">
        <v>45626</v>
      </c>
      <c r="B104" s="4" t="s">
        <v>56</v>
      </c>
      <c r="C104" s="5" t="n">
        <v>21871</v>
      </c>
      <c r="D104" s="5" t="n">
        <f aca="false">AVERAGE(C98:C104)</f>
        <v>36646.2857142857</v>
      </c>
      <c r="E104" s="5" t="n">
        <f aca="false">AVERAGE(C75:C104)</f>
        <v>40147.4</v>
      </c>
      <c r="F104" s="4" t="s">
        <v>57</v>
      </c>
    </row>
    <row r="105" customFormat="false" ht="15" hidden="false" customHeight="true" outlineLevel="0" collapsed="false">
      <c r="A105" s="15" t="n">
        <v>45627</v>
      </c>
      <c r="B105" s="4" t="s">
        <v>59</v>
      </c>
      <c r="C105" s="5" t="n">
        <v>37794</v>
      </c>
      <c r="D105" s="5" t="n">
        <f aca="false">AVERAGE(C99:C105)</f>
        <v>36700.2857142857</v>
      </c>
      <c r="E105" s="5" t="n">
        <f aca="false">AVERAGE(C76:C105)</f>
        <v>40493.2</v>
      </c>
      <c r="F105" s="4" t="s">
        <v>57</v>
      </c>
    </row>
    <row r="106" customFormat="false" ht="15" hidden="false" customHeight="true" outlineLevel="0" collapsed="false">
      <c r="A106" s="15" t="n">
        <v>45628</v>
      </c>
      <c r="B106" s="4" t="s">
        <v>55</v>
      </c>
      <c r="C106" s="5" t="n">
        <v>51909</v>
      </c>
      <c r="D106" s="5" t="n">
        <f aca="false">AVERAGE(C100:C106)</f>
        <v>37161.8571428571</v>
      </c>
      <c r="E106" s="5" t="n">
        <f aca="false">AVERAGE(C77:C106)</f>
        <v>41392</v>
      </c>
      <c r="F106" s="4" t="s">
        <v>50</v>
      </c>
    </row>
    <row r="107" customFormat="false" ht="15" hidden="false" customHeight="true" outlineLevel="0" collapsed="false">
      <c r="A107" s="15" t="n">
        <v>45629</v>
      </c>
      <c r="B107" s="4" t="s">
        <v>58</v>
      </c>
      <c r="C107" s="5" t="n">
        <v>56323</v>
      </c>
      <c r="D107" s="5" t="n">
        <f aca="false">AVERAGE(C101:C107)</f>
        <v>37562.4285714286</v>
      </c>
      <c r="E107" s="5" t="n">
        <f aca="false">AVERAGE(C78:C107)</f>
        <v>41969.4333333333</v>
      </c>
      <c r="F107" s="4" t="s">
        <v>50</v>
      </c>
    </row>
    <row r="108" customFormat="false" ht="15" hidden="false" customHeight="true" outlineLevel="0" collapsed="false">
      <c r="A108" s="15" t="n">
        <v>45630</v>
      </c>
      <c r="B108" s="4" t="s">
        <v>60</v>
      </c>
      <c r="C108" s="5" t="n">
        <v>56860</v>
      </c>
      <c r="D108" s="5" t="n">
        <f aca="false">AVERAGE(C102:C108)</f>
        <v>39336.8571428571</v>
      </c>
      <c r="E108" s="5" t="n">
        <f aca="false">AVERAGE(C79:C108)</f>
        <v>42284.7666666667</v>
      </c>
      <c r="F108" s="4" t="s">
        <v>50</v>
      </c>
    </row>
    <row r="109" customFormat="false" ht="15" hidden="false" customHeight="true" outlineLevel="0" collapsed="false">
      <c r="A109" s="15" t="n">
        <v>45631</v>
      </c>
      <c r="B109" s="4" t="s">
        <v>49</v>
      </c>
      <c r="C109" s="5" t="n">
        <v>57233</v>
      </c>
      <c r="D109" s="5" t="n">
        <f aca="false">AVERAGE(C103:C109)</f>
        <v>43986.1428571429</v>
      </c>
      <c r="E109" s="5" t="n">
        <f aca="false">AVERAGE(C80:C109)</f>
        <v>42377.7333333333</v>
      </c>
      <c r="F109" s="4" t="s">
        <v>50</v>
      </c>
    </row>
    <row r="110" customFormat="false" ht="15" hidden="false" customHeight="true" outlineLevel="0" collapsed="false">
      <c r="A110" s="15" t="n">
        <v>45632</v>
      </c>
      <c r="B110" s="4" t="s">
        <v>54</v>
      </c>
      <c r="C110" s="5" t="n">
        <v>47859</v>
      </c>
      <c r="D110" s="5" t="n">
        <f aca="false">AVERAGE(C104:C110)</f>
        <v>47121.2857142857</v>
      </c>
      <c r="E110" s="5" t="n">
        <f aca="false">AVERAGE(C81:C110)</f>
        <v>42260.4333333333</v>
      </c>
      <c r="F110" s="4" t="s">
        <v>50</v>
      </c>
    </row>
    <row r="111" customFormat="false" ht="15" hidden="false" customHeight="true" outlineLevel="0" collapsed="false">
      <c r="A111" s="15" t="n">
        <v>45633</v>
      </c>
      <c r="B111" s="4" t="s">
        <v>56</v>
      </c>
      <c r="C111" s="5" t="n">
        <v>20614</v>
      </c>
      <c r="D111" s="5" t="n">
        <f aca="false">AVERAGE(C105:C111)</f>
        <v>46941.7142857143</v>
      </c>
      <c r="E111" s="5" t="n">
        <f aca="false">AVERAGE(C82:C111)</f>
        <v>41328.9333333333</v>
      </c>
      <c r="F111" s="4" t="s">
        <v>57</v>
      </c>
    </row>
    <row r="112" customFormat="false" ht="15" hidden="false" customHeight="true" outlineLevel="0" collapsed="false">
      <c r="A112" s="15" t="n">
        <v>45634</v>
      </c>
      <c r="B112" s="4" t="s">
        <v>59</v>
      </c>
      <c r="C112" s="5" t="n">
        <v>40567</v>
      </c>
      <c r="D112" s="5" t="n">
        <f aca="false">AVERAGE(C106:C112)</f>
        <v>47337.8571428571</v>
      </c>
      <c r="E112" s="5" t="n">
        <f aca="false">AVERAGE(C83:C112)</f>
        <v>41449.7666666667</v>
      </c>
      <c r="F112" s="4" t="s">
        <v>57</v>
      </c>
    </row>
    <row r="113" customFormat="false" ht="15" hidden="false" customHeight="true" outlineLevel="0" collapsed="false">
      <c r="A113" s="15" t="n">
        <v>45635</v>
      </c>
      <c r="B113" s="4" t="s">
        <v>55</v>
      </c>
      <c r="C113" s="5" t="n">
        <v>54794</v>
      </c>
      <c r="D113" s="5" t="n">
        <f aca="false">AVERAGE(C107:C113)</f>
        <v>47750</v>
      </c>
      <c r="E113" s="5" t="n">
        <f aca="false">AVERAGE(C84:C113)</f>
        <v>42667.0666666667</v>
      </c>
      <c r="F113" s="4" t="s">
        <v>50</v>
      </c>
    </row>
    <row r="114" customFormat="false" ht="15" hidden="false" customHeight="true" outlineLevel="0" collapsed="false">
      <c r="A114" s="15" t="n">
        <v>45636</v>
      </c>
      <c r="B114" s="4" t="s">
        <v>58</v>
      </c>
      <c r="C114" s="5" t="n">
        <v>56227</v>
      </c>
      <c r="D114" s="5" t="n">
        <f aca="false">AVERAGE(C108:C114)</f>
        <v>47736.2857142857</v>
      </c>
      <c r="E114" s="5" t="n">
        <f aca="false">AVERAGE(C85:C114)</f>
        <v>43346.7666666667</v>
      </c>
      <c r="F114" s="4" t="s">
        <v>50</v>
      </c>
    </row>
    <row r="115" customFormat="false" ht="15" hidden="false" customHeight="true" outlineLevel="0" collapsed="false">
      <c r="A115" s="15" t="n">
        <v>45637</v>
      </c>
      <c r="B115" s="4" t="s">
        <v>60</v>
      </c>
      <c r="C115" s="5" t="n">
        <v>58759</v>
      </c>
      <c r="D115" s="5" t="n">
        <f aca="false">AVERAGE(C109:C115)</f>
        <v>48007.5714285714</v>
      </c>
      <c r="E115" s="5" t="n">
        <f aca="false">AVERAGE(C86:C115)</f>
        <v>43691.7666666667</v>
      </c>
      <c r="F115" s="4" t="s">
        <v>50</v>
      </c>
    </row>
    <row r="116" customFormat="false" ht="15" hidden="false" customHeight="true" outlineLevel="0" collapsed="false">
      <c r="A116" s="15" t="n">
        <v>45638</v>
      </c>
      <c r="B116" s="4" t="s">
        <v>49</v>
      </c>
      <c r="C116" s="5" t="n">
        <v>56953</v>
      </c>
      <c r="D116" s="5" t="n">
        <f aca="false">AVERAGE(C110:C116)</f>
        <v>47967.5714285714</v>
      </c>
      <c r="E116" s="5" t="n">
        <f aca="false">AVERAGE(C87:C116)</f>
        <v>43852.4333333333</v>
      </c>
      <c r="F116" s="4" t="s">
        <v>50</v>
      </c>
    </row>
    <row r="117" customFormat="false" ht="15" hidden="false" customHeight="true" outlineLevel="0" collapsed="false">
      <c r="A117" s="15" t="n">
        <v>45639</v>
      </c>
      <c r="B117" s="4" t="s">
        <v>54</v>
      </c>
      <c r="C117" s="5" t="n">
        <v>40206</v>
      </c>
      <c r="D117" s="5" t="n">
        <f aca="false">AVERAGE(C111:C117)</f>
        <v>46874.2857142857</v>
      </c>
      <c r="E117" s="5" t="n">
        <f aca="false">AVERAGE(C88:C117)</f>
        <v>43405.0666666667</v>
      </c>
      <c r="F117" s="4" t="s">
        <v>50</v>
      </c>
    </row>
    <row r="118" customFormat="false" ht="15" hidden="false" customHeight="true" outlineLevel="0" collapsed="false">
      <c r="A118" s="15" t="n">
        <v>45640</v>
      </c>
      <c r="B118" s="4" t="s">
        <v>56</v>
      </c>
      <c r="C118" s="5" t="n">
        <v>25205</v>
      </c>
      <c r="D118" s="5" t="n">
        <f aca="false">AVERAGE(C112:C118)</f>
        <v>47530.1428571429</v>
      </c>
      <c r="E118" s="5" t="n">
        <f aca="false">AVERAGE(C89:C118)</f>
        <v>42611.7</v>
      </c>
      <c r="F118" s="4" t="s">
        <v>57</v>
      </c>
    </row>
    <row r="119" customFormat="false" ht="15" hidden="false" customHeight="true" outlineLevel="0" collapsed="false">
      <c r="A119" s="15" t="n">
        <v>45641</v>
      </c>
      <c r="B119" s="4" t="s">
        <v>59</v>
      </c>
      <c r="C119" s="5" t="n">
        <v>38962</v>
      </c>
      <c r="D119" s="5" t="n">
        <f aca="false">AVERAGE(C113:C119)</f>
        <v>47300.8571428571</v>
      </c>
      <c r="E119" s="5" t="n">
        <f aca="false">AVERAGE(C90:C119)</f>
        <v>42756.3333333333</v>
      </c>
      <c r="F119" s="4" t="s">
        <v>57</v>
      </c>
    </row>
    <row r="120" customFormat="false" ht="15" hidden="false" customHeight="true" outlineLevel="0" collapsed="false">
      <c r="A120" s="15" t="n">
        <v>45642</v>
      </c>
      <c r="B120" s="4" t="s">
        <v>55</v>
      </c>
      <c r="C120" s="5" t="n">
        <v>52555</v>
      </c>
      <c r="D120" s="5" t="n">
        <f aca="false">AVERAGE(C114:C120)</f>
        <v>46981</v>
      </c>
      <c r="E120" s="5" t="n">
        <f aca="false">AVERAGE(C91:C120)</f>
        <v>43861.4666666667</v>
      </c>
      <c r="F120" s="4" t="s">
        <v>50</v>
      </c>
    </row>
    <row r="121" customFormat="false" ht="15" hidden="false" customHeight="true" outlineLevel="0" collapsed="false">
      <c r="A121" s="15" t="n">
        <v>45643</v>
      </c>
      <c r="B121" s="4" t="s">
        <v>58</v>
      </c>
      <c r="C121" s="5" t="n">
        <v>58132</v>
      </c>
      <c r="D121" s="5" t="n">
        <f aca="false">AVERAGE(C115:C121)</f>
        <v>47253.1428571429</v>
      </c>
      <c r="E121" s="5" t="n">
        <f aca="false">AVERAGE(C92:C121)</f>
        <v>44542.1</v>
      </c>
      <c r="F121" s="4" t="s">
        <v>50</v>
      </c>
    </row>
    <row r="122" customFormat="false" ht="15" hidden="false" customHeight="true" outlineLevel="0" collapsed="false">
      <c r="A122" s="15" t="n">
        <v>45644</v>
      </c>
      <c r="B122" s="4" t="s">
        <v>60</v>
      </c>
      <c r="C122" s="5" t="n">
        <v>58927</v>
      </c>
      <c r="D122" s="5" t="n">
        <f aca="false">AVERAGE(C116:C122)</f>
        <v>47277.1428571429</v>
      </c>
      <c r="E122" s="5" t="n">
        <f aca="false">AVERAGE(C93:C122)</f>
        <v>44852.4</v>
      </c>
      <c r="F122" s="4" t="s">
        <v>50</v>
      </c>
    </row>
    <row r="123" customFormat="false" ht="15" hidden="false" customHeight="true" outlineLevel="0" collapsed="false">
      <c r="A123" s="15" t="n">
        <v>45645</v>
      </c>
      <c r="B123" s="4" t="s">
        <v>49</v>
      </c>
      <c r="C123" s="5" t="n">
        <v>53294</v>
      </c>
      <c r="D123" s="5" t="n">
        <f aca="false">AVERAGE(C117:C123)</f>
        <v>46754.4285714286</v>
      </c>
      <c r="E123" s="5" t="n">
        <f aca="false">AVERAGE(C94:C123)</f>
        <v>44891.3666666667</v>
      </c>
      <c r="F123" s="4" t="s">
        <v>50</v>
      </c>
    </row>
    <row r="124" customFormat="false" ht="15" hidden="false" customHeight="true" outlineLevel="0" collapsed="false">
      <c r="A124" s="15" t="n">
        <v>45646</v>
      </c>
      <c r="B124" s="4" t="s">
        <v>54</v>
      </c>
      <c r="C124" s="5" t="n">
        <v>45832</v>
      </c>
      <c r="D124" s="5" t="n">
        <f aca="false">AVERAGE(C118:C124)</f>
        <v>47558.1428571429</v>
      </c>
      <c r="E124" s="5" t="n">
        <f aca="false">AVERAGE(C95:C124)</f>
        <v>44674.8666666667</v>
      </c>
      <c r="F124" s="4" t="s">
        <v>50</v>
      </c>
    </row>
    <row r="125" customFormat="false" ht="15" hidden="false" customHeight="true" outlineLevel="0" collapsed="false">
      <c r="A125" s="15" t="n">
        <v>45647</v>
      </c>
      <c r="B125" s="4" t="s">
        <v>56</v>
      </c>
      <c r="C125" s="5" t="n">
        <v>23279</v>
      </c>
      <c r="D125" s="5" t="n">
        <f aca="false">AVERAGE(C119:C125)</f>
        <v>47283</v>
      </c>
      <c r="E125" s="5" t="n">
        <f aca="false">AVERAGE(C96:C125)</f>
        <v>43781.1666666667</v>
      </c>
      <c r="F125" s="4" t="s">
        <v>57</v>
      </c>
    </row>
    <row r="126" customFormat="false" ht="15" hidden="false" customHeight="true" outlineLevel="0" collapsed="false">
      <c r="A126" s="15" t="n">
        <v>45648</v>
      </c>
      <c r="B126" s="4" t="s">
        <v>59</v>
      </c>
      <c r="C126" s="5" t="n">
        <v>40690</v>
      </c>
      <c r="D126" s="5" t="n">
        <f aca="false">AVERAGE(C120:C126)</f>
        <v>47529.8571428571</v>
      </c>
      <c r="E126" s="5" t="n">
        <f aca="false">AVERAGE(C97:C126)</f>
        <v>43725.8</v>
      </c>
      <c r="F126" s="4" t="s">
        <v>57</v>
      </c>
    </row>
    <row r="127" customFormat="false" ht="15" hidden="false" customHeight="true" outlineLevel="0" collapsed="false">
      <c r="A127" s="15" t="n">
        <v>45649</v>
      </c>
      <c r="B127" s="4" t="s">
        <v>55</v>
      </c>
      <c r="C127" s="5" t="n">
        <v>48350</v>
      </c>
      <c r="D127" s="5" t="n">
        <f aca="false">AVERAGE(C121:C127)</f>
        <v>46929.1428571429</v>
      </c>
      <c r="E127" s="5" t="n">
        <f aca="false">AVERAGE(C98:C127)</f>
        <v>44594.9333333333</v>
      </c>
      <c r="F127" s="4" t="s">
        <v>50</v>
      </c>
    </row>
    <row r="128" customFormat="false" ht="15" hidden="false" customHeight="true" outlineLevel="0" collapsed="false">
      <c r="A128" s="15" t="n">
        <v>45650</v>
      </c>
      <c r="B128" s="4" t="s">
        <v>58</v>
      </c>
      <c r="C128" s="5" t="n">
        <v>14258</v>
      </c>
      <c r="D128" s="5" t="n">
        <f aca="false">AVERAGE(C122:C128)</f>
        <v>40661.4285714286</v>
      </c>
      <c r="E128" s="5" t="n">
        <f aca="false">AVERAGE(C99:C128)</f>
        <v>43823</v>
      </c>
      <c r="F128" s="4" t="s">
        <v>50</v>
      </c>
    </row>
    <row r="129" customFormat="false" ht="15" hidden="false" customHeight="true" outlineLevel="0" collapsed="false">
      <c r="A129" s="15" t="n">
        <v>45651</v>
      </c>
      <c r="B129" s="4" t="s">
        <v>60</v>
      </c>
      <c r="C129" s="5" t="n">
        <v>22091</v>
      </c>
      <c r="D129" s="5" t="n">
        <f aca="false">AVERAGE(C123:C129)</f>
        <v>35399.1428571429</v>
      </c>
      <c r="E129" s="5" t="n">
        <f aca="false">AVERAGE(C100:C129)</f>
        <v>42936.7666666667</v>
      </c>
      <c r="F129" s="4" t="s">
        <v>50</v>
      </c>
    </row>
    <row r="130" customFormat="false" ht="15" hidden="false" customHeight="true" outlineLevel="0" collapsed="false">
      <c r="A130" s="15" t="n">
        <v>45652</v>
      </c>
      <c r="B130" s="4" t="s">
        <v>49</v>
      </c>
      <c r="C130" s="5" t="n">
        <v>53042</v>
      </c>
      <c r="D130" s="5" t="n">
        <f aca="false">AVERAGE(C124:C130)</f>
        <v>35363.1428571429</v>
      </c>
      <c r="E130" s="5" t="n">
        <f aca="false">AVERAGE(C101:C130)</f>
        <v>42920.8666666667</v>
      </c>
      <c r="F130" s="4" t="s">
        <v>50</v>
      </c>
    </row>
    <row r="131" customFormat="false" ht="15" hidden="false" customHeight="true" outlineLevel="0" collapsed="false">
      <c r="A131" s="15" t="n">
        <v>45653</v>
      </c>
      <c r="B131" s="4" t="s">
        <v>54</v>
      </c>
      <c r="C131" s="5" t="n">
        <v>43370</v>
      </c>
      <c r="D131" s="5" t="n">
        <f aca="false">AVERAGE(C125:C131)</f>
        <v>35011.4285714286</v>
      </c>
      <c r="E131" s="5" t="n">
        <f aca="false">AVERAGE(C102:C131)</f>
        <v>42885.2333333333</v>
      </c>
      <c r="F131" s="4" t="s">
        <v>50</v>
      </c>
    </row>
    <row r="132" customFormat="false" ht="15" hidden="false" customHeight="true" outlineLevel="0" collapsed="false">
      <c r="A132" s="15" t="n">
        <v>45654</v>
      </c>
      <c r="B132" s="4" t="s">
        <v>56</v>
      </c>
      <c r="C132" s="5" t="n">
        <v>21421</v>
      </c>
      <c r="D132" s="5" t="n">
        <f aca="false">AVERAGE(C126:C132)</f>
        <v>34746</v>
      </c>
      <c r="E132" s="5" t="n">
        <f aca="false">AVERAGE(C103:C132)</f>
        <v>42776.3333333333</v>
      </c>
      <c r="F132" s="4" t="s">
        <v>57</v>
      </c>
    </row>
    <row r="133" customFormat="false" ht="15" hidden="false" customHeight="true" outlineLevel="0" collapsed="false">
      <c r="A133" s="15" t="n">
        <v>45655</v>
      </c>
      <c r="B133" s="4" t="s">
        <v>59</v>
      </c>
      <c r="C133" s="5" t="n">
        <v>43797</v>
      </c>
      <c r="D133" s="5" t="n">
        <f aca="false">AVERAGE(C127:C133)</f>
        <v>35189.8571428571</v>
      </c>
      <c r="E133" s="5" t="n">
        <f aca="false">AVERAGE(C104:C133)</f>
        <v>43372.4666666667</v>
      </c>
      <c r="F133" s="4" t="s">
        <v>57</v>
      </c>
    </row>
    <row r="134" customFormat="false" ht="15" hidden="false" customHeight="true" outlineLevel="0" collapsed="false">
      <c r="A134" s="15" t="n">
        <v>45656</v>
      </c>
      <c r="B134" s="4" t="s">
        <v>55</v>
      </c>
      <c r="C134" s="5" t="n">
        <v>55097</v>
      </c>
      <c r="D134" s="5" t="n">
        <f aca="false">AVERAGE(C128:C134)</f>
        <v>36153.7142857143</v>
      </c>
      <c r="E134" s="5" t="n">
        <f aca="false">AVERAGE(C105:C134)</f>
        <v>44480</v>
      </c>
      <c r="F134" s="4" t="s">
        <v>50</v>
      </c>
    </row>
    <row r="135" customFormat="false" ht="15" hidden="false" customHeight="true" outlineLevel="0" collapsed="false">
      <c r="A135" s="15" t="n">
        <v>45657</v>
      </c>
      <c r="B135" s="4" t="s">
        <v>58</v>
      </c>
      <c r="C135" s="5" t="n">
        <v>22184</v>
      </c>
      <c r="D135" s="5" t="n">
        <f aca="false">AVERAGE(C129:C135)</f>
        <v>37286</v>
      </c>
      <c r="E135" s="5" t="n">
        <f aca="false">AVERAGE(C106:C135)</f>
        <v>43959.6666666667</v>
      </c>
      <c r="F135" s="4" t="s">
        <v>50</v>
      </c>
    </row>
    <row r="136" customFormat="false" ht="15" hidden="false" customHeight="true" outlineLevel="0" collapsed="false">
      <c r="A136" s="15" t="n">
        <v>45658</v>
      </c>
      <c r="B136" s="4" t="s">
        <v>60</v>
      </c>
      <c r="C136" s="5" t="n">
        <v>27226</v>
      </c>
      <c r="D136" s="5" t="n">
        <f aca="false">AVERAGE(C130:C136)</f>
        <v>38019.5714285714</v>
      </c>
      <c r="E136" s="5" t="n">
        <f aca="false">AVERAGE(C107:C136)</f>
        <v>43136.9</v>
      </c>
      <c r="F136" s="4" t="s">
        <v>50</v>
      </c>
    </row>
    <row r="137" customFormat="false" ht="15" hidden="false" customHeight="true" outlineLevel="0" collapsed="false">
      <c r="A137" s="15" t="n">
        <v>45659</v>
      </c>
      <c r="B137" s="4" t="s">
        <v>49</v>
      </c>
      <c r="C137" s="5" t="n">
        <v>56348</v>
      </c>
      <c r="D137" s="5" t="n">
        <f aca="false">AVERAGE(C131:C137)</f>
        <v>38491.8571428571</v>
      </c>
      <c r="E137" s="5" t="n">
        <f aca="false">AVERAGE(C108:C137)</f>
        <v>43137.7333333333</v>
      </c>
      <c r="F137" s="4" t="s">
        <v>50</v>
      </c>
    </row>
    <row r="138" customFormat="false" ht="15" hidden="false" customHeight="true" outlineLevel="0" collapsed="false">
      <c r="A138" s="15" t="n">
        <v>45660</v>
      </c>
      <c r="B138" s="4" t="s">
        <v>54</v>
      </c>
      <c r="C138" s="5" t="n">
        <v>45750</v>
      </c>
      <c r="D138" s="5" t="n">
        <f aca="false">AVERAGE(C132:C138)</f>
        <v>38831.8571428571</v>
      </c>
      <c r="E138" s="5" t="n">
        <f aca="false">AVERAGE(C109:C138)</f>
        <v>42767.4</v>
      </c>
      <c r="F138" s="4" t="s">
        <v>50</v>
      </c>
    </row>
    <row r="139" customFormat="false" ht="15" hidden="false" customHeight="true" outlineLevel="0" collapsed="false">
      <c r="A139" s="15" t="n">
        <v>45661</v>
      </c>
      <c r="B139" s="4" t="s">
        <v>56</v>
      </c>
      <c r="C139" s="5" t="n">
        <v>27520</v>
      </c>
      <c r="D139" s="5" t="n">
        <f aca="false">AVERAGE(C133:C139)</f>
        <v>39703.1428571429</v>
      </c>
      <c r="E139" s="5" t="n">
        <f aca="false">AVERAGE(C110:C139)</f>
        <v>41776.9666666667</v>
      </c>
      <c r="F139" s="4" t="s">
        <v>57</v>
      </c>
    </row>
    <row r="140" customFormat="false" ht="15" hidden="false" customHeight="true" outlineLevel="0" collapsed="false">
      <c r="A140" s="15" t="n">
        <v>45662</v>
      </c>
      <c r="B140" s="4" t="s">
        <v>59</v>
      </c>
      <c r="C140" s="5" t="n">
        <v>51596</v>
      </c>
      <c r="D140" s="5" t="n">
        <f aca="false">AVERAGE(C134:C140)</f>
        <v>40817.2857142857</v>
      </c>
      <c r="E140" s="5" t="n">
        <f aca="false">AVERAGE(C111:C140)</f>
        <v>41901.5333333333</v>
      </c>
      <c r="F140" s="4" t="s">
        <v>57</v>
      </c>
    </row>
    <row r="141" customFormat="false" ht="15" hidden="false" customHeight="true" outlineLevel="0" collapsed="false">
      <c r="A141" s="15" t="n">
        <v>45663</v>
      </c>
      <c r="B141" s="4" t="s">
        <v>55</v>
      </c>
      <c r="C141" s="5" t="n">
        <v>58305</v>
      </c>
      <c r="D141" s="5" t="n">
        <f aca="false">AVERAGE(C135:C141)</f>
        <v>41275.5714285714</v>
      </c>
      <c r="E141" s="5" t="n">
        <f aca="false">AVERAGE(C112:C141)</f>
        <v>43157.9</v>
      </c>
      <c r="F141" s="4" t="s">
        <v>50</v>
      </c>
    </row>
    <row r="142" customFormat="false" ht="15" hidden="false" customHeight="true" outlineLevel="0" collapsed="false">
      <c r="A142" s="15" t="n">
        <v>45664</v>
      </c>
      <c r="B142" s="4" t="s">
        <v>58</v>
      </c>
      <c r="C142" s="5" t="n">
        <v>57370</v>
      </c>
      <c r="D142" s="5" t="n">
        <f aca="false">AVERAGE(C136:C142)</f>
        <v>46302.1428571429</v>
      </c>
      <c r="E142" s="5" t="n">
        <f aca="false">AVERAGE(C113:C142)</f>
        <v>43718</v>
      </c>
      <c r="F142" s="4" t="s">
        <v>50</v>
      </c>
    </row>
    <row r="143" customFormat="false" ht="15" hidden="false" customHeight="true" outlineLevel="0" collapsed="false">
      <c r="A143" s="15" t="n">
        <v>45665</v>
      </c>
      <c r="B143" s="4" t="s">
        <v>60</v>
      </c>
      <c r="C143" s="5" t="n">
        <v>59831</v>
      </c>
      <c r="D143" s="5" t="n">
        <f aca="false">AVERAGE(C137:C143)</f>
        <v>50960</v>
      </c>
      <c r="E143" s="5" t="n">
        <f aca="false">AVERAGE(C114:C143)</f>
        <v>43885.9</v>
      </c>
      <c r="F143" s="4" t="s">
        <v>50</v>
      </c>
    </row>
    <row r="144" customFormat="false" ht="15" hidden="false" customHeight="true" outlineLevel="0" collapsed="false">
      <c r="A144" s="15" t="n">
        <v>45666</v>
      </c>
      <c r="B144" s="4" t="s">
        <v>49</v>
      </c>
      <c r="C144" s="5" t="n">
        <v>59590</v>
      </c>
      <c r="D144" s="5" t="n">
        <f aca="false">AVERAGE(C138:C144)</f>
        <v>51423.1428571429</v>
      </c>
      <c r="E144" s="5" t="n">
        <f aca="false">AVERAGE(C115:C144)</f>
        <v>43998</v>
      </c>
      <c r="F144" s="4" t="s">
        <v>50</v>
      </c>
    </row>
    <row r="145" customFormat="false" ht="15" hidden="false" customHeight="true" outlineLevel="0" collapsed="false">
      <c r="A145" s="15" t="n">
        <v>45667</v>
      </c>
      <c r="B145" s="4" t="s">
        <v>54</v>
      </c>
      <c r="C145" s="5" t="n">
        <v>46583</v>
      </c>
      <c r="D145" s="5" t="n">
        <f aca="false">AVERAGE(C139:C145)</f>
        <v>51542.1428571429</v>
      </c>
      <c r="E145" s="5" t="n">
        <f aca="false">AVERAGE(C116:C145)</f>
        <v>43592.1333333333</v>
      </c>
      <c r="F145" s="4" t="s">
        <v>50</v>
      </c>
    </row>
    <row r="146" customFormat="false" ht="15" hidden="false" customHeight="true" outlineLevel="0" collapsed="false">
      <c r="A146" s="15" t="n">
        <v>45668</v>
      </c>
      <c r="B146" s="4" t="s">
        <v>56</v>
      </c>
      <c r="C146" s="5" t="n">
        <v>23105</v>
      </c>
      <c r="D146" s="5" t="n">
        <f aca="false">AVERAGE(C140:C146)</f>
        <v>50911.4285714286</v>
      </c>
      <c r="E146" s="5" t="n">
        <f aca="false">AVERAGE(C117:C146)</f>
        <v>42463.8666666667</v>
      </c>
      <c r="F146" s="4" t="s">
        <v>57</v>
      </c>
    </row>
    <row r="147" customFormat="false" ht="15" hidden="false" customHeight="true" outlineLevel="0" collapsed="false">
      <c r="A147" s="15" t="n">
        <v>45669</v>
      </c>
      <c r="B147" s="4" t="s">
        <v>59</v>
      </c>
      <c r="C147" s="5" t="n">
        <v>52918</v>
      </c>
      <c r="D147" s="5" t="n">
        <f aca="false">AVERAGE(C141:C147)</f>
        <v>51100.2857142857</v>
      </c>
      <c r="E147" s="5" t="n">
        <f aca="false">AVERAGE(C118:C147)</f>
        <v>42887.6</v>
      </c>
      <c r="F147" s="4" t="s">
        <v>57</v>
      </c>
    </row>
    <row r="148" customFormat="false" ht="15" hidden="false" customHeight="true" outlineLevel="0" collapsed="false">
      <c r="A148" s="15" t="n">
        <v>45670</v>
      </c>
      <c r="B148" s="4" t="s">
        <v>55</v>
      </c>
      <c r="C148" s="5" t="n">
        <v>60379</v>
      </c>
      <c r="D148" s="5" t="n">
        <f aca="false">AVERAGE(C142:C148)</f>
        <v>51396.5714285714</v>
      </c>
      <c r="E148" s="5" t="n">
        <f aca="false">AVERAGE(C119:C148)</f>
        <v>44060.0666666667</v>
      </c>
      <c r="F148" s="4" t="s">
        <v>50</v>
      </c>
    </row>
    <row r="149" customFormat="false" ht="15" hidden="false" customHeight="true" outlineLevel="0" collapsed="false">
      <c r="A149" s="15" t="n">
        <v>45671</v>
      </c>
      <c r="B149" s="4" t="s">
        <v>58</v>
      </c>
      <c r="C149" s="5" t="n">
        <v>57080</v>
      </c>
      <c r="D149" s="5" t="n">
        <f aca="false">AVERAGE(C143:C149)</f>
        <v>51355.1428571429</v>
      </c>
      <c r="E149" s="5" t="n">
        <f aca="false">AVERAGE(C120:C149)</f>
        <v>44664</v>
      </c>
      <c r="F149" s="4" t="s">
        <v>50</v>
      </c>
    </row>
    <row r="150" customFormat="false" ht="15" hidden="false" customHeight="true" outlineLevel="0" collapsed="false">
      <c r="A150" s="15" t="n">
        <v>45672</v>
      </c>
      <c r="B150" s="4" t="s">
        <v>60</v>
      </c>
      <c r="C150" s="5" t="n">
        <v>55761</v>
      </c>
      <c r="D150" s="5" t="n">
        <f aca="false">AVERAGE(C144:C150)</f>
        <v>50773.7142857143</v>
      </c>
      <c r="E150" s="5" t="n">
        <f aca="false">AVERAGE(C121:C150)</f>
        <v>44770.8666666667</v>
      </c>
      <c r="F150" s="4" t="s">
        <v>50</v>
      </c>
    </row>
    <row r="151" customFormat="false" ht="15" hidden="false" customHeight="true" outlineLevel="0" collapsed="false">
      <c r="A151" s="15" t="n">
        <v>45673</v>
      </c>
      <c r="B151" s="4" t="s">
        <v>49</v>
      </c>
      <c r="C151" s="5" t="n">
        <v>57616</v>
      </c>
      <c r="D151" s="5" t="n">
        <f aca="false">AVERAGE(C145:C151)</f>
        <v>50491.7142857143</v>
      </c>
      <c r="E151" s="5" t="n">
        <f aca="false">AVERAGE(C122:C151)</f>
        <v>44753.6666666667</v>
      </c>
      <c r="F151" s="4" t="s">
        <v>50</v>
      </c>
    </row>
    <row r="152" customFormat="false" ht="15" hidden="false" customHeight="true" outlineLevel="0" collapsed="false">
      <c r="A152" s="15" t="n">
        <v>45674</v>
      </c>
      <c r="B152" s="4" t="s">
        <v>54</v>
      </c>
      <c r="C152" s="5" t="n">
        <v>47326</v>
      </c>
      <c r="D152" s="5" t="n">
        <f aca="false">AVERAGE(C146:C152)</f>
        <v>50597.8571428571</v>
      </c>
      <c r="E152" s="5" t="n">
        <f aca="false">AVERAGE(C123:C152)</f>
        <v>44366.9666666667</v>
      </c>
      <c r="F152" s="4" t="s">
        <v>50</v>
      </c>
    </row>
    <row r="153" customFormat="false" ht="15" hidden="false" customHeight="true" outlineLevel="0" collapsed="false">
      <c r="A153" s="15" t="n">
        <v>45675</v>
      </c>
      <c r="B153" s="4" t="s">
        <v>56</v>
      </c>
      <c r="C153" s="5" t="n">
        <v>27199</v>
      </c>
      <c r="D153" s="5" t="n">
        <f aca="false">AVERAGE(C147:C153)</f>
        <v>51182.7142857143</v>
      </c>
      <c r="E153" s="5" t="n">
        <f aca="false">AVERAGE(C124:C153)</f>
        <v>43497.1333333333</v>
      </c>
      <c r="F153" s="4" t="s">
        <v>57</v>
      </c>
    </row>
    <row r="154" customFormat="false" ht="15" hidden="false" customHeight="true" outlineLevel="0" collapsed="false">
      <c r="A154" s="15" t="n">
        <v>45676</v>
      </c>
      <c r="B154" s="4" t="s">
        <v>59</v>
      </c>
      <c r="C154" s="5" t="n">
        <v>47790</v>
      </c>
      <c r="D154" s="5" t="n">
        <f aca="false">AVERAGE(C148:C154)</f>
        <v>50450.1428571429</v>
      </c>
      <c r="E154" s="5" t="n">
        <f aca="false">AVERAGE(C125:C154)</f>
        <v>43562.4</v>
      </c>
      <c r="F154" s="4" t="s">
        <v>57</v>
      </c>
    </row>
    <row r="155" customFormat="false" ht="15" hidden="false" customHeight="true" outlineLevel="0" collapsed="false">
      <c r="A155" s="15" t="n">
        <v>45677</v>
      </c>
      <c r="B155" s="4" t="s">
        <v>55</v>
      </c>
      <c r="C155" s="5" t="n">
        <v>53604</v>
      </c>
      <c r="D155" s="5" t="n">
        <f aca="false">AVERAGE(C149:C155)</f>
        <v>49482.2857142857</v>
      </c>
      <c r="E155" s="5" t="n">
        <f aca="false">AVERAGE(C126:C155)</f>
        <v>44573.2333333333</v>
      </c>
      <c r="F155" s="4" t="s">
        <v>50</v>
      </c>
    </row>
    <row r="156" customFormat="false" ht="15" hidden="false" customHeight="true" outlineLevel="0" collapsed="false">
      <c r="A156" s="15" t="n">
        <v>45678</v>
      </c>
      <c r="B156" s="4" t="s">
        <v>58</v>
      </c>
      <c r="C156" s="5" t="n">
        <v>50501</v>
      </c>
      <c r="D156" s="5" t="n">
        <f aca="false">AVERAGE(C150:C156)</f>
        <v>48542.4285714286</v>
      </c>
      <c r="E156" s="5" t="n">
        <f aca="false">AVERAGE(C127:C156)</f>
        <v>44900.2666666667</v>
      </c>
      <c r="F156" s="4" t="s">
        <v>50</v>
      </c>
    </row>
    <row r="157" customFormat="false" ht="15" hidden="false" customHeight="true" outlineLevel="0" collapsed="false">
      <c r="A157" s="15" t="n">
        <v>45679</v>
      </c>
      <c r="B157" s="4" t="s">
        <v>60</v>
      </c>
      <c r="C157" s="5" t="n">
        <v>55671</v>
      </c>
      <c r="D157" s="5" t="n">
        <f aca="false">AVERAGE(C151:C157)</f>
        <v>48529.5714285714</v>
      </c>
      <c r="E157" s="5" t="n">
        <f aca="false">AVERAGE(C128:C157)</f>
        <v>45144.3</v>
      </c>
      <c r="F157" s="4" t="s">
        <v>50</v>
      </c>
    </row>
    <row r="158" customFormat="false" ht="15" hidden="false" customHeight="true" outlineLevel="0" collapsed="false">
      <c r="A158" s="15" t="n">
        <v>45680</v>
      </c>
      <c r="B158" s="4" t="s">
        <v>49</v>
      </c>
      <c r="C158" s="5" t="n">
        <v>44335</v>
      </c>
      <c r="D158" s="5" t="n">
        <f aca="false">AVERAGE(C152:C158)</f>
        <v>46632.2857142857</v>
      </c>
      <c r="E158" s="5" t="n">
        <f aca="false">AVERAGE(C129:C158)</f>
        <v>46146.8666666667</v>
      </c>
      <c r="F158" s="4" t="s">
        <v>50</v>
      </c>
    </row>
    <row r="159" customFormat="false" ht="15" hidden="false" customHeight="true" outlineLevel="0" collapsed="false">
      <c r="A159" s="15" t="n">
        <v>45681</v>
      </c>
      <c r="B159" s="4" t="s">
        <v>54</v>
      </c>
      <c r="C159" s="5" t="n">
        <v>26472</v>
      </c>
      <c r="D159" s="5" t="n">
        <f aca="false">AVERAGE(C153:C159)</f>
        <v>43653.1428571429</v>
      </c>
      <c r="E159" s="5" t="n">
        <f aca="false">AVERAGE(C130:C159)</f>
        <v>46292.9</v>
      </c>
      <c r="F159" s="4" t="s">
        <v>50</v>
      </c>
    </row>
    <row r="160" customFormat="false" ht="15" hidden="false" customHeight="true" outlineLevel="0" collapsed="false">
      <c r="A160" s="15" t="n">
        <v>45682</v>
      </c>
      <c r="B160" s="4" t="s">
        <v>56</v>
      </c>
      <c r="C160" s="5" t="n">
        <v>22755</v>
      </c>
      <c r="D160" s="5" t="n">
        <f aca="false">AVERAGE(C154:C160)</f>
        <v>43018.2857142857</v>
      </c>
      <c r="E160" s="5" t="n">
        <f aca="false">AVERAGE(C131:C160)</f>
        <v>45283.3333333333</v>
      </c>
      <c r="F160" s="4" t="s">
        <v>57</v>
      </c>
    </row>
    <row r="161" customFormat="false" ht="15" hidden="false" customHeight="true" outlineLevel="0" collapsed="false">
      <c r="A161" s="15" t="n">
        <v>45683</v>
      </c>
      <c r="B161" s="4" t="s">
        <v>59</v>
      </c>
      <c r="C161" s="5" t="n">
        <v>54542</v>
      </c>
      <c r="D161" s="5" t="n">
        <f aca="false">AVERAGE(C155:C161)</f>
        <v>43982.8571428571</v>
      </c>
      <c r="E161" s="5" t="n">
        <f aca="false">AVERAGE(C132:C161)</f>
        <v>45655.7333333333</v>
      </c>
      <c r="F161" s="4" t="s">
        <v>57</v>
      </c>
    </row>
    <row r="162" customFormat="false" ht="15" hidden="false" customHeight="true" outlineLevel="0" collapsed="false">
      <c r="A162" s="15" t="n">
        <v>45684</v>
      </c>
      <c r="B162" s="4" t="s">
        <v>55</v>
      </c>
      <c r="C162" s="5" t="n">
        <v>52788</v>
      </c>
      <c r="D162" s="5" t="n">
        <f aca="false">AVERAGE(C156:C162)</f>
        <v>43866.2857142857</v>
      </c>
      <c r="E162" s="5" t="n">
        <f aca="false">AVERAGE(C133:C162)</f>
        <v>46701.3</v>
      </c>
      <c r="F162" s="4" t="s">
        <v>50</v>
      </c>
    </row>
    <row r="163" customFormat="false" ht="15" hidden="false" customHeight="true" outlineLevel="0" collapsed="false">
      <c r="A163" s="15" t="n">
        <v>45685</v>
      </c>
      <c r="B163" s="4" t="s">
        <v>58</v>
      </c>
      <c r="C163" s="5" t="n">
        <v>62128</v>
      </c>
      <c r="D163" s="5" t="n">
        <f aca="false">AVERAGE(C157:C163)</f>
        <v>45527.2857142857</v>
      </c>
      <c r="E163" s="5" t="n">
        <f aca="false">AVERAGE(C134:C163)</f>
        <v>47312.3333333333</v>
      </c>
      <c r="F163" s="4" t="s">
        <v>50</v>
      </c>
    </row>
    <row r="164" customFormat="false" ht="15" hidden="false" customHeight="true" outlineLevel="0" collapsed="false">
      <c r="A164" s="15" t="n">
        <v>45686</v>
      </c>
      <c r="B164" s="4" t="s">
        <v>60</v>
      </c>
      <c r="C164" s="5" t="n">
        <v>70881</v>
      </c>
      <c r="D164" s="5" t="n">
        <f aca="false">AVERAGE(C158:C164)</f>
        <v>47700.1428571429</v>
      </c>
      <c r="E164" s="5" t="n">
        <f aca="false">AVERAGE(C135:C164)</f>
        <v>47838.4666666667</v>
      </c>
      <c r="F164" s="4" t="s">
        <v>50</v>
      </c>
    </row>
    <row r="165" customFormat="false" ht="15" hidden="false" customHeight="true" outlineLevel="0" collapsed="false">
      <c r="A165" s="15" t="n">
        <v>45687</v>
      </c>
      <c r="B165" s="4" t="s">
        <v>49</v>
      </c>
      <c r="C165" s="5" t="n">
        <v>69626</v>
      </c>
      <c r="D165" s="5" t="n">
        <f aca="false">AVERAGE(C159:C165)</f>
        <v>51313.1428571429</v>
      </c>
      <c r="E165" s="5" t="n">
        <f aca="false">AVERAGE(C136:C165)</f>
        <v>49419.8666666667</v>
      </c>
      <c r="F165" s="4" t="s">
        <v>50</v>
      </c>
    </row>
    <row r="166" customFormat="false" ht="15" hidden="false" customHeight="true" outlineLevel="0" collapsed="false">
      <c r="A166" s="15" t="n">
        <v>45688</v>
      </c>
      <c r="B166" s="4" t="s">
        <v>54</v>
      </c>
      <c r="C166" s="5" t="n">
        <v>35585</v>
      </c>
      <c r="D166" s="5" t="n">
        <f aca="false">AVERAGE(C160:C166)</f>
        <v>52615</v>
      </c>
      <c r="E166" s="5" t="n">
        <f aca="false">AVERAGE(C137:C166)</f>
        <v>49698.5</v>
      </c>
      <c r="F166" s="4" t="s">
        <v>50</v>
      </c>
    </row>
    <row r="167" customFormat="false" ht="15" hidden="false" customHeight="true" outlineLevel="0" collapsed="false">
      <c r="A167" s="15" t="n">
        <v>45689</v>
      </c>
      <c r="B167" s="4" t="s">
        <v>56</v>
      </c>
      <c r="C167" s="5" t="n">
        <v>30287</v>
      </c>
      <c r="D167" s="5" t="n">
        <f aca="false">AVERAGE(C161:C167)</f>
        <v>53691</v>
      </c>
      <c r="E167" s="5" t="n">
        <f aca="false">AVERAGE(C138:C167)</f>
        <v>48829.8</v>
      </c>
      <c r="F167" s="4" t="s">
        <v>57</v>
      </c>
    </row>
    <row r="168" customFormat="false" ht="15" hidden="false" customHeight="true" outlineLevel="0" collapsed="false">
      <c r="A168" s="15" t="n">
        <v>45690</v>
      </c>
      <c r="B168" s="4" t="s">
        <v>59</v>
      </c>
      <c r="C168" s="5" t="n">
        <v>58173</v>
      </c>
      <c r="D168" s="5" t="n">
        <f aca="false">AVERAGE(C162:C168)</f>
        <v>54209.7142857143</v>
      </c>
      <c r="E168" s="5" t="n">
        <f aca="false">AVERAGE(C139:C168)</f>
        <v>49243.9</v>
      </c>
      <c r="F168" s="4" t="s">
        <v>57</v>
      </c>
    </row>
    <row r="169" customFormat="false" ht="15" hidden="false" customHeight="true" outlineLevel="0" collapsed="false">
      <c r="A169" s="15" t="n">
        <v>45691</v>
      </c>
      <c r="B169" s="4" t="s">
        <v>55</v>
      </c>
      <c r="C169" s="5" t="n">
        <v>62832</v>
      </c>
      <c r="D169" s="5" t="n">
        <f aca="false">AVERAGE(C163:C169)</f>
        <v>55644.5714285714</v>
      </c>
      <c r="E169" s="5" t="n">
        <f aca="false">AVERAGE(C140:C169)</f>
        <v>50420.9666666667</v>
      </c>
      <c r="F169" s="4" t="s">
        <v>50</v>
      </c>
    </row>
    <row r="170" customFormat="false" ht="15" hidden="false" customHeight="true" outlineLevel="0" collapsed="false">
      <c r="A170" s="15" t="n">
        <v>45692</v>
      </c>
      <c r="B170" s="4" t="s">
        <v>58</v>
      </c>
      <c r="C170" s="5" t="n">
        <v>59110</v>
      </c>
      <c r="D170" s="5" t="n">
        <f aca="false">AVERAGE(C164:C170)</f>
        <v>55213.4285714286</v>
      </c>
      <c r="E170" s="5" t="n">
        <f aca="false">AVERAGE(C141:C170)</f>
        <v>50671.4333333333</v>
      </c>
      <c r="F170" s="4" t="s">
        <v>50</v>
      </c>
    </row>
    <row r="171" customFormat="false" ht="15" hidden="false" customHeight="true" outlineLevel="0" collapsed="false">
      <c r="A171" s="15" t="n">
        <v>45693</v>
      </c>
      <c r="B171" s="4" t="s">
        <v>60</v>
      </c>
      <c r="C171" s="5" t="n">
        <v>64018</v>
      </c>
      <c r="D171" s="5" t="n">
        <f aca="false">AVERAGE(C165:C171)</f>
        <v>54233</v>
      </c>
      <c r="E171" s="5" t="n">
        <f aca="false">AVERAGE(C142:C171)</f>
        <v>50861.8666666667</v>
      </c>
      <c r="F171" s="4" t="s">
        <v>50</v>
      </c>
    </row>
    <row r="172" customFormat="false" ht="15" hidden="false" customHeight="true" outlineLevel="0" collapsed="false">
      <c r="A172" s="15" t="n">
        <v>45694</v>
      </c>
      <c r="B172" s="4" t="s">
        <v>49</v>
      </c>
      <c r="C172" s="5" t="n">
        <v>76775</v>
      </c>
      <c r="D172" s="5" t="n">
        <f aca="false">AVERAGE(C166:C172)</f>
        <v>55254.2857142857</v>
      </c>
      <c r="E172" s="5" t="n">
        <f aca="false">AVERAGE(C143:C172)</f>
        <v>51508.7</v>
      </c>
      <c r="F172" s="4" t="s">
        <v>50</v>
      </c>
    </row>
    <row r="173" customFormat="false" ht="15" hidden="false" customHeight="true" outlineLevel="0" collapsed="false">
      <c r="A173" s="15" t="n">
        <v>45695</v>
      </c>
      <c r="B173" s="4" t="s">
        <v>54</v>
      </c>
      <c r="C173" s="5" t="n">
        <v>28295</v>
      </c>
      <c r="D173" s="5" t="n">
        <f aca="false">AVERAGE(C167:C173)</f>
        <v>54212.8571428571</v>
      </c>
      <c r="E173" s="5" t="n">
        <f aca="false">AVERAGE(C144:C173)</f>
        <v>50457.5</v>
      </c>
      <c r="F173" s="4" t="s">
        <v>50</v>
      </c>
    </row>
    <row r="174" customFormat="false" ht="15" hidden="false" customHeight="true" outlineLevel="0" collapsed="false">
      <c r="A174" s="15" t="n">
        <v>45696</v>
      </c>
      <c r="B174" s="4" t="s">
        <v>56</v>
      </c>
      <c r="C174" s="5" t="n">
        <v>32805</v>
      </c>
      <c r="D174" s="5" t="n">
        <f aca="false">AVERAGE(C168:C174)</f>
        <v>54572.5714285714</v>
      </c>
      <c r="E174" s="5" t="n">
        <f aca="false">AVERAGE(C145:C174)</f>
        <v>49564.6666666667</v>
      </c>
      <c r="F174" s="4" t="s">
        <v>57</v>
      </c>
    </row>
    <row r="175" customFormat="false" ht="15" hidden="false" customHeight="true" outlineLevel="0" collapsed="false">
      <c r="A175" s="15" t="n">
        <v>45697</v>
      </c>
      <c r="B175" s="4" t="s">
        <v>59</v>
      </c>
      <c r="C175" s="5" t="n">
        <v>57952</v>
      </c>
      <c r="D175" s="5" t="n">
        <f aca="false">AVERAGE(C169:C175)</f>
        <v>54541</v>
      </c>
      <c r="E175" s="5" t="n">
        <f aca="false">AVERAGE(C146:C175)</f>
        <v>49943.6333333333</v>
      </c>
      <c r="F175" s="4" t="s">
        <v>57</v>
      </c>
    </row>
    <row r="176" customFormat="false" ht="15" hidden="false" customHeight="true" outlineLevel="0" collapsed="false">
      <c r="A176" s="15" t="n">
        <v>45698</v>
      </c>
      <c r="B176" s="4" t="s">
        <v>55</v>
      </c>
      <c r="C176" s="5" t="n">
        <v>62524</v>
      </c>
      <c r="D176" s="5" t="n">
        <f aca="false">AVERAGE(C170:C176)</f>
        <v>54497</v>
      </c>
      <c r="E176" s="5" t="n">
        <f aca="false">AVERAGE(C147:C176)</f>
        <v>51257.6</v>
      </c>
      <c r="F176" s="4" t="s">
        <v>50</v>
      </c>
    </row>
    <row r="177" customFormat="false" ht="15" hidden="false" customHeight="true" outlineLevel="0" collapsed="false">
      <c r="A177" s="15" t="n">
        <v>45699</v>
      </c>
      <c r="B177" s="4" t="s">
        <v>58</v>
      </c>
      <c r="C177" s="5" t="n">
        <v>65962</v>
      </c>
      <c r="D177" s="5" t="n">
        <f aca="false">AVERAGE(C171:C177)</f>
        <v>55475.8571428571</v>
      </c>
      <c r="E177" s="5" t="n">
        <f aca="false">AVERAGE(C148:C177)</f>
        <v>51692.4</v>
      </c>
      <c r="F177" s="4" t="s">
        <v>50</v>
      </c>
    </row>
    <row r="178" customFormat="false" ht="15" hidden="false" customHeight="true" outlineLevel="0" collapsed="false">
      <c r="A178" s="15" t="n">
        <v>45700</v>
      </c>
      <c r="B178" s="4" t="s">
        <v>60</v>
      </c>
      <c r="C178" s="5" t="n">
        <v>63866</v>
      </c>
      <c r="D178" s="5" t="n">
        <f aca="false">AVERAGE(C172:C178)</f>
        <v>55454.1428571429</v>
      </c>
      <c r="E178" s="5" t="n">
        <f aca="false">AVERAGE(C149:C178)</f>
        <v>51808.6333333333</v>
      </c>
      <c r="F178" s="4" t="s">
        <v>50</v>
      </c>
    </row>
    <row r="179" customFormat="false" ht="15" hidden="false" customHeight="true" outlineLevel="0" collapsed="false">
      <c r="A179" s="15" t="n">
        <v>45701</v>
      </c>
      <c r="B179" s="4" t="s">
        <v>49</v>
      </c>
      <c r="C179" s="5" t="n">
        <v>78244</v>
      </c>
      <c r="D179" s="5" t="n">
        <f aca="false">AVERAGE(C173:C179)</f>
        <v>55664</v>
      </c>
      <c r="E179" s="5" t="n">
        <f aca="false">AVERAGE(C150:C179)</f>
        <v>52514.1</v>
      </c>
      <c r="F179" s="4" t="s">
        <v>50</v>
      </c>
    </row>
    <row r="180" customFormat="false" ht="15" hidden="false" customHeight="true" outlineLevel="0" collapsed="false">
      <c r="A180" s="15" t="n">
        <v>45702</v>
      </c>
      <c r="B180" s="4" t="s">
        <v>54</v>
      </c>
      <c r="C180" s="5" t="n">
        <v>30521</v>
      </c>
      <c r="D180" s="5" t="n">
        <f aca="false">AVERAGE(C174:C180)</f>
        <v>55982</v>
      </c>
      <c r="E180" s="5" t="n">
        <f aca="false">AVERAGE(C151:C180)</f>
        <v>51672.7666666667</v>
      </c>
      <c r="F180" s="4" t="s">
        <v>50</v>
      </c>
    </row>
    <row r="181" customFormat="false" ht="15" hidden="false" customHeight="true" outlineLevel="0" collapsed="false">
      <c r="A181" s="15" t="n">
        <v>45703</v>
      </c>
      <c r="B181" s="4" t="s">
        <v>56</v>
      </c>
      <c r="C181" s="5" t="n">
        <v>32572</v>
      </c>
      <c r="D181" s="5" t="n">
        <f aca="false">AVERAGE(C175:C181)</f>
        <v>55948.7142857143</v>
      </c>
      <c r="E181" s="5" t="n">
        <f aca="false">AVERAGE(C152:C181)</f>
        <v>50837.9666666667</v>
      </c>
      <c r="F181" s="4" t="s">
        <v>57</v>
      </c>
    </row>
    <row r="182" customFormat="false" ht="15" hidden="false" customHeight="true" outlineLevel="0" collapsed="false">
      <c r="A182" s="15" t="n">
        <v>45704</v>
      </c>
      <c r="B182" s="4" t="s">
        <v>59</v>
      </c>
      <c r="C182" s="5" t="n">
        <v>61131</v>
      </c>
      <c r="D182" s="5" t="n">
        <f aca="false">AVERAGE(C176:C182)</f>
        <v>56402.8571428571</v>
      </c>
      <c r="E182" s="5" t="n">
        <f aca="false">AVERAGE(C153:C182)</f>
        <v>51298.1333333333</v>
      </c>
      <c r="F182" s="4" t="s">
        <v>57</v>
      </c>
    </row>
    <row r="183" customFormat="false" ht="15" hidden="false" customHeight="true" outlineLevel="0" collapsed="false">
      <c r="A183" s="15" t="n">
        <v>45705</v>
      </c>
      <c r="B183" s="4" t="s">
        <v>55</v>
      </c>
      <c r="C183" s="5" t="n">
        <v>63612</v>
      </c>
      <c r="D183" s="5" t="n">
        <f aca="false">AVERAGE(C177:C183)</f>
        <v>56558.2857142857</v>
      </c>
      <c r="E183" s="5" t="n">
        <f aca="false">AVERAGE(C154:C183)</f>
        <v>52511.9</v>
      </c>
      <c r="F183" s="4" t="s">
        <v>50</v>
      </c>
    </row>
    <row r="184" customFormat="false" ht="15" hidden="false" customHeight="true" outlineLevel="0" collapsed="false">
      <c r="A184" s="15" t="n">
        <v>45706</v>
      </c>
      <c r="B184" s="4" t="s">
        <v>58</v>
      </c>
      <c r="C184" s="5" t="n">
        <v>70131</v>
      </c>
      <c r="D184" s="5" t="n">
        <f aca="false">AVERAGE(C178:C184)</f>
        <v>57153.8571428571</v>
      </c>
      <c r="E184" s="5" t="n">
        <f aca="false">AVERAGE(C155:C184)</f>
        <v>53256.6</v>
      </c>
      <c r="F184" s="4" t="s">
        <v>50</v>
      </c>
    </row>
    <row r="185" customFormat="false" ht="15" hidden="false" customHeight="true" outlineLevel="0" collapsed="false">
      <c r="A185" s="15" t="n">
        <v>45707</v>
      </c>
      <c r="B185" s="4" t="s">
        <v>60</v>
      </c>
      <c r="C185" s="5" t="n">
        <v>67350</v>
      </c>
      <c r="D185" s="5" t="n">
        <f aca="false">AVERAGE(C179:C185)</f>
        <v>57651.5714285714</v>
      </c>
      <c r="E185" s="5" t="n">
        <f aca="false">AVERAGE(C156:C185)</f>
        <v>53714.8</v>
      </c>
      <c r="F185" s="4" t="s">
        <v>50</v>
      </c>
    </row>
    <row r="186" customFormat="false" ht="15" hidden="false" customHeight="true" outlineLevel="0" collapsed="false">
      <c r="A186" s="15" t="n">
        <v>45708</v>
      </c>
      <c r="B186" s="4" t="s">
        <v>49</v>
      </c>
      <c r="C186" s="5" t="n">
        <v>60466</v>
      </c>
      <c r="D186" s="5" t="n">
        <f aca="false">AVERAGE(C180:C186)</f>
        <v>55111.8571428571</v>
      </c>
      <c r="E186" s="5" t="n">
        <f aca="false">AVERAGE(C157:C186)</f>
        <v>54046.9666666667</v>
      </c>
      <c r="F186" s="4" t="s">
        <v>50</v>
      </c>
    </row>
    <row r="187" customFormat="false" ht="15" hidden="false" customHeight="true" outlineLevel="0" collapsed="false">
      <c r="A187" s="15" t="n">
        <v>45709</v>
      </c>
      <c r="B187" s="4" t="s">
        <v>54</v>
      </c>
      <c r="C187" s="5" t="n">
        <v>29966</v>
      </c>
      <c r="D187" s="5" t="n">
        <f aca="false">AVERAGE(C181:C187)</f>
        <v>55032.5714285714</v>
      </c>
      <c r="E187" s="5" t="n">
        <f aca="false">AVERAGE(C158:C187)</f>
        <v>53190.1333333333</v>
      </c>
      <c r="F187" s="4" t="s">
        <v>50</v>
      </c>
    </row>
    <row r="188" customFormat="false" ht="15" hidden="false" customHeight="true" outlineLevel="0" collapsed="false">
      <c r="A188" s="15" t="n">
        <v>45710</v>
      </c>
      <c r="B188" s="4" t="s">
        <v>56</v>
      </c>
      <c r="C188" s="5" t="n">
        <v>29309</v>
      </c>
      <c r="D188" s="5" t="n">
        <f aca="false">AVERAGE(C182:C188)</f>
        <v>54566.4285714286</v>
      </c>
      <c r="E188" s="5" t="n">
        <f aca="false">AVERAGE(C159:C188)</f>
        <v>52689.2666666667</v>
      </c>
      <c r="F188" s="4" t="s">
        <v>57</v>
      </c>
    </row>
    <row r="189" customFormat="false" ht="15" hidden="false" customHeight="true" outlineLevel="0" collapsed="false">
      <c r="A189" s="15" t="n">
        <v>45711</v>
      </c>
      <c r="B189" s="4" t="s">
        <v>59</v>
      </c>
      <c r="C189" s="5" t="n">
        <v>52437</v>
      </c>
      <c r="D189" s="5" t="n">
        <f aca="false">AVERAGE(C183:C189)</f>
        <v>53324.4285714286</v>
      </c>
      <c r="E189" s="5" t="n">
        <f aca="false">AVERAGE(C160:C189)</f>
        <v>53554.7666666667</v>
      </c>
      <c r="F189" s="4" t="s">
        <v>57</v>
      </c>
    </row>
    <row r="190" customFormat="false" ht="15" hidden="false" customHeight="true" outlineLevel="0" collapsed="false">
      <c r="A190" s="15" t="n">
        <v>45712</v>
      </c>
      <c r="B190" s="4" t="s">
        <v>55</v>
      </c>
      <c r="C190" s="5" t="n">
        <v>53862</v>
      </c>
      <c r="D190" s="5" t="n">
        <f aca="false">AVERAGE(C184:C190)</f>
        <v>51931.5714285714</v>
      </c>
      <c r="E190" s="5" t="n">
        <f aca="false">AVERAGE(C161:C190)</f>
        <v>54591.6666666667</v>
      </c>
      <c r="F190" s="4" t="s">
        <v>50</v>
      </c>
    </row>
    <row r="191" customFormat="false" ht="15" hidden="false" customHeight="true" outlineLevel="0" collapsed="false">
      <c r="A191" s="15" t="n">
        <v>45713</v>
      </c>
      <c r="B191" s="4" t="s">
        <v>58</v>
      </c>
      <c r="C191" s="5" t="n">
        <v>57398</v>
      </c>
      <c r="D191" s="5" t="n">
        <f aca="false">AVERAGE(C185:C191)</f>
        <v>50112.5714285714</v>
      </c>
      <c r="E191" s="5" t="n">
        <f aca="false">AVERAGE(C162:C191)</f>
        <v>54686.8666666667</v>
      </c>
      <c r="F191" s="4" t="s">
        <v>50</v>
      </c>
    </row>
    <row r="192" customFormat="false" ht="15" hidden="false" customHeight="true" outlineLevel="0" collapsed="false">
      <c r="A192" s="15" t="n">
        <v>45714</v>
      </c>
      <c r="B192" s="4" t="s">
        <v>60</v>
      </c>
      <c r="C192" s="5" t="n">
        <v>59909</v>
      </c>
      <c r="D192" s="5" t="n">
        <f aca="false">AVERAGE(C186:C192)</f>
        <v>49049.5714285714</v>
      </c>
      <c r="E192" s="5" t="n">
        <f aca="false">AVERAGE(C163:C192)</f>
        <v>54924.2333333333</v>
      </c>
      <c r="F192" s="4" t="s">
        <v>50</v>
      </c>
    </row>
    <row r="193" customFormat="false" ht="15" hidden="false" customHeight="true" outlineLevel="0" collapsed="false">
      <c r="A193" s="15" t="n">
        <v>45715</v>
      </c>
      <c r="B193" s="4" t="s">
        <v>49</v>
      </c>
      <c r="C193" s="5" t="n">
        <v>57101</v>
      </c>
      <c r="D193" s="5" t="n">
        <f aca="false">AVERAGE(C187:C193)</f>
        <v>48568.8571428571</v>
      </c>
      <c r="E193" s="5" t="n">
        <f aca="false">AVERAGE(C164:C193)</f>
        <v>54756.6666666667</v>
      </c>
      <c r="F193" s="4" t="s">
        <v>50</v>
      </c>
    </row>
    <row r="194" customFormat="false" ht="15" hidden="false" customHeight="true" outlineLevel="0" collapsed="false">
      <c r="A194" s="15" t="n">
        <v>45716</v>
      </c>
      <c r="B194" s="4" t="s">
        <v>54</v>
      </c>
      <c r="C194" s="5" t="n">
        <v>32325</v>
      </c>
      <c r="D194" s="5" t="n">
        <f aca="false">AVERAGE(C188:C194)</f>
        <v>48905.8571428571</v>
      </c>
      <c r="E194" s="5" t="n">
        <f aca="false">AVERAGE(C165:C194)</f>
        <v>53471.4666666667</v>
      </c>
      <c r="F194" s="4" t="s">
        <v>50</v>
      </c>
    </row>
    <row r="195" customFormat="false" ht="15" hidden="false" customHeight="true" outlineLevel="0" collapsed="false">
      <c r="A195" s="15" t="n">
        <v>45717</v>
      </c>
      <c r="B195" s="4" t="s">
        <v>56</v>
      </c>
      <c r="C195" s="5" t="n">
        <v>23844</v>
      </c>
      <c r="D195" s="5" t="n">
        <f aca="false">AVERAGE(C189:C195)</f>
        <v>48125.1428571429</v>
      </c>
      <c r="E195" s="5" t="n">
        <f aca="false">AVERAGE(C166:C195)</f>
        <v>51945.4</v>
      </c>
      <c r="F195" s="4" t="s">
        <v>57</v>
      </c>
    </row>
    <row r="196" customFormat="false" ht="15" hidden="false" customHeight="true" outlineLevel="0" collapsed="false">
      <c r="A196" s="15" t="n">
        <v>45718</v>
      </c>
      <c r="B196" s="4" t="s">
        <v>59</v>
      </c>
      <c r="C196" s="5" t="n">
        <v>54037</v>
      </c>
      <c r="D196" s="5" t="n">
        <f aca="false">AVERAGE(C190:C196)</f>
        <v>48353.7142857143</v>
      </c>
      <c r="E196" s="5" t="n">
        <f aca="false">AVERAGE(C167:C196)</f>
        <v>52560.4666666667</v>
      </c>
      <c r="F196" s="4" t="s">
        <v>57</v>
      </c>
    </row>
    <row r="197" customFormat="false" ht="15" hidden="false" customHeight="true" outlineLevel="0" collapsed="false">
      <c r="A197" s="15" t="n">
        <v>45719</v>
      </c>
      <c r="B197" s="4" t="s">
        <v>55</v>
      </c>
      <c r="C197" s="5" t="n">
        <v>63549</v>
      </c>
      <c r="D197" s="5" t="n">
        <f aca="false">AVERAGE(C191:C197)</f>
        <v>49737.5714285714</v>
      </c>
      <c r="E197" s="5" t="n">
        <f aca="false">AVERAGE(C168:C197)</f>
        <v>53669.2</v>
      </c>
      <c r="F197" s="4" t="s">
        <v>50</v>
      </c>
    </row>
    <row r="198" customFormat="false" ht="15" hidden="false" customHeight="true" outlineLevel="0" collapsed="false">
      <c r="A198" s="15" t="n">
        <v>45720</v>
      </c>
      <c r="B198" s="4" t="s">
        <v>58</v>
      </c>
      <c r="C198" s="5" t="n">
        <v>61969</v>
      </c>
      <c r="D198" s="5" t="n">
        <f aca="false">AVERAGE(C192:C198)</f>
        <v>50390.5714285714</v>
      </c>
      <c r="E198" s="5" t="n">
        <f aca="false">AVERAGE(C169:C198)</f>
        <v>53795.7333333333</v>
      </c>
      <c r="F198" s="4" t="s">
        <v>50</v>
      </c>
    </row>
    <row r="199" customFormat="false" ht="15" hidden="false" customHeight="true" outlineLevel="0" collapsed="false">
      <c r="A199" s="15" t="n">
        <v>45721</v>
      </c>
      <c r="B199" s="4" t="s">
        <v>60</v>
      </c>
      <c r="C199" s="5" t="n">
        <v>60959</v>
      </c>
      <c r="D199" s="5" t="n">
        <f aca="false">AVERAGE(C193:C199)</f>
        <v>50540.5714285714</v>
      </c>
      <c r="E199" s="5" t="n">
        <f aca="false">AVERAGE(C170:C199)</f>
        <v>53733.3</v>
      </c>
      <c r="F199" s="4" t="s">
        <v>50</v>
      </c>
    </row>
    <row r="200" customFormat="false" ht="15" hidden="false" customHeight="true" outlineLevel="0" collapsed="false">
      <c r="A200" s="15" t="n">
        <v>45722</v>
      </c>
      <c r="B200" s="4" t="s">
        <v>49</v>
      </c>
      <c r="C200" s="5" t="n">
        <v>60842</v>
      </c>
      <c r="D200" s="5" t="n">
        <f aca="false">AVERAGE(C194:C200)</f>
        <v>51075</v>
      </c>
      <c r="E200" s="5" t="n">
        <f aca="false">AVERAGE(C171:C200)</f>
        <v>53791.0333333333</v>
      </c>
      <c r="F200" s="4" t="s">
        <v>50</v>
      </c>
    </row>
    <row r="201" customFormat="false" ht="15" hidden="false" customHeight="true" outlineLevel="0" collapsed="false">
      <c r="A201" s="15" t="n">
        <v>45723</v>
      </c>
      <c r="B201" s="4" t="s">
        <v>54</v>
      </c>
      <c r="C201" s="5" t="n">
        <v>35090</v>
      </c>
      <c r="D201" s="5" t="n">
        <f aca="false">AVERAGE(C195:C201)</f>
        <v>51470</v>
      </c>
      <c r="E201" s="5" t="n">
        <f aca="false">AVERAGE(C172:C201)</f>
        <v>52826.7666666667</v>
      </c>
      <c r="F201" s="4" t="s">
        <v>50</v>
      </c>
    </row>
    <row r="202" customFormat="false" ht="15" hidden="false" customHeight="true" outlineLevel="0" collapsed="false">
      <c r="A202" s="15" t="n">
        <v>45724</v>
      </c>
      <c r="B202" s="4" t="s">
        <v>56</v>
      </c>
      <c r="C202" s="5" t="n">
        <v>29401</v>
      </c>
      <c r="D202" s="5" t="n">
        <f aca="false">AVERAGE(C196:C202)</f>
        <v>52263.8571428571</v>
      </c>
      <c r="E202" s="5" t="n">
        <f aca="false">AVERAGE(C173:C202)</f>
        <v>51247.6333333333</v>
      </c>
      <c r="F202" s="4" t="s">
        <v>57</v>
      </c>
    </row>
    <row r="203" customFormat="false" ht="15" hidden="false" customHeight="true" outlineLevel="0" collapsed="false">
      <c r="A203" s="15" t="n">
        <v>45725</v>
      </c>
      <c r="B203" s="4" t="s">
        <v>59</v>
      </c>
      <c r="C203" s="5" t="n">
        <v>54962</v>
      </c>
      <c r="D203" s="5" t="n">
        <f aca="false">AVERAGE(C197:C203)</f>
        <v>52396</v>
      </c>
      <c r="E203" s="5" t="n">
        <f aca="false">AVERAGE(C174:C203)</f>
        <v>52136.5333333333</v>
      </c>
      <c r="F203" s="4" t="s">
        <v>57</v>
      </c>
    </row>
    <row r="204" customFormat="false" ht="15" hidden="false" customHeight="true" outlineLevel="0" collapsed="false">
      <c r="A204" s="15" t="n">
        <v>45726</v>
      </c>
      <c r="B204" s="4" t="s">
        <v>55</v>
      </c>
      <c r="C204" s="5" t="n">
        <v>62517</v>
      </c>
      <c r="D204" s="5" t="n">
        <f aca="false">AVERAGE(C198:C204)</f>
        <v>52248.5714285714</v>
      </c>
      <c r="E204" s="5" t="n">
        <f aca="false">AVERAGE(C175:C204)</f>
        <v>53126.9333333333</v>
      </c>
      <c r="F204" s="4" t="s">
        <v>50</v>
      </c>
    </row>
    <row r="205" customFormat="false" ht="15" hidden="false" customHeight="true" outlineLevel="0" collapsed="false">
      <c r="A205" s="15" t="n">
        <v>45727</v>
      </c>
      <c r="B205" s="4" t="s">
        <v>58</v>
      </c>
      <c r="C205" s="5" t="n">
        <v>62961</v>
      </c>
      <c r="D205" s="5" t="n">
        <f aca="false">AVERAGE(C199:C205)</f>
        <v>52390.2857142857</v>
      </c>
      <c r="E205" s="5" t="n">
        <f aca="false">AVERAGE(C176:C205)</f>
        <v>53293.9</v>
      </c>
      <c r="F205" s="4" t="s">
        <v>50</v>
      </c>
    </row>
    <row r="206" customFormat="false" ht="15" hidden="false" customHeight="true" outlineLevel="0" collapsed="false">
      <c r="A206" s="15" t="n">
        <v>45728</v>
      </c>
      <c r="B206" s="4" t="s">
        <v>60</v>
      </c>
      <c r="C206" s="5" t="n">
        <v>61055</v>
      </c>
      <c r="D206" s="5" t="n">
        <f aca="false">AVERAGE(C200:C206)</f>
        <v>52404</v>
      </c>
      <c r="E206" s="5" t="n">
        <f aca="false">AVERAGE(C177:C206)</f>
        <v>53244.9333333333</v>
      </c>
      <c r="F206" s="4" t="s">
        <v>50</v>
      </c>
    </row>
    <row r="207" customFormat="false" ht="15" hidden="false" customHeight="true" outlineLevel="0" collapsed="false">
      <c r="A207" s="15" t="n">
        <v>45729</v>
      </c>
      <c r="B207" s="4" t="s">
        <v>49</v>
      </c>
      <c r="C207" s="5" t="n">
        <v>58624</v>
      </c>
      <c r="D207" s="5" t="n">
        <f aca="false">AVERAGE(C201:C207)</f>
        <v>52087.1428571429</v>
      </c>
      <c r="E207" s="5" t="n">
        <f aca="false">AVERAGE(C178:C207)</f>
        <v>53000.3333333333</v>
      </c>
      <c r="F207" s="4" t="s">
        <v>50</v>
      </c>
    </row>
    <row r="208" customFormat="false" ht="15" hidden="false" customHeight="true" outlineLevel="0" collapsed="false">
      <c r="A208" s="15" t="n">
        <v>45730</v>
      </c>
      <c r="B208" s="4" t="s">
        <v>54</v>
      </c>
      <c r="C208" s="5" t="n">
        <v>27571</v>
      </c>
      <c r="D208" s="5" t="n">
        <f aca="false">AVERAGE(C202:C208)</f>
        <v>51013</v>
      </c>
      <c r="E208" s="5" t="n">
        <f aca="false">AVERAGE(C179:C208)</f>
        <v>51790.5</v>
      </c>
      <c r="F208" s="4" t="s">
        <v>50</v>
      </c>
    </row>
    <row r="209" customFormat="false" ht="15" hidden="false" customHeight="true" outlineLevel="0" collapsed="false">
      <c r="A209" s="15" t="n">
        <v>45731</v>
      </c>
      <c r="B209" s="4" t="s">
        <v>56</v>
      </c>
      <c r="C209" s="5" t="n">
        <v>30750</v>
      </c>
      <c r="D209" s="5" t="n">
        <f aca="false">AVERAGE(C203:C209)</f>
        <v>51205.7142857143</v>
      </c>
      <c r="E209" s="5" t="n">
        <f aca="false">AVERAGE(C180:C209)</f>
        <v>50207.3666666667</v>
      </c>
      <c r="F209" s="4" t="s">
        <v>57</v>
      </c>
    </row>
    <row r="210" customFormat="false" ht="15" hidden="false" customHeight="true" outlineLevel="0" collapsed="false">
      <c r="A210" s="15" t="n">
        <v>45732</v>
      </c>
      <c r="B210" s="4" t="s">
        <v>59</v>
      </c>
      <c r="C210" s="5" t="n">
        <v>53795</v>
      </c>
      <c r="D210" s="5" t="n">
        <f aca="false">AVERAGE(C204:C210)</f>
        <v>51039</v>
      </c>
      <c r="E210" s="5" t="n">
        <f aca="false">AVERAGE(C181:C210)</f>
        <v>50983.1666666667</v>
      </c>
      <c r="F210" s="4" t="s">
        <v>57</v>
      </c>
    </row>
    <row r="211" customFormat="false" ht="15" hidden="false" customHeight="true" outlineLevel="0" collapsed="false">
      <c r="A211" s="15" t="n">
        <v>45733</v>
      </c>
      <c r="B211" s="4" t="s">
        <v>55</v>
      </c>
      <c r="C211" s="5" t="n">
        <v>61241</v>
      </c>
      <c r="D211" s="5" t="n">
        <f aca="false">AVERAGE(C205:C211)</f>
        <v>50856.7142857143</v>
      </c>
      <c r="E211" s="5" t="n">
        <f aca="false">AVERAGE(C182:C211)</f>
        <v>51938.8</v>
      </c>
      <c r="F211" s="4" t="s">
        <v>50</v>
      </c>
    </row>
    <row r="212" customFormat="false" ht="15" hidden="false" customHeight="true" outlineLevel="0" collapsed="false">
      <c r="A212" s="15" t="n">
        <v>45734</v>
      </c>
      <c r="B212" s="4" t="s">
        <v>58</v>
      </c>
      <c r="C212" s="5" t="n">
        <v>62264</v>
      </c>
      <c r="D212" s="5" t="n">
        <f aca="false">AVERAGE(C206:C212)</f>
        <v>50757.1428571429</v>
      </c>
      <c r="E212" s="5" t="n">
        <f aca="false">AVERAGE(C183:C212)</f>
        <v>51976.5666666667</v>
      </c>
      <c r="F212" s="4" t="s">
        <v>50</v>
      </c>
    </row>
    <row r="213" customFormat="false" ht="15" hidden="false" customHeight="true" outlineLevel="0" collapsed="false">
      <c r="A213" s="15" t="n">
        <v>45735</v>
      </c>
      <c r="B213" s="4" t="s">
        <v>60</v>
      </c>
      <c r="C213" s="5" t="n">
        <v>60583</v>
      </c>
      <c r="D213" s="5" t="n">
        <f aca="false">AVERAGE(C207:C213)</f>
        <v>50689.7142857143</v>
      </c>
      <c r="E213" s="5" t="n">
        <f aca="false">AVERAGE(C184:C213)</f>
        <v>51875.6</v>
      </c>
      <c r="F213" s="4" t="s">
        <v>50</v>
      </c>
    </row>
    <row r="214" customFormat="false" ht="15" hidden="false" customHeight="true" outlineLevel="0" collapsed="false">
      <c r="A214" s="15" t="n">
        <v>45736</v>
      </c>
      <c r="B214" s="4" t="s">
        <v>49</v>
      </c>
      <c r="C214" s="5" t="n">
        <v>57197</v>
      </c>
      <c r="D214" s="5" t="n">
        <f aca="false">AVERAGE(C208:C214)</f>
        <v>50485.8571428571</v>
      </c>
      <c r="E214" s="5" t="n">
        <f aca="false">AVERAGE(C185:C214)</f>
        <v>51444.4666666667</v>
      </c>
      <c r="F214" s="4" t="s">
        <v>50</v>
      </c>
    </row>
    <row r="215" customFormat="false" ht="15" hidden="false" customHeight="true" outlineLevel="0" collapsed="false">
      <c r="A215" s="15" t="n">
        <v>45737</v>
      </c>
      <c r="B215" s="4" t="s">
        <v>54</v>
      </c>
      <c r="C215" s="5" t="n">
        <v>35269</v>
      </c>
      <c r="D215" s="5" t="n">
        <f aca="false">AVERAGE(C209:C215)</f>
        <v>51585.5714285714</v>
      </c>
      <c r="E215" s="5" t="n">
        <f aca="false">AVERAGE(C186:C215)</f>
        <v>50375.1</v>
      </c>
      <c r="F215" s="4" t="s">
        <v>50</v>
      </c>
    </row>
    <row r="216" customFormat="false" ht="15" hidden="false" customHeight="true" outlineLevel="0" collapsed="false">
      <c r="A216" s="15" t="n">
        <v>45738</v>
      </c>
      <c r="B216" s="4" t="s">
        <v>56</v>
      </c>
      <c r="C216" s="5" t="n">
        <v>29809</v>
      </c>
      <c r="D216" s="5" t="n">
        <f aca="false">AVERAGE(C210:C216)</f>
        <v>51451.1428571429</v>
      </c>
      <c r="E216" s="5" t="n">
        <f aca="false">AVERAGE(C187:C216)</f>
        <v>49353.2</v>
      </c>
      <c r="F216" s="4" t="s">
        <v>57</v>
      </c>
    </row>
    <row r="217" customFormat="false" ht="15" hidden="false" customHeight="true" outlineLevel="0" collapsed="false">
      <c r="A217" s="15" t="n">
        <v>45739</v>
      </c>
      <c r="B217" s="4" t="s">
        <v>59</v>
      </c>
      <c r="C217" s="5" t="n">
        <v>45695</v>
      </c>
      <c r="D217" s="5" t="n">
        <f aca="false">AVERAGE(C211:C217)</f>
        <v>50294</v>
      </c>
      <c r="E217" s="5" t="n">
        <f aca="false">AVERAGE(C188:C217)</f>
        <v>49877.5</v>
      </c>
      <c r="F217" s="4" t="s">
        <v>57</v>
      </c>
    </row>
    <row r="218" customFormat="false" ht="15" hidden="false" customHeight="true" outlineLevel="0" collapsed="false">
      <c r="A218" s="15" t="n">
        <v>45740</v>
      </c>
      <c r="B218" s="4" t="s">
        <v>55</v>
      </c>
      <c r="C218" s="5" t="n">
        <v>61799</v>
      </c>
      <c r="D218" s="5" t="n">
        <f aca="false">AVERAGE(C212:C218)</f>
        <v>50373.7142857143</v>
      </c>
      <c r="E218" s="5" t="n">
        <f aca="false">AVERAGE(C189:C218)</f>
        <v>50960.5</v>
      </c>
      <c r="F218" s="4" t="s">
        <v>50</v>
      </c>
    </row>
    <row r="219" customFormat="false" ht="15" hidden="false" customHeight="true" outlineLevel="0" collapsed="false">
      <c r="A219" s="15" t="n">
        <v>45741</v>
      </c>
      <c r="B219" s="4" t="s">
        <v>58</v>
      </c>
      <c r="C219" s="5" t="n">
        <v>64027</v>
      </c>
      <c r="D219" s="5" t="n">
        <f aca="false">AVERAGE(C213:C219)</f>
        <v>50625.5714285714</v>
      </c>
      <c r="E219" s="5" t="n">
        <f aca="false">AVERAGE(C190:C219)</f>
        <v>51346.8333333333</v>
      </c>
      <c r="F219" s="4" t="s">
        <v>50</v>
      </c>
    </row>
    <row r="220" customFormat="false" ht="15" hidden="false" customHeight="true" outlineLevel="0" collapsed="false">
      <c r="A220" s="15" t="n">
        <v>45742</v>
      </c>
      <c r="B220" s="4" t="s">
        <v>60</v>
      </c>
      <c r="C220" s="5" t="n">
        <v>54264</v>
      </c>
      <c r="D220" s="5" t="n">
        <f aca="false">AVERAGE(C214:C220)</f>
        <v>49722.8571428571</v>
      </c>
      <c r="E220" s="5" t="n">
        <f aca="false">AVERAGE(C191:C220)</f>
        <v>51360.2333333333</v>
      </c>
      <c r="F220" s="4" t="s">
        <v>50</v>
      </c>
    </row>
    <row r="221" customFormat="false" ht="15" hidden="false" customHeight="true" outlineLevel="0" collapsed="false">
      <c r="A221" s="15" t="n">
        <v>45743</v>
      </c>
      <c r="B221" s="4" t="s">
        <v>49</v>
      </c>
      <c r="C221" s="5" t="n">
        <v>55797</v>
      </c>
      <c r="D221" s="5" t="n">
        <f aca="false">AVERAGE(C215:C221)</f>
        <v>49522.8571428571</v>
      </c>
      <c r="E221" s="5" t="n">
        <f aca="false">AVERAGE(C192:C221)</f>
        <v>51306.8666666667</v>
      </c>
      <c r="F221" s="4" t="s">
        <v>50</v>
      </c>
    </row>
    <row r="222" customFormat="false" ht="15" hidden="false" customHeight="true" outlineLevel="0" collapsed="false">
      <c r="A222" s="15" t="n">
        <v>45744</v>
      </c>
      <c r="B222" s="4" t="s">
        <v>54</v>
      </c>
      <c r="C222" s="5" t="n">
        <v>33283</v>
      </c>
      <c r="D222" s="5" t="n">
        <f aca="false">AVERAGE(C216:C222)</f>
        <v>49239.1428571429</v>
      </c>
      <c r="E222" s="5" t="n">
        <f aca="false">AVERAGE(C193:C222)</f>
        <v>50419.3333333333</v>
      </c>
      <c r="F222" s="4" t="s">
        <v>50</v>
      </c>
    </row>
    <row r="223" customFormat="false" ht="15" hidden="false" customHeight="true" outlineLevel="0" collapsed="false">
      <c r="A223" s="15" t="n">
        <v>45745</v>
      </c>
      <c r="B223" s="4" t="s">
        <v>56</v>
      </c>
      <c r="C223" s="5" t="n">
        <v>31020</v>
      </c>
      <c r="D223" s="5" t="n">
        <f aca="false">AVERAGE(C217:C223)</f>
        <v>49412.1428571429</v>
      </c>
      <c r="E223" s="5" t="n">
        <f aca="false">AVERAGE(C194:C223)</f>
        <v>49549.9666666667</v>
      </c>
      <c r="F223" s="4" t="s">
        <v>57</v>
      </c>
    </row>
    <row r="224" customFormat="false" ht="15" hidden="false" customHeight="true" outlineLevel="0" collapsed="false">
      <c r="A224" s="15" t="n">
        <v>45746</v>
      </c>
      <c r="B224" s="4" t="s">
        <v>59</v>
      </c>
      <c r="C224" s="5" t="n">
        <v>51261</v>
      </c>
      <c r="D224" s="5" t="n">
        <f aca="false">AVERAGE(C218:C224)</f>
        <v>50207.2857142857</v>
      </c>
      <c r="E224" s="5" t="n">
        <f aca="false">AVERAGE(C195:C224)</f>
        <v>50181.1666666667</v>
      </c>
      <c r="F224" s="4" t="s">
        <v>57</v>
      </c>
    </row>
    <row r="225" customFormat="false" ht="15" hidden="false" customHeight="true" outlineLevel="0" collapsed="false">
      <c r="A225" s="15" t="n">
        <v>45747</v>
      </c>
      <c r="B225" s="4" t="s">
        <v>55</v>
      </c>
      <c r="C225" s="5" t="n">
        <v>59009</v>
      </c>
      <c r="D225" s="5" t="n">
        <f aca="false">AVERAGE(C219:C225)</f>
        <v>49808.7142857143</v>
      </c>
      <c r="E225" s="5" t="n">
        <f aca="false">AVERAGE(C196:C225)</f>
        <v>51353.3333333333</v>
      </c>
      <c r="F225" s="4" t="s">
        <v>50</v>
      </c>
    </row>
    <row r="226" customFormat="false" ht="15" hidden="false" customHeight="true" outlineLevel="0" collapsed="false">
      <c r="A226" s="15" t="n">
        <v>45748</v>
      </c>
      <c r="B226" s="4" t="s">
        <v>58</v>
      </c>
      <c r="C226" s="5" t="n">
        <v>61632</v>
      </c>
      <c r="D226" s="5" t="n">
        <f aca="false">AVERAGE(C220:C226)</f>
        <v>49466.5714285714</v>
      </c>
      <c r="E226" s="5" t="n">
        <f aca="false">AVERAGE(C197:C226)</f>
        <v>51606.5</v>
      </c>
      <c r="F226" s="4" t="s">
        <v>50</v>
      </c>
    </row>
    <row r="227" customFormat="false" ht="15" hidden="false" customHeight="true" outlineLevel="0" collapsed="false">
      <c r="A227" s="15" t="n">
        <v>45749</v>
      </c>
      <c r="B227" s="4" t="s">
        <v>60</v>
      </c>
      <c r="C227" s="5" t="n">
        <v>59912</v>
      </c>
      <c r="D227" s="5" t="n">
        <f aca="false">AVERAGE(C221:C227)</f>
        <v>50273.4285714286</v>
      </c>
      <c r="E227" s="5" t="n">
        <f aca="false">AVERAGE(C198:C227)</f>
        <v>51485.2666666667</v>
      </c>
      <c r="F227" s="4" t="s">
        <v>50</v>
      </c>
    </row>
    <row r="228" customFormat="false" ht="15" hidden="false" customHeight="true" outlineLevel="0" collapsed="false">
      <c r="A228" s="15" t="n">
        <v>45750</v>
      </c>
      <c r="B228" s="4" t="s">
        <v>49</v>
      </c>
      <c r="C228" s="5" t="n">
        <v>62220</v>
      </c>
      <c r="D228" s="5" t="n">
        <f aca="false">AVERAGE(C222:C228)</f>
        <v>51191</v>
      </c>
      <c r="E228" s="5" t="n">
        <f aca="false">AVERAGE(C199:C228)</f>
        <v>51493.6333333333</v>
      </c>
      <c r="F228" s="4" t="s">
        <v>50</v>
      </c>
    </row>
    <row r="229" customFormat="false" ht="15" hidden="false" customHeight="true" outlineLevel="0" collapsed="false">
      <c r="A229" s="15" t="n">
        <v>45751</v>
      </c>
      <c r="B229" s="4" t="s">
        <v>54</v>
      </c>
      <c r="C229" s="5" t="n">
        <v>33178</v>
      </c>
      <c r="D229" s="5" t="n">
        <f aca="false">AVERAGE(C223:C229)</f>
        <v>51176</v>
      </c>
      <c r="E229" s="5" t="n">
        <f aca="false">AVERAGE(C200:C229)</f>
        <v>50567.6</v>
      </c>
      <c r="F229" s="4" t="s">
        <v>50</v>
      </c>
    </row>
    <row r="230" customFormat="false" ht="15" hidden="false" customHeight="true" outlineLevel="0" collapsed="false">
      <c r="A230" s="15" t="n">
        <v>45752</v>
      </c>
      <c r="B230" s="4" t="s">
        <v>56</v>
      </c>
      <c r="C230" s="5" t="n">
        <v>28261</v>
      </c>
      <c r="D230" s="5" t="n">
        <f aca="false">AVERAGE(C224:C230)</f>
        <v>50781.8571428571</v>
      </c>
      <c r="E230" s="5" t="n">
        <f aca="false">AVERAGE(C201:C230)</f>
        <v>49481.5666666667</v>
      </c>
      <c r="F230" s="4" t="s">
        <v>57</v>
      </c>
    </row>
    <row r="231" customFormat="false" ht="15" hidden="false" customHeight="true" outlineLevel="0" collapsed="false">
      <c r="A231" s="15" t="n">
        <v>45753</v>
      </c>
      <c r="B231" s="4" t="s">
        <v>59</v>
      </c>
      <c r="C231" s="5" t="n">
        <v>55544</v>
      </c>
      <c r="D231" s="5" t="n">
        <f aca="false">AVERAGE(C225:C231)</f>
        <v>51393.7142857143</v>
      </c>
      <c r="E231" s="5" t="n">
        <f aca="false">AVERAGE(C202:C231)</f>
        <v>50163.3666666667</v>
      </c>
      <c r="F231" s="4" t="s">
        <v>57</v>
      </c>
    </row>
    <row r="232" customFormat="false" ht="15" hidden="false" customHeight="true" outlineLevel="0" collapsed="false">
      <c r="A232" s="15" t="n">
        <v>45754</v>
      </c>
      <c r="B232" s="4" t="s">
        <v>55</v>
      </c>
      <c r="C232" s="5" t="n">
        <v>62572</v>
      </c>
      <c r="D232" s="5" t="n">
        <f aca="false">AVERAGE(C226:C232)</f>
        <v>51902.7142857143</v>
      </c>
      <c r="E232" s="5" t="n">
        <f aca="false">AVERAGE(C203:C232)</f>
        <v>51269.0666666667</v>
      </c>
      <c r="F232" s="4" t="s">
        <v>50</v>
      </c>
    </row>
    <row r="233" customFormat="false" ht="15" hidden="false" customHeight="true" outlineLevel="0" collapsed="false">
      <c r="A233" s="15" t="n">
        <v>45755</v>
      </c>
      <c r="B233" s="4" t="s">
        <v>58</v>
      </c>
      <c r="C233" s="5" t="n">
        <v>62613</v>
      </c>
      <c r="D233" s="5" t="n">
        <f aca="false">AVERAGE(C227:C233)</f>
        <v>52042.8571428571</v>
      </c>
      <c r="E233" s="5" t="n">
        <f aca="false">AVERAGE(C204:C233)</f>
        <v>51524.1</v>
      </c>
      <c r="F233" s="4" t="s">
        <v>50</v>
      </c>
    </row>
    <row r="234" customFormat="false" ht="15" hidden="false" customHeight="true" outlineLevel="0" collapsed="false">
      <c r="A234" s="15" t="n">
        <v>45756</v>
      </c>
      <c r="B234" s="4" t="s">
        <v>60</v>
      </c>
      <c r="C234" s="5" t="n">
        <v>60302</v>
      </c>
      <c r="D234" s="5" t="n">
        <f aca="false">AVERAGE(C228:C234)</f>
        <v>52098.5714285714</v>
      </c>
      <c r="E234" s="5" t="n">
        <f aca="false">AVERAGE(C205:C234)</f>
        <v>51450.2666666667</v>
      </c>
      <c r="F234" s="4" t="s">
        <v>50</v>
      </c>
    </row>
    <row r="235" customFormat="false" ht="15" hidden="false" customHeight="true" outlineLevel="0" collapsed="false">
      <c r="A235" s="15" t="n">
        <v>45757</v>
      </c>
      <c r="B235" s="4" t="s">
        <v>49</v>
      </c>
      <c r="C235" s="5" t="n">
        <v>60385</v>
      </c>
      <c r="D235" s="5" t="n">
        <f aca="false">AVERAGE(C229:C235)</f>
        <v>51836.4285714286</v>
      </c>
      <c r="E235" s="5" t="n">
        <f aca="false">AVERAGE(C206:C235)</f>
        <v>51364.4</v>
      </c>
      <c r="F235" s="4" t="s">
        <v>50</v>
      </c>
    </row>
    <row r="236" customFormat="false" ht="15" hidden="false" customHeight="true" outlineLevel="0" collapsed="false">
      <c r="A236" s="15" t="n">
        <v>45758</v>
      </c>
      <c r="B236" s="4" t="s">
        <v>54</v>
      </c>
      <c r="C236" s="5" t="n">
        <v>31875</v>
      </c>
      <c r="D236" s="5" t="n">
        <f aca="false">AVERAGE(C230:C236)</f>
        <v>51650.2857142857</v>
      </c>
      <c r="E236" s="5" t="n">
        <f aca="false">AVERAGE(C207:C236)</f>
        <v>50391.7333333333</v>
      </c>
      <c r="F236" s="4" t="s">
        <v>50</v>
      </c>
    </row>
    <row r="237" customFormat="false" ht="15" hidden="false" customHeight="true" outlineLevel="0" collapsed="false">
      <c r="A237" s="15" t="n">
        <v>45759</v>
      </c>
      <c r="B237" s="4" t="s">
        <v>56</v>
      </c>
      <c r="C237" s="5" t="n">
        <v>27006</v>
      </c>
      <c r="D237" s="5" t="n">
        <f aca="false">AVERAGE(C231:C237)</f>
        <v>51471</v>
      </c>
      <c r="E237" s="5" t="n">
        <f aca="false">AVERAGE(C208:C237)</f>
        <v>49337.8</v>
      </c>
      <c r="F237" s="4" t="s">
        <v>57</v>
      </c>
    </row>
    <row r="238" customFormat="false" ht="15" hidden="false" customHeight="true" outlineLevel="0" collapsed="false">
      <c r="A238" s="15" t="n">
        <v>45760</v>
      </c>
      <c r="B238" s="4" t="s">
        <v>59</v>
      </c>
      <c r="C238" s="5" t="n">
        <v>56459</v>
      </c>
      <c r="D238" s="5" t="n">
        <f aca="false">AVERAGE(C232:C238)</f>
        <v>51601.7142857143</v>
      </c>
      <c r="E238" s="5" t="n">
        <f aca="false">AVERAGE(C209:C238)</f>
        <v>50300.7333333333</v>
      </c>
      <c r="F238" s="4" t="s">
        <v>57</v>
      </c>
    </row>
    <row r="239" customFormat="false" ht="15" hidden="false" customHeight="true" outlineLevel="0" collapsed="false">
      <c r="A239" s="15" t="n">
        <v>45761</v>
      </c>
      <c r="B239" s="4" t="s">
        <v>55</v>
      </c>
      <c r="C239" s="5" t="n">
        <v>64677</v>
      </c>
      <c r="D239" s="5" t="n">
        <f aca="false">AVERAGE(C233:C239)</f>
        <v>51902.4285714286</v>
      </c>
      <c r="E239" s="5" t="n">
        <f aca="false">AVERAGE(C210:C239)</f>
        <v>51431.6333333333</v>
      </c>
      <c r="F239" s="4" t="s">
        <v>50</v>
      </c>
    </row>
    <row r="240" customFormat="false" ht="15" hidden="false" customHeight="true" outlineLevel="0" collapsed="false">
      <c r="A240" s="15" t="n">
        <v>45762</v>
      </c>
      <c r="B240" s="4" t="s">
        <v>58</v>
      </c>
      <c r="C240" s="5" t="n">
        <v>64017</v>
      </c>
      <c r="D240" s="5" t="n">
        <f aca="false">AVERAGE(C234:C240)</f>
        <v>52103</v>
      </c>
      <c r="E240" s="5" t="n">
        <f aca="false">AVERAGE(C211:C240)</f>
        <v>51772.3666666667</v>
      </c>
      <c r="F240" s="4" t="s">
        <v>50</v>
      </c>
    </row>
    <row r="241" customFormat="false" ht="15" hidden="false" customHeight="true" outlineLevel="0" collapsed="false">
      <c r="A241" s="15" t="n">
        <v>45763</v>
      </c>
      <c r="B241" s="4" t="s">
        <v>60</v>
      </c>
      <c r="C241" s="5" t="n">
        <v>60987</v>
      </c>
      <c r="D241" s="5" t="n">
        <f aca="false">AVERAGE(C235:C241)</f>
        <v>52200.8571428571</v>
      </c>
      <c r="E241" s="5" t="n">
        <f aca="false">AVERAGE(C212:C241)</f>
        <v>51763.9</v>
      </c>
      <c r="F241" s="4" t="s">
        <v>50</v>
      </c>
    </row>
    <row r="242" customFormat="false" ht="15" hidden="false" customHeight="true" outlineLevel="0" collapsed="false">
      <c r="A242" s="15" t="n">
        <v>45764</v>
      </c>
      <c r="B242" s="4" t="s">
        <v>49</v>
      </c>
      <c r="C242" s="5" t="n">
        <v>71211</v>
      </c>
      <c r="D242" s="5" t="n">
        <f aca="false">AVERAGE(C236:C242)</f>
        <v>53747.4285714286</v>
      </c>
      <c r="E242" s="5" t="n">
        <f aca="false">AVERAGE(C213:C242)</f>
        <v>52062.1333333333</v>
      </c>
      <c r="F242" s="4" t="s">
        <v>50</v>
      </c>
    </row>
    <row r="243" customFormat="false" ht="15" hidden="false" customHeight="true" outlineLevel="0" collapsed="false">
      <c r="A243" s="15" t="n">
        <v>45765</v>
      </c>
      <c r="B243" s="4" t="s">
        <v>54</v>
      </c>
      <c r="C243" s="5" t="n">
        <v>32994</v>
      </c>
      <c r="D243" s="5" t="n">
        <f aca="false">AVERAGE(C237:C243)</f>
        <v>53907.2857142857</v>
      </c>
      <c r="E243" s="5" t="n">
        <f aca="false">AVERAGE(C214:C243)</f>
        <v>51142.5</v>
      </c>
      <c r="F243" s="4" t="s">
        <v>50</v>
      </c>
    </row>
    <row r="244" customFormat="false" ht="15" hidden="false" customHeight="true" outlineLevel="0" collapsed="false">
      <c r="A244" s="15" t="n">
        <v>45766</v>
      </c>
      <c r="B244" s="4" t="s">
        <v>56</v>
      </c>
      <c r="C244" s="5" t="n">
        <v>31093</v>
      </c>
      <c r="D244" s="5" t="n">
        <f aca="false">AVERAGE(C238:C244)</f>
        <v>54491.1428571429</v>
      </c>
      <c r="E244" s="5" t="n">
        <f aca="false">AVERAGE(C215:C244)</f>
        <v>50272.3666666667</v>
      </c>
      <c r="F244" s="4" t="s">
        <v>57</v>
      </c>
    </row>
    <row r="245" customFormat="false" ht="15" hidden="false" customHeight="true" outlineLevel="0" collapsed="false">
      <c r="A245" s="15" t="n">
        <v>45767</v>
      </c>
      <c r="B245" s="4" t="s">
        <v>59</v>
      </c>
      <c r="C245" s="5" t="n">
        <v>53580</v>
      </c>
      <c r="D245" s="5" t="n">
        <f aca="false">AVERAGE(C239:C245)</f>
        <v>54079.8571428571</v>
      </c>
      <c r="E245" s="5" t="n">
        <f aca="false">AVERAGE(C216:C245)</f>
        <v>50882.7333333333</v>
      </c>
      <c r="F245" s="4" t="s">
        <v>57</v>
      </c>
    </row>
    <row r="246" customFormat="false" ht="15" hidden="false" customHeight="true" outlineLevel="0" collapsed="false">
      <c r="A246" s="15" t="n">
        <v>45768</v>
      </c>
      <c r="B246" s="4" t="s">
        <v>55</v>
      </c>
      <c r="C246" s="5" t="n">
        <v>57026</v>
      </c>
      <c r="D246" s="5" t="n">
        <f aca="false">AVERAGE(C240:C246)</f>
        <v>52986.8571428571</v>
      </c>
      <c r="E246" s="5" t="n">
        <f aca="false">AVERAGE(C217:C246)</f>
        <v>51789.9666666667</v>
      </c>
      <c r="F246" s="4" t="s">
        <v>50</v>
      </c>
    </row>
    <row r="247" customFormat="false" ht="15" hidden="false" customHeight="true" outlineLevel="0" collapsed="false">
      <c r="A247" s="15" t="n">
        <v>45769</v>
      </c>
      <c r="B247" s="4" t="s">
        <v>58</v>
      </c>
      <c r="C247" s="5" t="n">
        <v>61367</v>
      </c>
      <c r="D247" s="5" t="n">
        <f aca="false">AVERAGE(C241:C247)</f>
        <v>52608.2857142857</v>
      </c>
      <c r="E247" s="5" t="n">
        <f aca="false">AVERAGE(C218:C247)</f>
        <v>52312.3666666667</v>
      </c>
      <c r="F247" s="4" t="s">
        <v>50</v>
      </c>
    </row>
    <row r="248" customFormat="false" ht="15" hidden="false" customHeight="true" outlineLevel="0" collapsed="false">
      <c r="A248" s="15" t="n">
        <v>45770</v>
      </c>
      <c r="B248" s="4" t="s">
        <v>60</v>
      </c>
      <c r="C248" s="5" t="n">
        <v>60042</v>
      </c>
      <c r="D248" s="5" t="n">
        <f aca="false">AVERAGE(C242:C248)</f>
        <v>52473.2857142857</v>
      </c>
      <c r="E248" s="5" t="n">
        <f aca="false">AVERAGE(C219:C248)</f>
        <v>52253.8</v>
      </c>
      <c r="F248" s="4" t="s">
        <v>50</v>
      </c>
    </row>
    <row r="249" customFormat="false" ht="15" hidden="false" customHeight="true" outlineLevel="0" collapsed="false">
      <c r="A249" s="15" t="n">
        <v>45771</v>
      </c>
      <c r="B249" s="4" t="s">
        <v>49</v>
      </c>
      <c r="C249" s="5" t="n">
        <v>59947</v>
      </c>
      <c r="D249" s="5" t="n">
        <f aca="false">AVERAGE(C243:C249)</f>
        <v>50864.1428571429</v>
      </c>
      <c r="E249" s="5" t="n">
        <f aca="false">AVERAGE(C220:C249)</f>
        <v>52117.8</v>
      </c>
      <c r="F249" s="4" t="s">
        <v>50</v>
      </c>
    </row>
    <row r="250" customFormat="false" ht="15" hidden="false" customHeight="true" outlineLevel="0" collapsed="false">
      <c r="A250" s="15" t="n">
        <v>45772</v>
      </c>
      <c r="B250" s="4" t="s">
        <v>54</v>
      </c>
      <c r="C250" s="5" t="n">
        <v>45519</v>
      </c>
      <c r="D250" s="5" t="n">
        <f aca="false">AVERAGE(C244:C250)</f>
        <v>52653.4285714286</v>
      </c>
      <c r="E250" s="5" t="n">
        <f aca="false">AVERAGE(C221:C250)</f>
        <v>51826.3</v>
      </c>
      <c r="F250" s="4" t="s">
        <v>50</v>
      </c>
    </row>
    <row r="251" customFormat="false" ht="15" hidden="false" customHeight="true" outlineLevel="0" collapsed="false">
      <c r="A251" s="15" t="n">
        <v>45773</v>
      </c>
      <c r="B251" s="4" t="s">
        <v>56</v>
      </c>
      <c r="C251" s="5" t="n">
        <v>29570</v>
      </c>
      <c r="D251" s="5" t="n">
        <f aca="false">AVERAGE(C245:C251)</f>
        <v>52435.8571428571</v>
      </c>
      <c r="E251" s="5" t="n">
        <f aca="false">AVERAGE(C222:C251)</f>
        <v>50952.0666666667</v>
      </c>
      <c r="F251" s="4" t="s">
        <v>57</v>
      </c>
    </row>
    <row r="252" customFormat="false" ht="15" hidden="false" customHeight="true" outlineLevel="0" collapsed="false">
      <c r="A252" s="15" t="n">
        <v>45774</v>
      </c>
      <c r="B252" s="4" t="s">
        <v>59</v>
      </c>
      <c r="C252" s="5" t="n">
        <v>53345</v>
      </c>
      <c r="D252" s="5" t="n">
        <f aca="false">AVERAGE(C246:C252)</f>
        <v>52402.2857142857</v>
      </c>
      <c r="E252" s="5" t="n">
        <f aca="false">AVERAGE(C223:C252)</f>
        <v>51620.8</v>
      </c>
      <c r="F252" s="4" t="s">
        <v>57</v>
      </c>
    </row>
    <row r="253" customFormat="false" ht="15" hidden="false" customHeight="true" outlineLevel="0" collapsed="false">
      <c r="A253" s="15" t="n">
        <v>45775</v>
      </c>
      <c r="B253" s="4" t="s">
        <v>55</v>
      </c>
      <c r="C253" s="5" t="n">
        <v>58191</v>
      </c>
      <c r="D253" s="5" t="n">
        <f aca="false">AVERAGE(C247:C253)</f>
        <v>52568.7142857143</v>
      </c>
      <c r="E253" s="5" t="n">
        <f aca="false">AVERAGE(C224:C253)</f>
        <v>52526.5</v>
      </c>
      <c r="F253" s="4" t="s">
        <v>50</v>
      </c>
    </row>
    <row r="254" customFormat="false" ht="15" hidden="false" customHeight="true" outlineLevel="0" collapsed="false">
      <c r="A254" s="15" t="n">
        <v>45776</v>
      </c>
      <c r="B254" s="4" t="s">
        <v>58</v>
      </c>
      <c r="C254" s="5" t="n">
        <v>67761</v>
      </c>
      <c r="D254" s="5" t="n">
        <f aca="false">AVERAGE(C248:C254)</f>
        <v>53482.1428571429</v>
      </c>
      <c r="E254" s="5" t="n">
        <f aca="false">AVERAGE(C225:C254)</f>
        <v>53076.5</v>
      </c>
      <c r="F254" s="4" t="s">
        <v>50</v>
      </c>
    </row>
    <row r="255" customFormat="false" ht="15" hidden="false" customHeight="true" outlineLevel="0" collapsed="false">
      <c r="A255" s="15" t="n">
        <v>45777</v>
      </c>
      <c r="B255" s="4" t="s">
        <v>60</v>
      </c>
      <c r="C255" s="5" t="n">
        <v>70751</v>
      </c>
      <c r="D255" s="5" t="n">
        <f aca="false">AVERAGE(C249:C255)</f>
        <v>55012</v>
      </c>
      <c r="E255" s="5" t="n">
        <f aca="false">AVERAGE(C226:C255)</f>
        <v>53467.9</v>
      </c>
      <c r="F255" s="4" t="s">
        <v>50</v>
      </c>
    </row>
    <row r="256" customFormat="false" ht="15" hidden="false" customHeight="true" outlineLevel="0" collapsed="false">
      <c r="A256" s="15" t="n">
        <v>45778</v>
      </c>
      <c r="B256" s="4" t="s">
        <v>49</v>
      </c>
      <c r="C256" s="5" t="n">
        <v>71640</v>
      </c>
      <c r="D256" s="5" t="n">
        <f aca="false">AVERAGE(C250:C256)</f>
        <v>56682.4285714286</v>
      </c>
      <c r="E256" s="5" t="n">
        <f aca="false">AVERAGE(C227:C256)</f>
        <v>53801.5</v>
      </c>
      <c r="F256" s="4" t="s">
        <v>50</v>
      </c>
    </row>
    <row r="257" customFormat="false" ht="15" hidden="false" customHeight="true" outlineLevel="0" collapsed="false">
      <c r="A257" s="15" t="n">
        <v>45779</v>
      </c>
      <c r="B257" s="4" t="s">
        <v>54</v>
      </c>
      <c r="C257" s="5" t="n">
        <v>36308</v>
      </c>
      <c r="D257" s="5" t="n">
        <f aca="false">AVERAGE(C251:C257)</f>
        <v>55366.5714285714</v>
      </c>
      <c r="E257" s="5" t="n">
        <f aca="false">AVERAGE(C228:C257)</f>
        <v>53014.7</v>
      </c>
      <c r="F257" s="4" t="s">
        <v>50</v>
      </c>
    </row>
    <row r="258" customFormat="false" ht="15" hidden="false" customHeight="true" outlineLevel="0" collapsed="false">
      <c r="A258" s="15" t="n">
        <v>45780</v>
      </c>
      <c r="B258" s="4" t="s">
        <v>56</v>
      </c>
      <c r="C258" s="5" t="n">
        <v>33583</v>
      </c>
      <c r="D258" s="5" t="n">
        <f aca="false">AVERAGE(C252:C258)</f>
        <v>55939.8571428571</v>
      </c>
      <c r="E258" s="5" t="n">
        <f aca="false">AVERAGE(C229:C258)</f>
        <v>52060.1333333333</v>
      </c>
      <c r="F258" s="4" t="s">
        <v>57</v>
      </c>
    </row>
    <row r="259" customFormat="false" ht="15" hidden="false" customHeight="true" outlineLevel="0" collapsed="false">
      <c r="A259" s="15" t="n">
        <v>45781</v>
      </c>
      <c r="B259" s="4" t="s">
        <v>59</v>
      </c>
      <c r="C259" s="5" t="n">
        <v>59222</v>
      </c>
      <c r="D259" s="5" t="n">
        <f aca="false">AVERAGE(C253:C259)</f>
        <v>56779.4285714286</v>
      </c>
      <c r="E259" s="5" t="n">
        <f aca="false">AVERAGE(C230:C259)</f>
        <v>52928.2666666667</v>
      </c>
      <c r="F259" s="4" t="s">
        <v>57</v>
      </c>
    </row>
    <row r="260" customFormat="false" ht="15" hidden="false" customHeight="true" outlineLevel="0" collapsed="false">
      <c r="A260" s="15" t="n">
        <v>45782</v>
      </c>
      <c r="B260" s="4" t="s">
        <v>55</v>
      </c>
      <c r="C260" s="5" t="n">
        <v>65212</v>
      </c>
      <c r="D260" s="5" t="n">
        <f aca="false">AVERAGE(C254:C260)</f>
        <v>57782.4285714286</v>
      </c>
      <c r="E260" s="5" t="n">
        <f aca="false">AVERAGE(C231:C260)</f>
        <v>54159.9666666667</v>
      </c>
      <c r="F260" s="4" t="s">
        <v>50</v>
      </c>
    </row>
    <row r="261" customFormat="false" ht="15" hidden="false" customHeight="true" outlineLevel="0" collapsed="false">
      <c r="A261" s="15" t="n">
        <v>45783</v>
      </c>
      <c r="B261" s="4" t="s">
        <v>58</v>
      </c>
      <c r="C261" s="5" t="n">
        <v>69999</v>
      </c>
      <c r="D261" s="5" t="n">
        <f aca="false">AVERAGE(C255:C261)</f>
        <v>58102.1428571429</v>
      </c>
      <c r="E261" s="5" t="n">
        <f aca="false">AVERAGE(C232:C261)</f>
        <v>54641.8</v>
      </c>
      <c r="F261" s="4" t="s">
        <v>50</v>
      </c>
    </row>
    <row r="262" customFormat="false" ht="15" hidden="false" customHeight="true" outlineLevel="0" collapsed="false">
      <c r="A262" s="15" t="n">
        <v>45784</v>
      </c>
      <c r="B262" s="4" t="s">
        <v>60</v>
      </c>
      <c r="C262" s="5" t="n">
        <v>72151</v>
      </c>
      <c r="D262" s="5" t="n">
        <f aca="false">AVERAGE(C256:C262)</f>
        <v>58302.1428571429</v>
      </c>
      <c r="E262" s="5" t="n">
        <f aca="false">AVERAGE(C233:C262)</f>
        <v>54961.1</v>
      </c>
      <c r="F262" s="4" t="s">
        <v>50</v>
      </c>
    </row>
    <row r="263" customFormat="false" ht="15" hidden="false" customHeight="true" outlineLevel="0" collapsed="false">
      <c r="A263" s="15" t="n">
        <v>45785</v>
      </c>
      <c r="B263" s="4" t="s">
        <v>49</v>
      </c>
      <c r="C263" s="5" t="n">
        <v>73648</v>
      </c>
      <c r="D263" s="5" t="n">
        <f aca="false">AVERAGE(C257:C263)</f>
        <v>58589</v>
      </c>
      <c r="E263" s="5" t="n">
        <f aca="false">AVERAGE(C234:C263)</f>
        <v>55328.9333333333</v>
      </c>
      <c r="F263" s="4" t="s">
        <v>50</v>
      </c>
    </row>
    <row r="264" customFormat="false" ht="15" hidden="false" customHeight="true" outlineLevel="0" collapsed="false">
      <c r="A264" s="15" t="n">
        <v>45786</v>
      </c>
      <c r="B264" s="4" t="s">
        <v>54</v>
      </c>
      <c r="C264" s="5" t="n">
        <v>42340</v>
      </c>
      <c r="D264" s="5" t="n">
        <f aca="false">AVERAGE(C258:C264)</f>
        <v>59450.7142857143</v>
      </c>
      <c r="E264" s="5" t="n">
        <f aca="false">AVERAGE(C235:C264)</f>
        <v>54730.2</v>
      </c>
      <c r="F264" s="4" t="s">
        <v>50</v>
      </c>
    </row>
    <row r="265" customFormat="false" ht="15" hidden="false" customHeight="true" outlineLevel="0" collapsed="false">
      <c r="A265" s="15" t="n">
        <v>45787</v>
      </c>
      <c r="B265" s="4" t="s">
        <v>56</v>
      </c>
      <c r="C265" s="5" t="n">
        <v>35006</v>
      </c>
      <c r="D265" s="5" t="n">
        <f aca="false">AVERAGE(C259:C265)</f>
        <v>59654</v>
      </c>
      <c r="E265" s="5" t="n">
        <f aca="false">AVERAGE(C236:C265)</f>
        <v>53884.2333333333</v>
      </c>
      <c r="F265" s="4" t="s">
        <v>57</v>
      </c>
    </row>
    <row r="266" customFormat="false" ht="15" hidden="false" customHeight="true" outlineLevel="0" collapsed="false">
      <c r="A266" s="15" t="n">
        <v>45788</v>
      </c>
      <c r="B266" s="4" t="s">
        <v>59</v>
      </c>
      <c r="C266" s="5" t="n">
        <v>56164</v>
      </c>
      <c r="D266" s="5" t="n">
        <f aca="false">AVERAGE(C260:C266)</f>
        <v>59217.1428571429</v>
      </c>
      <c r="E266" s="5" t="n">
        <f aca="false">AVERAGE(C237:C266)</f>
        <v>54693.8666666667</v>
      </c>
      <c r="F266" s="4" t="s">
        <v>57</v>
      </c>
    </row>
    <row r="267" customFormat="false" ht="15" hidden="false" customHeight="true" outlineLevel="0" collapsed="false">
      <c r="A267" s="15" t="n">
        <v>45789</v>
      </c>
      <c r="B267" s="4" t="s">
        <v>55</v>
      </c>
      <c r="C267" s="5" t="n">
        <v>61991</v>
      </c>
      <c r="D267" s="5" t="n">
        <f aca="false">AVERAGE(C261:C267)</f>
        <v>58757</v>
      </c>
      <c r="E267" s="5" t="n">
        <f aca="false">AVERAGE(C238:C267)</f>
        <v>55860.0333333333</v>
      </c>
      <c r="F267" s="4" t="s">
        <v>50</v>
      </c>
    </row>
    <row r="268" customFormat="false" ht="15" hidden="false" customHeight="true" outlineLevel="0" collapsed="false">
      <c r="A268" s="15" t="n">
        <v>45790</v>
      </c>
      <c r="B268" s="4" t="s">
        <v>58</v>
      </c>
      <c r="C268" s="5" t="n">
        <v>66270</v>
      </c>
      <c r="D268" s="5" t="n">
        <f aca="false">AVERAGE(C262:C268)</f>
        <v>58224.2857142857</v>
      </c>
      <c r="E268" s="5" t="n">
        <f aca="false">AVERAGE(C239:C268)</f>
        <v>56187.0666666667</v>
      </c>
      <c r="F268" s="4" t="s">
        <v>50</v>
      </c>
    </row>
    <row r="269" customFormat="false" ht="15" hidden="false" customHeight="true" outlineLevel="0" collapsed="false">
      <c r="A269" s="15" t="n">
        <v>45791</v>
      </c>
      <c r="B269" s="4" t="s">
        <v>60</v>
      </c>
      <c r="C269" s="5" t="n">
        <v>76937</v>
      </c>
      <c r="D269" s="5" t="n">
        <f aca="false">AVERAGE(C263:C269)</f>
        <v>58908</v>
      </c>
      <c r="E269" s="5" t="n">
        <f aca="false">AVERAGE(C240:C269)</f>
        <v>56595.7333333333</v>
      </c>
      <c r="F269" s="4" t="s">
        <v>50</v>
      </c>
    </row>
    <row r="270" customFormat="false" ht="15" hidden="false" customHeight="true" outlineLevel="0" collapsed="false">
      <c r="A270" s="15" t="n">
        <v>45792</v>
      </c>
      <c r="B270" s="4" t="s">
        <v>49</v>
      </c>
      <c r="C270" s="5" t="n">
        <v>65800</v>
      </c>
      <c r="D270" s="5" t="n">
        <f aca="false">AVERAGE(C264:C270)</f>
        <v>57786.8571428571</v>
      </c>
      <c r="E270" s="5" t="n">
        <f aca="false">AVERAGE(C241:C270)</f>
        <v>56655.1666666667</v>
      </c>
      <c r="F270" s="4" t="s">
        <v>50</v>
      </c>
    </row>
    <row r="271" customFormat="false" ht="15" hidden="false" customHeight="true" outlineLevel="0" collapsed="false">
      <c r="A271" s="15" t="n">
        <v>45793</v>
      </c>
      <c r="B271" s="4" t="s">
        <v>54</v>
      </c>
      <c r="C271" s="5" t="n">
        <v>35663</v>
      </c>
      <c r="D271" s="5" t="n">
        <f aca="false">AVERAGE(C265:C271)</f>
        <v>56833</v>
      </c>
      <c r="E271" s="5" t="n">
        <f aca="false">AVERAGE(C242:C271)</f>
        <v>55811.0333333333</v>
      </c>
      <c r="F271" s="4" t="s">
        <v>50</v>
      </c>
    </row>
    <row r="272" customFormat="false" ht="15" hidden="false" customHeight="true" outlineLevel="0" collapsed="false">
      <c r="A272" s="15" t="n">
        <v>45794</v>
      </c>
      <c r="B272" s="4" t="s">
        <v>56</v>
      </c>
      <c r="C272" s="5" t="n">
        <v>32051</v>
      </c>
      <c r="D272" s="5" t="n">
        <f aca="false">AVERAGE(C266:C272)</f>
        <v>56410.8571428571</v>
      </c>
      <c r="E272" s="5" t="n">
        <f aca="false">AVERAGE(C243:C272)</f>
        <v>54505.7</v>
      </c>
      <c r="F272" s="4" t="s">
        <v>57</v>
      </c>
    </row>
    <row r="273" customFormat="false" ht="15" hidden="false" customHeight="true" outlineLevel="0" collapsed="false">
      <c r="A273" s="15" t="n">
        <v>45795</v>
      </c>
      <c r="B273" s="4" t="s">
        <v>59</v>
      </c>
      <c r="C273" s="5" t="n">
        <v>57706</v>
      </c>
      <c r="D273" s="5" t="n">
        <f aca="false">AVERAGE(C267:C273)</f>
        <v>56631.1428571429</v>
      </c>
      <c r="E273" s="5" t="n">
        <f aca="false">AVERAGE(C244:C273)</f>
        <v>55329.4333333333</v>
      </c>
      <c r="F273" s="4" t="s">
        <v>57</v>
      </c>
    </row>
    <row r="274" customFormat="false" ht="15" hidden="false" customHeight="true" outlineLevel="0" collapsed="false">
      <c r="A274" s="15" t="n">
        <v>45796</v>
      </c>
      <c r="B274" s="4" t="s">
        <v>55</v>
      </c>
      <c r="C274" s="5" t="n">
        <v>64366</v>
      </c>
      <c r="D274" s="5" t="n">
        <f aca="false">AVERAGE(C268:C274)</f>
        <v>56970.4285714286</v>
      </c>
      <c r="E274" s="5" t="n">
        <f aca="false">AVERAGE(C245:C274)</f>
        <v>56438.5333333333</v>
      </c>
      <c r="F274" s="4" t="s">
        <v>50</v>
      </c>
    </row>
    <row r="275" customFormat="false" ht="15" hidden="false" customHeight="true" outlineLevel="0" collapsed="false">
      <c r="A275" s="15" t="n">
        <v>45797</v>
      </c>
      <c r="B275" s="4" t="s">
        <v>58</v>
      </c>
      <c r="C275" s="5" t="n">
        <v>70810</v>
      </c>
      <c r="D275" s="5" t="n">
        <f aca="false">AVERAGE(C269:C275)</f>
        <v>57619</v>
      </c>
      <c r="E275" s="5" t="n">
        <f aca="false">AVERAGE(C246:C275)</f>
        <v>57012.8666666667</v>
      </c>
      <c r="F275" s="4" t="s">
        <v>50</v>
      </c>
    </row>
    <row r="276" customFormat="false" ht="15" hidden="false" customHeight="true" outlineLevel="0" collapsed="false">
      <c r="A276" s="15" t="n">
        <v>45798</v>
      </c>
      <c r="B276" s="4" t="s">
        <v>60</v>
      </c>
      <c r="C276" s="5" t="n">
        <v>65617</v>
      </c>
      <c r="D276" s="5" t="n">
        <f aca="false">AVERAGE(C270:C276)</f>
        <v>56001.8571428571</v>
      </c>
      <c r="E276" s="5" t="n">
        <f aca="false">AVERAGE(C247:C276)</f>
        <v>57299.2333333333</v>
      </c>
      <c r="F276" s="4" t="s">
        <v>50</v>
      </c>
    </row>
    <row r="277" customFormat="false" ht="15" hidden="false" customHeight="true" outlineLevel="0" collapsed="false">
      <c r="A277" s="15" t="n">
        <v>45799</v>
      </c>
      <c r="B277" s="4" t="s">
        <v>49</v>
      </c>
      <c r="C277" s="5" t="n">
        <v>70894</v>
      </c>
      <c r="D277" s="5" t="n">
        <f aca="false">AVERAGE(C271:C277)</f>
        <v>56729.5714285714</v>
      </c>
      <c r="E277" s="5" t="n">
        <f aca="false">AVERAGE(C248:C277)</f>
        <v>57616.8</v>
      </c>
      <c r="F277" s="4" t="s">
        <v>50</v>
      </c>
    </row>
    <row r="278" customFormat="false" ht="15" hidden="false" customHeight="true" outlineLevel="0" collapsed="false">
      <c r="A278" s="15" t="n">
        <v>45800</v>
      </c>
      <c r="B278" s="4" t="s">
        <v>54</v>
      </c>
      <c r="C278" s="5" t="n">
        <v>37568</v>
      </c>
      <c r="D278" s="5" t="n">
        <f aca="false">AVERAGE(C272:C278)</f>
        <v>57001.7142857143</v>
      </c>
      <c r="E278" s="5" t="n">
        <f aca="false">AVERAGE(C249:C278)</f>
        <v>56867.6666666667</v>
      </c>
      <c r="F278" s="4" t="s">
        <v>50</v>
      </c>
    </row>
    <row r="279" customFormat="false" ht="15" hidden="false" customHeight="true" outlineLevel="0" collapsed="false">
      <c r="A279" s="15" t="n">
        <v>45801</v>
      </c>
      <c r="B279" s="4" t="s">
        <v>56</v>
      </c>
      <c r="C279" s="5" t="n">
        <v>29454</v>
      </c>
      <c r="D279" s="5" t="n">
        <f aca="false">AVERAGE(C273:C279)</f>
        <v>56630.7142857143</v>
      </c>
      <c r="E279" s="5" t="n">
        <f aca="false">AVERAGE(C250:C279)</f>
        <v>55851.2333333333</v>
      </c>
      <c r="F279" s="4" t="s">
        <v>57</v>
      </c>
    </row>
    <row r="280" customFormat="false" ht="15" hidden="false" customHeight="true" outlineLevel="0" collapsed="false">
      <c r="A280" s="15" t="n">
        <v>45802</v>
      </c>
      <c r="B280" s="4" t="s">
        <v>59</v>
      </c>
      <c r="C280" s="5" t="n">
        <v>56296</v>
      </c>
      <c r="D280" s="5" t="n">
        <f aca="false">AVERAGE(C274:C280)</f>
        <v>56429.2857142857</v>
      </c>
      <c r="E280" s="5" t="n">
        <f aca="false">AVERAGE(C251:C280)</f>
        <v>56210.4666666667</v>
      </c>
      <c r="F280" s="4" t="s">
        <v>57</v>
      </c>
    </row>
    <row r="281" customFormat="false" ht="15" hidden="false" customHeight="true" outlineLevel="0" collapsed="false">
      <c r="A281" s="15" t="n">
        <v>45803</v>
      </c>
      <c r="B281" s="4" t="s">
        <v>55</v>
      </c>
      <c r="C281" s="5" t="n">
        <v>27322</v>
      </c>
      <c r="D281" s="5" t="n">
        <f aca="false">AVERAGE(C275:C281)</f>
        <v>51137.2857142857</v>
      </c>
      <c r="E281" s="5" t="n">
        <f aca="false">AVERAGE(C252:C281)</f>
        <v>56135.5333333333</v>
      </c>
      <c r="F281" s="4" t="s">
        <v>50</v>
      </c>
    </row>
    <row r="282" customFormat="false" ht="15" hidden="false" customHeight="true" outlineLevel="0" collapsed="false">
      <c r="A282" s="15" t="n">
        <v>45804</v>
      </c>
      <c r="B282" s="4" t="s">
        <v>58</v>
      </c>
      <c r="C282" s="5" t="n">
        <v>58562</v>
      </c>
      <c r="D282" s="5" t="n">
        <f aca="false">AVERAGE(C276:C282)</f>
        <v>49387.5714285714</v>
      </c>
      <c r="E282" s="5" t="n">
        <f aca="false">AVERAGE(C253:C282)</f>
        <v>56309.4333333333</v>
      </c>
      <c r="F282" s="4" t="s">
        <v>50</v>
      </c>
    </row>
    <row r="283" customFormat="false" ht="15" hidden="false" customHeight="true" outlineLevel="0" collapsed="false">
      <c r="A283" s="15" t="n">
        <v>45805</v>
      </c>
      <c r="B283" s="4" t="s">
        <v>60</v>
      </c>
      <c r="C283" s="5" t="n">
        <v>69466</v>
      </c>
      <c r="D283" s="5" t="n">
        <f aca="false">AVERAGE(C277:C283)</f>
        <v>49937.4285714286</v>
      </c>
      <c r="E283" s="5" t="n">
        <f aca="false">AVERAGE(C254:C283)</f>
        <v>56685.2666666667</v>
      </c>
      <c r="F283" s="4" t="s">
        <v>50</v>
      </c>
    </row>
    <row r="284" customFormat="false" ht="15" hidden="false" customHeight="true" outlineLevel="0" collapsed="false">
      <c r="A284" s="15" t="n">
        <v>45806</v>
      </c>
      <c r="B284" s="4" t="s">
        <v>49</v>
      </c>
      <c r="C284" s="5" t="n">
        <v>71817</v>
      </c>
      <c r="D284" s="5" t="n">
        <f aca="false">AVERAGE(C278:C284)</f>
        <v>50069.2857142857</v>
      </c>
      <c r="E284" s="5" t="n">
        <f aca="false">AVERAGE(C255:C284)</f>
        <v>56820.4666666667</v>
      </c>
      <c r="F284" s="4" t="s">
        <v>50</v>
      </c>
    </row>
    <row r="285" customFormat="false" ht="15" hidden="false" customHeight="true" outlineLevel="0" collapsed="false">
      <c r="A285" s="15" t="n">
        <v>45807</v>
      </c>
      <c r="B285" s="4" t="s">
        <v>54</v>
      </c>
      <c r="C285" s="5" t="n">
        <v>33370</v>
      </c>
      <c r="D285" s="5" t="n">
        <f aca="false">AVERAGE(C279:C285)</f>
        <v>49469.5714285714</v>
      </c>
      <c r="E285" s="5" t="n">
        <f aca="false">AVERAGE(C256:C285)</f>
        <v>55574.4333333333</v>
      </c>
      <c r="F285" s="4" t="s">
        <v>50</v>
      </c>
    </row>
    <row r="286" customFormat="false" ht="15" hidden="false" customHeight="true" outlineLevel="0" collapsed="false">
      <c r="A286" s="15" t="n">
        <v>45808</v>
      </c>
      <c r="B286" s="4" t="s">
        <v>56</v>
      </c>
      <c r="C286" s="5" t="n">
        <v>33317</v>
      </c>
      <c r="D286" s="5" t="n">
        <f aca="false">AVERAGE(C280:C286)</f>
        <v>50021.4285714286</v>
      </c>
      <c r="E286" s="5" t="n">
        <f aca="false">AVERAGE(C257:C286)</f>
        <v>54297</v>
      </c>
      <c r="F286" s="4" t="s">
        <v>57</v>
      </c>
    </row>
    <row r="287" customFormat="false" ht="15" hidden="false" customHeight="true" outlineLevel="0" collapsed="false">
      <c r="A287" s="15" t="n">
        <v>45809</v>
      </c>
      <c r="B287" s="4" t="s">
        <v>59</v>
      </c>
      <c r="C287" s="5" t="n">
        <v>57928</v>
      </c>
      <c r="D287" s="5" t="n">
        <f aca="false">AVERAGE(C281:C287)</f>
        <v>50254.5714285714</v>
      </c>
      <c r="E287" s="5" t="n">
        <f aca="false">AVERAGE(C258:C287)</f>
        <v>55017.6666666667</v>
      </c>
      <c r="F287" s="4" t="s">
        <v>57</v>
      </c>
    </row>
    <row r="288" customFormat="false" ht="15" hidden="false" customHeight="true" outlineLevel="0" collapsed="false">
      <c r="A288" s="15" t="n">
        <v>45810</v>
      </c>
      <c r="B288" s="4" t="s">
        <v>55</v>
      </c>
      <c r="C288" s="5" t="n">
        <v>69149</v>
      </c>
      <c r="D288" s="5" t="n">
        <f aca="false">AVERAGE(C282:C288)</f>
        <v>56229.8571428571</v>
      </c>
      <c r="E288" s="5" t="n">
        <f aca="false">AVERAGE(C259:C288)</f>
        <v>56203.2</v>
      </c>
      <c r="F288" s="4" t="s">
        <v>50</v>
      </c>
    </row>
    <row r="289" customFormat="false" ht="15" hidden="false" customHeight="true" outlineLevel="0" collapsed="false">
      <c r="A289" s="15" t="n">
        <v>45811</v>
      </c>
      <c r="B289" s="4" t="s">
        <v>58</v>
      </c>
      <c r="C289" s="5" t="n">
        <v>69628</v>
      </c>
      <c r="D289" s="5" t="n">
        <f aca="false">AVERAGE(C283:C289)</f>
        <v>57810.7142857143</v>
      </c>
      <c r="E289" s="5" t="n">
        <f aca="false">AVERAGE(C260:C289)</f>
        <v>56550.0666666667</v>
      </c>
      <c r="F289" s="4" t="s">
        <v>50</v>
      </c>
    </row>
    <row r="290" customFormat="false" ht="15" hidden="false" customHeight="true" outlineLevel="0" collapsed="false">
      <c r="A290" s="15" t="n">
        <v>45812</v>
      </c>
      <c r="B290" s="4" t="s">
        <v>60</v>
      </c>
      <c r="C290" s="5" t="n">
        <v>68401</v>
      </c>
      <c r="D290" s="5" t="n">
        <f aca="false">AVERAGE(C284:C290)</f>
        <v>57658.5714285714</v>
      </c>
      <c r="E290" s="5" t="n">
        <f aca="false">AVERAGE(C261:C290)</f>
        <v>56656.3666666667</v>
      </c>
      <c r="F290" s="4" t="s">
        <v>50</v>
      </c>
    </row>
    <row r="291" customFormat="false" ht="15" hidden="false" customHeight="true" outlineLevel="0" collapsed="false">
      <c r="A291" s="15" t="n">
        <v>45813</v>
      </c>
      <c r="B291" s="4" t="s">
        <v>49</v>
      </c>
      <c r="C291" s="5" t="n">
        <v>71998</v>
      </c>
      <c r="D291" s="5" t="n">
        <f aca="false">AVERAGE(C285:C291)</f>
        <v>57684.4285714286</v>
      </c>
      <c r="E291" s="5" t="n">
        <f aca="false">AVERAGE(C262:C291)</f>
        <v>56723</v>
      </c>
      <c r="F291" s="4" t="s">
        <v>50</v>
      </c>
    </row>
    <row r="292" customFormat="false" ht="15" hidden="false" customHeight="true" outlineLevel="0" collapsed="false">
      <c r="A292" s="15" t="n">
        <v>45814</v>
      </c>
      <c r="B292" s="4" t="s">
        <v>54</v>
      </c>
      <c r="C292" s="5" t="n">
        <v>35569</v>
      </c>
      <c r="D292" s="5" t="n">
        <f aca="false">AVERAGE(C286:C292)</f>
        <v>57998.5714285714</v>
      </c>
      <c r="E292" s="5" t="n">
        <f aca="false">AVERAGE(C263:C292)</f>
        <v>55503.6</v>
      </c>
      <c r="F292" s="4" t="s">
        <v>50</v>
      </c>
    </row>
    <row r="293" customFormat="false" ht="15" hidden="false" customHeight="true" outlineLevel="0" collapsed="false">
      <c r="A293" s="15" t="n">
        <v>45815</v>
      </c>
      <c r="B293" s="4" t="s">
        <v>56</v>
      </c>
      <c r="C293" s="5" t="n">
        <v>32515</v>
      </c>
      <c r="D293" s="5" t="n">
        <f aca="false">AVERAGE(C287:C293)</f>
        <v>57884</v>
      </c>
      <c r="E293" s="5" t="n">
        <f aca="false">AVERAGE(C264:C293)</f>
        <v>54132.5</v>
      </c>
      <c r="F293" s="4" t="s">
        <v>57</v>
      </c>
    </row>
    <row r="294" customFormat="false" ht="15" hidden="false" customHeight="true" outlineLevel="0" collapsed="false">
      <c r="A294" s="15" t="n">
        <v>45816</v>
      </c>
      <c r="B294" s="4" t="s">
        <v>59</v>
      </c>
      <c r="C294" s="5" t="n">
        <v>59121</v>
      </c>
      <c r="D294" s="5" t="n">
        <f aca="false">AVERAGE(C288:C294)</f>
        <v>58054.4285714286</v>
      </c>
      <c r="E294" s="5" t="n">
        <f aca="false">AVERAGE(C265:C294)</f>
        <v>54691.8666666667</v>
      </c>
      <c r="F294" s="4" t="s">
        <v>57</v>
      </c>
    </row>
    <row r="295" customFormat="false" ht="15" hidden="false" customHeight="true" outlineLevel="0" collapsed="false">
      <c r="A295" s="15" t="n">
        <v>45817</v>
      </c>
      <c r="B295" s="4" t="s">
        <v>55</v>
      </c>
      <c r="C295" s="5" t="n">
        <v>67836</v>
      </c>
      <c r="D295" s="5" t="n">
        <f aca="false">AVERAGE(C289:C295)</f>
        <v>57866.8571428571</v>
      </c>
      <c r="E295" s="5" t="n">
        <f aca="false">AVERAGE(C266:C295)</f>
        <v>55786.2</v>
      </c>
      <c r="F295" s="4" t="s">
        <v>50</v>
      </c>
    </row>
    <row r="296" customFormat="false" ht="15" hidden="false" customHeight="true" outlineLevel="0" collapsed="false">
      <c r="A296" s="15" t="n">
        <v>45818</v>
      </c>
      <c r="B296" s="4" t="s">
        <v>58</v>
      </c>
      <c r="C296" s="5" t="n">
        <v>66245</v>
      </c>
      <c r="D296" s="5" t="n">
        <f aca="false">AVERAGE(C290:C296)</f>
        <v>57383.5714285714</v>
      </c>
      <c r="E296" s="5" t="n">
        <f aca="false">AVERAGE(C267:C296)</f>
        <v>56122.2333333333</v>
      </c>
      <c r="F296" s="4" t="s">
        <v>50</v>
      </c>
    </row>
    <row r="297" customFormat="false" ht="15" hidden="false" customHeight="true" outlineLevel="0" collapsed="false">
      <c r="A297" s="15" t="n">
        <v>45819</v>
      </c>
      <c r="B297" s="4" t="s">
        <v>60</v>
      </c>
      <c r="C297" s="5" t="n">
        <v>69784</v>
      </c>
      <c r="D297" s="5" t="n">
        <f aca="false">AVERAGE(C291:C297)</f>
        <v>57581.1428571429</v>
      </c>
      <c r="E297" s="5" t="n">
        <f aca="false">AVERAGE(C268:C297)</f>
        <v>56382</v>
      </c>
      <c r="F297" s="4" t="s">
        <v>50</v>
      </c>
    </row>
    <row r="298" customFormat="false" ht="15" hidden="false" customHeight="true" outlineLevel="0" collapsed="false">
      <c r="A298" s="15" t="n">
        <v>45820</v>
      </c>
      <c r="B298" s="4" t="s">
        <v>49</v>
      </c>
      <c r="C298" s="5" t="n">
        <v>61887</v>
      </c>
      <c r="D298" s="5" t="n">
        <f aca="false">AVERAGE(C292:C298)</f>
        <v>56136.7142857143</v>
      </c>
      <c r="E298" s="5" t="n">
        <f aca="false">AVERAGE(C269:C298)</f>
        <v>56235.9</v>
      </c>
      <c r="F298" s="4" t="s">
        <v>50</v>
      </c>
    </row>
    <row r="299" customFormat="false" ht="15" hidden="false" customHeight="true" outlineLevel="0" collapsed="false">
      <c r="A299" s="15" t="n">
        <v>45821</v>
      </c>
      <c r="B299" s="4" t="s">
        <v>54</v>
      </c>
      <c r="C299" s="5" t="n">
        <v>32036</v>
      </c>
      <c r="D299" s="5" t="n">
        <f aca="false">AVERAGE(C293:C299)</f>
        <v>55632</v>
      </c>
      <c r="E299" s="5" t="n">
        <f aca="false">AVERAGE(C270:C299)</f>
        <v>54739.2</v>
      </c>
      <c r="F299" s="4" t="s">
        <v>50</v>
      </c>
    </row>
    <row r="300" customFormat="false" ht="15" hidden="false" customHeight="true" outlineLevel="0" collapsed="false">
      <c r="A300" s="15" t="n">
        <v>45822</v>
      </c>
      <c r="B300" s="4" t="s">
        <v>56</v>
      </c>
      <c r="C300" s="5" t="n">
        <v>33101</v>
      </c>
      <c r="D300" s="5" t="n">
        <f aca="false">AVERAGE(C294:C300)</f>
        <v>55715.7142857143</v>
      </c>
      <c r="E300" s="5" t="n">
        <f aca="false">AVERAGE(C271:C300)</f>
        <v>53649.2333333333</v>
      </c>
      <c r="F300" s="4" t="s">
        <v>57</v>
      </c>
    </row>
    <row r="301" customFormat="false" ht="15" hidden="false" customHeight="true" outlineLevel="0" collapsed="false">
      <c r="A301" s="15" t="n">
        <v>45823</v>
      </c>
      <c r="B301" s="4" t="s">
        <v>59</v>
      </c>
      <c r="C301" s="5" t="n">
        <v>56469</v>
      </c>
      <c r="D301" s="5" t="n">
        <f aca="false">AVERAGE(C295:C301)</f>
        <v>55336.8571428571</v>
      </c>
      <c r="E301" s="5" t="n">
        <f aca="false">AVERAGE(C272:C301)</f>
        <v>54342.7666666667</v>
      </c>
      <c r="F301" s="4" t="s">
        <v>57</v>
      </c>
    </row>
    <row r="302" customFormat="false" ht="15" hidden="false" customHeight="true" outlineLevel="0" collapsed="false">
      <c r="A302" s="15" t="n">
        <v>45824</v>
      </c>
      <c r="B302" s="4" t="s">
        <v>55</v>
      </c>
      <c r="C302" s="5" t="n">
        <v>61001</v>
      </c>
      <c r="D302" s="5" t="n">
        <f aca="false">AVERAGE(C296:C302)</f>
        <v>54360.4285714286</v>
      </c>
      <c r="E302" s="5" t="n">
        <f aca="false">AVERAGE(C273:C302)</f>
        <v>55307.7666666667</v>
      </c>
      <c r="F302" s="4" t="s">
        <v>50</v>
      </c>
    </row>
    <row r="303" customFormat="false" ht="15" hidden="false" customHeight="true" outlineLevel="0" collapsed="false">
      <c r="A303" s="15" t="n">
        <v>45825</v>
      </c>
      <c r="B303" s="4" t="s">
        <v>58</v>
      </c>
      <c r="C303" s="5" t="n">
        <v>70394</v>
      </c>
      <c r="D303" s="5" t="n">
        <f aca="false">AVERAGE(C297:C303)</f>
        <v>54953.1428571429</v>
      </c>
      <c r="E303" s="5" t="n">
        <f aca="false">AVERAGE(C274:C303)</f>
        <v>55730.7</v>
      </c>
      <c r="F303" s="4" t="s">
        <v>50</v>
      </c>
    </row>
    <row r="304" customFormat="false" ht="15" hidden="false" customHeight="true" outlineLevel="0" collapsed="false">
      <c r="A304" s="15" t="n">
        <v>45826</v>
      </c>
      <c r="B304" s="4" t="s">
        <v>60</v>
      </c>
      <c r="C304" s="5" t="n">
        <v>65163</v>
      </c>
      <c r="D304" s="5" t="n">
        <f aca="false">AVERAGE(C298:C304)</f>
        <v>54293</v>
      </c>
      <c r="E304" s="5" t="n">
        <f aca="false">AVERAGE(C275:C304)</f>
        <v>55757.2666666667</v>
      </c>
      <c r="F304" s="4" t="s">
        <v>50</v>
      </c>
    </row>
    <row r="305" customFormat="false" ht="15" hidden="false" customHeight="true" outlineLevel="0" collapsed="false">
      <c r="A305" s="15" t="n">
        <v>45827</v>
      </c>
      <c r="B305" s="4" t="s">
        <v>49</v>
      </c>
      <c r="C305" s="5" t="n">
        <v>63153</v>
      </c>
      <c r="D305" s="5" t="n">
        <f aca="false">AVERAGE(C299:C305)</f>
        <v>54473.8571428571</v>
      </c>
      <c r="E305" s="5" t="n">
        <f aca="false">AVERAGE(C276:C305)</f>
        <v>55502.0333333333</v>
      </c>
      <c r="F305" s="4" t="s">
        <v>50</v>
      </c>
    </row>
    <row r="306" customFormat="false" ht="15" hidden="false" customHeight="true" outlineLevel="0" collapsed="false">
      <c r="A306" s="15" t="n">
        <v>45828</v>
      </c>
      <c r="B306" s="4" t="s">
        <v>54</v>
      </c>
      <c r="C306" s="5" t="n">
        <v>29444</v>
      </c>
      <c r="D306" s="5" t="n">
        <f aca="false">AVERAGE(C300:C306)</f>
        <v>54103.5714285714</v>
      </c>
      <c r="E306" s="5" t="n">
        <f aca="false">AVERAGE(C277:C306)</f>
        <v>54296.2666666667</v>
      </c>
      <c r="F306" s="4" t="s">
        <v>50</v>
      </c>
    </row>
    <row r="307" customFormat="false" ht="15" hidden="false" customHeight="true" outlineLevel="0" collapsed="false">
      <c r="A307" s="15" t="n">
        <v>45829</v>
      </c>
      <c r="B307" s="4" t="s">
        <v>56</v>
      </c>
      <c r="C307" s="5" t="n">
        <v>30731</v>
      </c>
      <c r="D307" s="5" t="n">
        <f aca="false">AVERAGE(C301:C307)</f>
        <v>53765</v>
      </c>
      <c r="E307" s="5" t="n">
        <f aca="false">AVERAGE(C278:C307)</f>
        <v>52957.5</v>
      </c>
      <c r="F307" s="4" t="s">
        <v>57</v>
      </c>
    </row>
    <row r="308" customFormat="false" ht="15" hidden="false" customHeight="true" outlineLevel="0" collapsed="false">
      <c r="A308" s="15" t="n">
        <v>45830</v>
      </c>
      <c r="B308" s="4" t="s">
        <v>59</v>
      </c>
      <c r="C308" s="5" t="n">
        <v>58076</v>
      </c>
      <c r="D308" s="5" t="n">
        <f aca="false">AVERAGE(C302:C308)</f>
        <v>53994.5714285714</v>
      </c>
      <c r="E308" s="5" t="n">
        <f aca="false">AVERAGE(C279:C308)</f>
        <v>53641.1</v>
      </c>
      <c r="F308" s="4" t="s">
        <v>57</v>
      </c>
    </row>
    <row r="309" customFormat="false" ht="15" hidden="false" customHeight="true" outlineLevel="0" collapsed="false">
      <c r="A309" s="15" t="n">
        <v>45831</v>
      </c>
      <c r="B309" s="4" t="s">
        <v>55</v>
      </c>
      <c r="C309" s="5" t="n">
        <v>63115</v>
      </c>
      <c r="D309" s="5" t="n">
        <f aca="false">AVERAGE(C303:C309)</f>
        <v>54296.5714285714</v>
      </c>
      <c r="E309" s="5" t="n">
        <f aca="false">AVERAGE(C280:C309)</f>
        <v>54763.1333333333</v>
      </c>
      <c r="F309" s="4" t="s">
        <v>50</v>
      </c>
    </row>
    <row r="310" customFormat="false" ht="15" hidden="false" customHeight="true" outlineLevel="0" collapsed="false">
      <c r="A310" s="15" t="n">
        <v>45832</v>
      </c>
      <c r="B310" s="4" t="s">
        <v>58</v>
      </c>
      <c r="C310" s="5" t="n">
        <v>62946</v>
      </c>
      <c r="D310" s="5" t="n">
        <f aca="false">AVERAGE(C304:C310)</f>
        <v>53232.5714285714</v>
      </c>
      <c r="E310" s="5" t="n">
        <f aca="false">AVERAGE(C281:C310)</f>
        <v>54984.8</v>
      </c>
      <c r="F310" s="4" t="s">
        <v>50</v>
      </c>
    </row>
    <row r="311" customFormat="false" ht="15" hidden="false" customHeight="true" outlineLevel="0" collapsed="false">
      <c r="A311" s="15" t="n">
        <v>45833</v>
      </c>
      <c r="B311" s="4" t="s">
        <v>60</v>
      </c>
      <c r="C311" s="5" t="n">
        <v>64081</v>
      </c>
      <c r="D311" s="5" t="n">
        <f aca="false">AVERAGE(C305:C311)</f>
        <v>53078</v>
      </c>
      <c r="E311" s="5" t="n">
        <f aca="false">AVERAGE(C282:C311)</f>
        <v>56210.1</v>
      </c>
      <c r="F311" s="4" t="s">
        <v>50</v>
      </c>
    </row>
    <row r="312" customFormat="false" ht="15" hidden="false" customHeight="true" outlineLevel="0" collapsed="false">
      <c r="A312" s="15" t="n">
        <v>45834</v>
      </c>
      <c r="B312" s="4" t="s">
        <v>49</v>
      </c>
      <c r="C312" s="5" t="n">
        <v>64571</v>
      </c>
      <c r="D312" s="5" t="n">
        <f aca="false">AVERAGE(C306:C312)</f>
        <v>53280.5714285714</v>
      </c>
      <c r="E312" s="5" t="n">
        <f aca="false">AVERAGE(C283:C312)</f>
        <v>56410.4</v>
      </c>
      <c r="F312" s="4" t="s">
        <v>50</v>
      </c>
    </row>
    <row r="313" customFormat="false" ht="15" hidden="false" customHeight="true" outlineLevel="0" collapsed="false">
      <c r="A313" s="15" t="n">
        <v>45835</v>
      </c>
      <c r="B313" s="4" t="s">
        <v>54</v>
      </c>
      <c r="C313" s="5" t="n">
        <v>28457</v>
      </c>
      <c r="D313" s="5" t="n">
        <f aca="false">AVERAGE(C307:C313)</f>
        <v>53139.5714285714</v>
      </c>
      <c r="E313" s="5" t="n">
        <f aca="false">AVERAGE(C284:C313)</f>
        <v>55043.4333333333</v>
      </c>
      <c r="F313" s="4" t="s">
        <v>50</v>
      </c>
    </row>
    <row r="314" customFormat="false" ht="15" hidden="false" customHeight="true" outlineLevel="0" collapsed="false">
      <c r="A314" s="15" t="n">
        <v>45836</v>
      </c>
      <c r="B314" s="4" t="s">
        <v>56</v>
      </c>
      <c r="C314" s="5" t="n">
        <v>31183</v>
      </c>
      <c r="D314" s="5" t="n">
        <f aca="false">AVERAGE(C308:C314)</f>
        <v>53204.1428571429</v>
      </c>
      <c r="E314" s="5" t="n">
        <f aca="false">AVERAGE(C285:C314)</f>
        <v>53688.9666666667</v>
      </c>
      <c r="F314" s="4" t="s">
        <v>57</v>
      </c>
    </row>
    <row r="315" customFormat="false" ht="15" hidden="false" customHeight="true" outlineLevel="0" collapsed="false">
      <c r="A315" s="15" t="n">
        <v>45837</v>
      </c>
      <c r="B315" s="4" t="s">
        <v>59</v>
      </c>
      <c r="C315" s="5" t="n">
        <v>59530</v>
      </c>
      <c r="D315" s="5" t="n">
        <f aca="false">AVERAGE(C309:C315)</f>
        <v>53411.8571428571</v>
      </c>
      <c r="E315" s="5" t="n">
        <f aca="false">AVERAGE(C286:C315)</f>
        <v>54560.9666666667</v>
      </c>
      <c r="F315" s="4" t="s">
        <v>57</v>
      </c>
    </row>
    <row r="316" customFormat="false" ht="15" hidden="false" customHeight="true" outlineLevel="0" collapsed="false">
      <c r="A316" s="15" t="n">
        <v>45838</v>
      </c>
      <c r="B316" s="4" t="s">
        <v>55</v>
      </c>
      <c r="C316" s="5" t="n">
        <v>62777</v>
      </c>
      <c r="D316" s="5" t="n">
        <f aca="false">AVERAGE(C310:C316)</f>
        <v>53363.5714285714</v>
      </c>
      <c r="E316" s="5" t="n">
        <f aca="false">AVERAGE(C287:C316)</f>
        <v>55542.9666666667</v>
      </c>
      <c r="F316" s="4" t="s">
        <v>50</v>
      </c>
    </row>
    <row r="317" customFormat="false" ht="15" hidden="false" customHeight="true" outlineLevel="0" collapsed="false">
      <c r="A317" s="15" t="n">
        <v>45839</v>
      </c>
      <c r="B317" s="4" t="s">
        <v>58</v>
      </c>
      <c r="C317" s="5" t="n">
        <v>62663</v>
      </c>
      <c r="D317" s="5" t="n">
        <f aca="false">AVERAGE(C311:C317)</f>
        <v>53323.1428571429</v>
      </c>
      <c r="E317" s="5" t="n">
        <f aca="false">AVERAGE(C288:C317)</f>
        <v>55700.8</v>
      </c>
      <c r="F317" s="4" t="s">
        <v>50</v>
      </c>
    </row>
    <row r="318" customFormat="false" ht="15" hidden="false" customHeight="true" outlineLevel="0" collapsed="false">
      <c r="A318" s="15" t="n">
        <v>45840</v>
      </c>
      <c r="B318" s="4" t="s">
        <v>60</v>
      </c>
      <c r="C318" s="5" t="n">
        <v>65103</v>
      </c>
      <c r="D318" s="5" t="n">
        <f aca="false">AVERAGE(C312:C318)</f>
        <v>53469.1428571429</v>
      </c>
      <c r="E318" s="5" t="n">
        <f aca="false">AVERAGE(C289:C318)</f>
        <v>55565.9333333333</v>
      </c>
      <c r="F318" s="4" t="s">
        <v>50</v>
      </c>
    </row>
    <row r="319" customFormat="false" ht="15" hidden="false" customHeight="true" outlineLevel="0" collapsed="false">
      <c r="A319" s="15" t="n">
        <v>45841</v>
      </c>
      <c r="B319" s="4" t="s">
        <v>49</v>
      </c>
      <c r="C319" s="5" t="n">
        <v>59603</v>
      </c>
      <c r="D319" s="5" t="n">
        <f aca="false">AVERAGE(C313:C319)</f>
        <v>52759.4285714286</v>
      </c>
      <c r="E319" s="5" t="n">
        <f aca="false">AVERAGE(C290:C319)</f>
        <v>55231.7666666667</v>
      </c>
      <c r="F319" s="4" t="s">
        <v>50</v>
      </c>
    </row>
    <row r="320" customFormat="false" ht="15" hidden="false" customHeight="true" outlineLevel="0" collapsed="false">
      <c r="A320" s="15" t="n">
        <v>45842</v>
      </c>
      <c r="B320" s="4" t="s">
        <v>54</v>
      </c>
      <c r="C320" s="5" t="n">
        <v>29894</v>
      </c>
      <c r="D320" s="5" t="n">
        <f aca="false">AVERAGE(C314:C320)</f>
        <v>52964.7142857143</v>
      </c>
      <c r="E320" s="5" t="n">
        <f aca="false">AVERAGE(C291:C320)</f>
        <v>53948.2</v>
      </c>
      <c r="F320" s="4" t="s">
        <v>50</v>
      </c>
    </row>
    <row r="321" customFormat="false" ht="15" hidden="false" customHeight="true" outlineLevel="0" collapsed="false">
      <c r="A321" s="15" t="n">
        <v>45843</v>
      </c>
      <c r="B321" s="4" t="s">
        <v>56</v>
      </c>
      <c r="C321" s="5" t="n">
        <v>25543</v>
      </c>
      <c r="D321" s="5" t="n">
        <f aca="false">AVERAGE(C315:C321)</f>
        <v>52159</v>
      </c>
      <c r="E321" s="5" t="n">
        <f aca="false">AVERAGE(C292:C321)</f>
        <v>52399.7</v>
      </c>
      <c r="F321" s="4" t="s">
        <v>57</v>
      </c>
    </row>
    <row r="322" customFormat="false" ht="15" hidden="false" customHeight="true" outlineLevel="0" collapsed="false">
      <c r="A322" s="15" t="n">
        <v>45844</v>
      </c>
      <c r="B322" s="4" t="s">
        <v>59</v>
      </c>
      <c r="C322" s="5" t="n">
        <v>55975</v>
      </c>
      <c r="D322" s="5" t="n">
        <f aca="false">AVERAGE(C316:C322)</f>
        <v>51651.1428571429</v>
      </c>
      <c r="E322" s="5" t="n">
        <f aca="false">AVERAGE(C293:C322)</f>
        <v>53079.9</v>
      </c>
      <c r="F322" s="4" t="s">
        <v>57</v>
      </c>
    </row>
    <row r="323" customFormat="false" ht="15" hidden="false" customHeight="true" outlineLevel="0" collapsed="false">
      <c r="A323" s="15" t="n">
        <v>45845</v>
      </c>
      <c r="B323" s="4" t="s">
        <v>55</v>
      </c>
      <c r="C323" s="5" t="n">
        <v>56184</v>
      </c>
      <c r="D323" s="5" t="n">
        <f aca="false">AVERAGE(C317:C323)</f>
        <v>50709.2857142857</v>
      </c>
      <c r="E323" s="5" t="n">
        <f aca="false">AVERAGE(C294:C323)</f>
        <v>53868.8666666667</v>
      </c>
      <c r="F323" s="4" t="s">
        <v>50</v>
      </c>
    </row>
    <row r="324" customFormat="false" ht="15" hidden="false" customHeight="true" outlineLevel="0" collapsed="false">
      <c r="A324" s="15" t="n">
        <v>45846</v>
      </c>
      <c r="B324" s="4" t="s">
        <v>58</v>
      </c>
      <c r="C324" s="5" t="n">
        <v>74793</v>
      </c>
      <c r="D324" s="5" t="n">
        <f aca="false">AVERAGE(C318:C324)</f>
        <v>52442.1428571429</v>
      </c>
      <c r="E324" s="5" t="n">
        <f aca="false">AVERAGE(C295:C324)</f>
        <v>54391.2666666667</v>
      </c>
      <c r="F324" s="4" t="s">
        <v>50</v>
      </c>
    </row>
    <row r="325" customFormat="false" ht="15" hidden="false" customHeight="true" outlineLevel="0" collapsed="false">
      <c r="A325" s="15" t="n">
        <v>45847</v>
      </c>
      <c r="B325" s="4" t="s">
        <v>60</v>
      </c>
      <c r="C325" s="5" t="n">
        <v>62457</v>
      </c>
      <c r="D325" s="5" t="n">
        <f aca="false">AVERAGE(C319:C325)</f>
        <v>52064.1428571429</v>
      </c>
      <c r="E325" s="5" t="n">
        <f aca="false">AVERAGE(C296:C325)</f>
        <v>54211.9666666667</v>
      </c>
      <c r="F325" s="4" t="s">
        <v>50</v>
      </c>
    </row>
    <row r="326" customFormat="false" ht="15" hidden="false" customHeight="true" outlineLevel="0" collapsed="false">
      <c r="A326" s="15" t="n">
        <v>45848</v>
      </c>
      <c r="B326" s="4" t="s">
        <v>49</v>
      </c>
      <c r="C326" s="5" t="n">
        <v>61913</v>
      </c>
      <c r="D326" s="5" t="n">
        <f aca="false">AVERAGE(C320:C326)</f>
        <v>52394.1428571429</v>
      </c>
      <c r="E326" s="5" t="n">
        <f aca="false">AVERAGE(C297:C326)</f>
        <v>54067.5666666667</v>
      </c>
      <c r="F326" s="4" t="s">
        <v>50</v>
      </c>
    </row>
    <row r="327" customFormat="false" ht="15" hidden="false" customHeight="true" outlineLevel="0" collapsed="false">
      <c r="A327" s="15" t="n">
        <v>45849</v>
      </c>
      <c r="B327" s="4" t="s">
        <v>54</v>
      </c>
      <c r="C327" s="5" t="n">
        <v>27674</v>
      </c>
      <c r="D327" s="5" t="n">
        <f aca="false">AVERAGE(C321:C327)</f>
        <v>52077</v>
      </c>
      <c r="E327" s="5" t="n">
        <f aca="false">AVERAGE(C298:C327)</f>
        <v>52663.9</v>
      </c>
      <c r="F327" s="4" t="s">
        <v>50</v>
      </c>
    </row>
    <row r="328" customFormat="false" ht="15" hidden="false" customHeight="true" outlineLevel="0" collapsed="false">
      <c r="A328" s="15" t="n">
        <v>45850</v>
      </c>
      <c r="B328" s="4" t="s">
        <v>56</v>
      </c>
      <c r="C328" s="5" t="n">
        <v>28130</v>
      </c>
      <c r="D328" s="5" t="n">
        <f aca="false">AVERAGE(C322:C328)</f>
        <v>52446.5714285714</v>
      </c>
      <c r="E328" s="5" t="n">
        <f aca="false">AVERAGE(C299:C328)</f>
        <v>51538.6666666667</v>
      </c>
      <c r="F328" s="4" t="s">
        <v>57</v>
      </c>
    </row>
    <row r="329" customFormat="false" ht="15" hidden="false" customHeight="true" outlineLevel="0" collapsed="false">
      <c r="A329" s="15" t="n">
        <v>45851</v>
      </c>
      <c r="B329" s="4" t="s">
        <v>59</v>
      </c>
      <c r="C329" s="5" t="n">
        <v>58196</v>
      </c>
      <c r="D329" s="5" t="n">
        <f aca="false">AVERAGE(C323:C329)</f>
        <v>52763.8571428571</v>
      </c>
      <c r="E329" s="5" t="n">
        <f aca="false">AVERAGE(C300:C329)</f>
        <v>52410.6666666667</v>
      </c>
      <c r="F329" s="4" t="s">
        <v>57</v>
      </c>
    </row>
    <row r="330" customFormat="false" ht="15" hidden="false" customHeight="true" outlineLevel="0" collapsed="false">
      <c r="A330" s="15" t="n">
        <v>45852</v>
      </c>
      <c r="B330" s="4" t="s">
        <v>55</v>
      </c>
      <c r="C330" s="5" t="n">
        <v>63459</v>
      </c>
      <c r="D330" s="5" t="n">
        <f aca="false">AVERAGE(C324:C330)</f>
        <v>53803.1428571429</v>
      </c>
      <c r="E330" s="5" t="n">
        <f aca="false">AVERAGE(C301:C330)</f>
        <v>53422.6</v>
      </c>
      <c r="F330" s="4" t="s">
        <v>50</v>
      </c>
    </row>
    <row r="331" customFormat="false" ht="15" hidden="false" customHeight="true" outlineLevel="0" collapsed="false">
      <c r="A331" s="15" t="n">
        <v>45853</v>
      </c>
      <c r="B331" s="4" t="s">
        <v>58</v>
      </c>
      <c r="C331" s="5" t="n">
        <v>67128</v>
      </c>
      <c r="D331" s="5" t="n">
        <f aca="false">AVERAGE(C325:C331)</f>
        <v>52708.1428571429</v>
      </c>
      <c r="E331" s="5" t="n">
        <f aca="false">AVERAGE(C302:C331)</f>
        <v>53777.9</v>
      </c>
      <c r="F331" s="4" t="s">
        <v>50</v>
      </c>
    </row>
    <row r="332" customFormat="false" ht="15" hidden="false" customHeight="true" outlineLevel="0" collapsed="false">
      <c r="A332" s="15" t="n">
        <v>45854</v>
      </c>
      <c r="B332" s="4" t="s">
        <v>60</v>
      </c>
      <c r="C332" s="5" t="n">
        <v>63506</v>
      </c>
      <c r="D332" s="5" t="n">
        <f aca="false">AVERAGE(C326:C332)</f>
        <v>52858</v>
      </c>
      <c r="E332" s="5" t="n">
        <f aca="false">AVERAGE(C303:C332)</f>
        <v>53861.4</v>
      </c>
      <c r="F332" s="4" t="s">
        <v>50</v>
      </c>
    </row>
    <row r="333" customFormat="false" ht="15" hidden="false" customHeight="true" outlineLevel="0" collapsed="false">
      <c r="A333" s="15" t="n">
        <v>45855</v>
      </c>
      <c r="B333" s="4" t="s">
        <v>49</v>
      </c>
      <c r="C333" s="5" t="n">
        <v>62888</v>
      </c>
      <c r="D333" s="5" t="n">
        <f aca="false">AVERAGE(C327:C333)</f>
        <v>52997.2857142857</v>
      </c>
      <c r="E333" s="5" t="n">
        <f aca="false">AVERAGE(C304:C333)</f>
        <v>53611.2</v>
      </c>
      <c r="F333" s="4" t="s">
        <v>50</v>
      </c>
    </row>
    <row r="334" customFormat="false" ht="15" hidden="false" customHeight="true" outlineLevel="0" collapsed="false">
      <c r="A334" s="15" t="n">
        <v>45856</v>
      </c>
      <c r="B334" s="4" t="s">
        <v>54</v>
      </c>
      <c r="C334" s="5" t="n">
        <v>29687</v>
      </c>
      <c r="D334" s="5" t="n">
        <f aca="false">AVERAGE(C328:C334)</f>
        <v>53284.8571428571</v>
      </c>
      <c r="E334" s="5" t="n">
        <f aca="false">AVERAGE(C305:C334)</f>
        <v>52428.6666666667</v>
      </c>
      <c r="F334" s="4" t="s">
        <v>50</v>
      </c>
    </row>
    <row r="335" customFormat="false" ht="15" hidden="false" customHeight="true" outlineLevel="0" collapsed="false">
      <c r="A335" s="15" t="n">
        <v>45857</v>
      </c>
      <c r="B335" s="4" t="s">
        <v>56</v>
      </c>
      <c r="C335" s="5" t="n">
        <v>31003</v>
      </c>
      <c r="D335" s="5" t="n">
        <f aca="false">AVERAGE(C329:C335)</f>
        <v>53695.2857142857</v>
      </c>
      <c r="E335" s="5" t="n">
        <f aca="false">AVERAGE(C306:C335)</f>
        <v>51357</v>
      </c>
      <c r="F335" s="4" t="s">
        <v>57</v>
      </c>
    </row>
    <row r="336" customFormat="false" ht="15" hidden="false" customHeight="true" outlineLevel="0" collapsed="false">
      <c r="A336" s="15" t="n">
        <v>45858</v>
      </c>
      <c r="B336" s="4" t="s">
        <v>59</v>
      </c>
      <c r="C336" s="5" t="n">
        <v>55457</v>
      </c>
      <c r="D336" s="5" t="n">
        <f aca="false">AVERAGE(C330:C336)</f>
        <v>53304</v>
      </c>
      <c r="E336" s="5" t="n">
        <f aca="false">AVERAGE(C307:C336)</f>
        <v>52224.1</v>
      </c>
      <c r="F336" s="4" t="s">
        <v>57</v>
      </c>
    </row>
    <row r="337" customFormat="false" ht="15" hidden="false" customHeight="true" outlineLevel="0" collapsed="false">
      <c r="A337" s="15" t="n">
        <v>45859</v>
      </c>
      <c r="B337" s="4" t="s">
        <v>55</v>
      </c>
      <c r="C337" s="5" t="n">
        <v>60775</v>
      </c>
      <c r="D337" s="5" t="n">
        <f aca="false">AVERAGE(C331:C337)</f>
        <v>52920.5714285714</v>
      </c>
      <c r="E337" s="5" t="n">
        <f aca="false">AVERAGE(C308:C337)</f>
        <v>53225.5666666667</v>
      </c>
      <c r="F337" s="4" t="s">
        <v>50</v>
      </c>
    </row>
    <row r="338" customFormat="false" ht="15" hidden="false" customHeight="true" outlineLevel="0" collapsed="false">
      <c r="A338" s="15" t="n">
        <v>45860</v>
      </c>
      <c r="B338" s="4" t="s">
        <v>58</v>
      </c>
      <c r="C338" s="5" t="n">
        <v>61692</v>
      </c>
      <c r="D338" s="5" t="n">
        <f aca="false">AVERAGE(C332:C338)</f>
        <v>52144</v>
      </c>
      <c r="E338" s="5" t="n">
        <f aca="false">AVERAGE(C309:C338)</f>
        <v>53346.1</v>
      </c>
      <c r="F338" s="4" t="s">
        <v>50</v>
      </c>
    </row>
    <row r="339" customFormat="false" ht="15" hidden="false" customHeight="true" outlineLevel="0" collapsed="false">
      <c r="A339" s="15" t="n">
        <v>45861</v>
      </c>
      <c r="B339" s="4" t="s">
        <v>60</v>
      </c>
      <c r="C339" s="5" t="n">
        <v>66997</v>
      </c>
      <c r="D339" s="5" t="n">
        <f aca="false">AVERAGE(C333:C339)</f>
        <v>52642.7142857143</v>
      </c>
      <c r="E339" s="5" t="n">
        <f aca="false">AVERAGE(C310:C339)</f>
        <v>53475.5</v>
      </c>
      <c r="F339" s="4" t="s">
        <v>50</v>
      </c>
    </row>
    <row r="340" customFormat="false" ht="15" hidden="false" customHeight="true" outlineLevel="0" collapsed="false">
      <c r="A340" s="15" t="n">
        <v>45862</v>
      </c>
      <c r="B340" s="4" t="s">
        <v>49</v>
      </c>
      <c r="C340" s="5" t="n">
        <v>62776</v>
      </c>
      <c r="D340" s="5" t="n">
        <f aca="false">AVERAGE(C334:C340)</f>
        <v>52626.7142857143</v>
      </c>
      <c r="E340" s="5" t="n">
        <f aca="false">AVERAGE(C311:C340)</f>
        <v>53469.8333333333</v>
      </c>
      <c r="F340" s="4" t="s">
        <v>50</v>
      </c>
    </row>
    <row r="341" customFormat="false" ht="15" hidden="false" customHeight="true" outlineLevel="0" collapsed="false">
      <c r="A341" s="15" t="n">
        <v>45863</v>
      </c>
      <c r="B341" s="4" t="s">
        <v>54</v>
      </c>
      <c r="C341" s="5" t="n">
        <v>30859</v>
      </c>
      <c r="D341" s="5" t="n">
        <f aca="false">AVERAGE(C335:C341)</f>
        <v>52794.1428571429</v>
      </c>
      <c r="E341" s="5" t="n">
        <f aca="false">AVERAGE(C312:C341)</f>
        <v>52362.4333333333</v>
      </c>
      <c r="F341" s="4" t="s">
        <v>50</v>
      </c>
    </row>
    <row r="342" customFormat="false" ht="15" hidden="false" customHeight="true" outlineLevel="0" collapsed="false">
      <c r="A342" s="15" t="n">
        <v>45864</v>
      </c>
      <c r="B342" s="4" t="s">
        <v>56</v>
      </c>
      <c r="C342" s="5" t="n">
        <v>28438</v>
      </c>
      <c r="D342" s="5" t="n">
        <f aca="false">AVERAGE(C336:C342)</f>
        <v>52427.7142857143</v>
      </c>
      <c r="E342" s="5" t="n">
        <f aca="false">AVERAGE(C313:C342)</f>
        <v>51158</v>
      </c>
      <c r="F342" s="4" t="s">
        <v>57</v>
      </c>
    </row>
    <row r="343" customFormat="false" ht="15" hidden="false" customHeight="true" outlineLevel="0" collapsed="false">
      <c r="A343" s="15" t="n">
        <v>45865</v>
      </c>
      <c r="B343" s="4" t="s">
        <v>59</v>
      </c>
      <c r="C343" s="5" t="n">
        <v>60132</v>
      </c>
      <c r="D343" s="5" t="n">
        <f aca="false">AVERAGE(C337:C343)</f>
        <v>53095.5714285714</v>
      </c>
      <c r="E343" s="5" t="n">
        <f aca="false">AVERAGE(C314:C343)</f>
        <v>52213.8333333333</v>
      </c>
      <c r="F343" s="4" t="s">
        <v>57</v>
      </c>
    </row>
    <row r="344" customFormat="false" ht="15" hidden="false" customHeight="true" outlineLevel="0" collapsed="false">
      <c r="A344" s="15" t="n">
        <v>45866</v>
      </c>
      <c r="B344" s="4" t="s">
        <v>55</v>
      </c>
      <c r="C344" s="5" t="n">
        <v>65004</v>
      </c>
      <c r="D344" s="5" t="n">
        <f aca="false">AVERAGE(C338:C344)</f>
        <v>53699.7142857143</v>
      </c>
      <c r="E344" s="5" t="n">
        <f aca="false">AVERAGE(C315:C344)</f>
        <v>53341.2</v>
      </c>
      <c r="F344" s="4" t="s">
        <v>50</v>
      </c>
    </row>
    <row r="345" customFormat="false" ht="15" hidden="false" customHeight="true" outlineLevel="0" collapsed="false">
      <c r="A345" s="15" t="n">
        <v>45867</v>
      </c>
      <c r="B345" s="4" t="s">
        <v>58</v>
      </c>
      <c r="C345" s="5" t="n">
        <v>65713</v>
      </c>
      <c r="D345" s="5" t="n">
        <f aca="false">AVERAGE(C339:C345)</f>
        <v>54274.1428571429</v>
      </c>
      <c r="E345" s="5" t="n">
        <f aca="false">AVERAGE(C316:C345)</f>
        <v>53547.3</v>
      </c>
      <c r="F345" s="4" t="s">
        <v>50</v>
      </c>
    </row>
    <row r="346" customFormat="false" ht="15" hidden="false" customHeight="true" outlineLevel="0" collapsed="false">
      <c r="A346" s="15" t="n">
        <v>45868</v>
      </c>
      <c r="B346" s="4" t="s">
        <v>60</v>
      </c>
      <c r="C346" s="5" t="n">
        <v>63472</v>
      </c>
      <c r="D346" s="5" t="n">
        <f aca="false">AVERAGE(C340:C346)</f>
        <v>53770.5714285714</v>
      </c>
      <c r="E346" s="5" t="n">
        <f aca="false">AVERAGE(C317:C346)</f>
        <v>53570.4666666667</v>
      </c>
      <c r="F346" s="4" t="s">
        <v>50</v>
      </c>
    </row>
    <row r="347" customFormat="false" ht="15" hidden="false" customHeight="true" outlineLevel="0" collapsed="false">
      <c r="A347" s="15" t="n">
        <v>45869</v>
      </c>
      <c r="B347" s="4" t="s">
        <v>49</v>
      </c>
      <c r="C347" s="5" t="n">
        <v>66272</v>
      </c>
      <c r="D347" s="5" t="n">
        <f aca="false">AVERAGE(C341:C347)</f>
        <v>54270</v>
      </c>
      <c r="E347" s="5" t="n">
        <f aca="false">AVERAGE(C318:C347)</f>
        <v>53690.7666666667</v>
      </c>
      <c r="F347" s="4" t="s">
        <v>50</v>
      </c>
    </row>
    <row r="348" customFormat="false" ht="15" hidden="false" customHeight="true" outlineLevel="0" collapsed="false">
      <c r="A348" s="15" t="n">
        <v>45870</v>
      </c>
      <c r="B348" s="4" t="s">
        <v>54</v>
      </c>
      <c r="C348" s="5" t="n">
        <v>34623</v>
      </c>
      <c r="D348" s="5" t="n">
        <f aca="false">AVERAGE(C342:C348)</f>
        <v>54807.7142857143</v>
      </c>
      <c r="E348" s="5" t="n">
        <f aca="false">AVERAGE(C319:C348)</f>
        <v>52674.7666666667</v>
      </c>
      <c r="F348" s="4" t="s">
        <v>50</v>
      </c>
    </row>
    <row r="349" customFormat="false" ht="15" hidden="false" customHeight="true" outlineLevel="0" collapsed="false">
      <c r="A349" s="15" t="n">
        <v>45871</v>
      </c>
      <c r="B349" s="4" t="s">
        <v>56</v>
      </c>
      <c r="C349" s="5" t="n">
        <v>28577</v>
      </c>
      <c r="D349" s="5" t="n">
        <f aca="false">AVERAGE(C343:C349)</f>
        <v>54827.5714285714</v>
      </c>
      <c r="E349" s="5" t="n">
        <f aca="false">AVERAGE(C320:C349)</f>
        <v>51640.5666666667</v>
      </c>
      <c r="F349" s="4" t="s">
        <v>57</v>
      </c>
    </row>
    <row r="350" customFormat="false" ht="15" hidden="false" customHeight="true" outlineLevel="0" collapsed="false">
      <c r="A350" s="15" t="n">
        <v>45872</v>
      </c>
      <c r="B350" s="4" t="s">
        <v>59</v>
      </c>
      <c r="C350" s="5" t="n">
        <v>57787</v>
      </c>
      <c r="D350" s="5" t="n">
        <f aca="false">AVERAGE(C344:C350)</f>
        <v>54492.5714285714</v>
      </c>
      <c r="E350" s="5" t="n">
        <f aca="false">AVERAGE(C321:C350)</f>
        <v>52570.3333333333</v>
      </c>
      <c r="F350" s="4" t="s">
        <v>57</v>
      </c>
    </row>
    <row r="351" customFormat="false" ht="15" hidden="false" customHeight="true" outlineLevel="0" collapsed="false">
      <c r="A351" s="15" t="n">
        <v>45873</v>
      </c>
      <c r="B351" s="4" t="s">
        <v>55</v>
      </c>
      <c r="C351" s="5" t="n">
        <v>64543</v>
      </c>
      <c r="D351" s="5" t="n">
        <f aca="false">AVERAGE(C345:C351)</f>
        <v>54426.7142857143</v>
      </c>
      <c r="E351" s="5" t="n">
        <f aca="false">AVERAGE(C322:C351)</f>
        <v>53870.3333333333</v>
      </c>
      <c r="F351" s="4" t="s">
        <v>50</v>
      </c>
    </row>
    <row r="352" customFormat="false" ht="15" hidden="false" customHeight="true" outlineLevel="0" collapsed="false">
      <c r="A352" s="15" t="n">
        <v>45874</v>
      </c>
      <c r="B352" s="4" t="s">
        <v>58</v>
      </c>
      <c r="C352" s="5" t="n">
        <v>64748</v>
      </c>
      <c r="D352" s="5" t="n">
        <f aca="false">AVERAGE(C346:C352)</f>
        <v>54288.8571428571</v>
      </c>
      <c r="E352" s="5" t="n">
        <f aca="false">AVERAGE(C323:C352)</f>
        <v>54162.7666666667</v>
      </c>
      <c r="F352" s="4" t="s">
        <v>50</v>
      </c>
    </row>
    <row r="353" customFormat="false" ht="15" hidden="false" customHeight="true" outlineLevel="0" collapsed="false">
      <c r="A353" s="15" t="n">
        <v>45875</v>
      </c>
      <c r="B353" s="4" t="s">
        <v>60</v>
      </c>
      <c r="C353" s="5" t="n">
        <v>65749</v>
      </c>
      <c r="D353" s="5" t="n">
        <f aca="false">AVERAGE(C347:C353)</f>
        <v>54614.1428571429</v>
      </c>
      <c r="E353" s="5" t="n">
        <f aca="false">AVERAGE(C324:C353)</f>
        <v>54481.6</v>
      </c>
      <c r="F353" s="4" t="s">
        <v>50</v>
      </c>
    </row>
    <row r="354" customFormat="false" ht="15" hidden="false" customHeight="true" outlineLevel="0" collapsed="false">
      <c r="A354" s="15" t="n">
        <v>45876</v>
      </c>
      <c r="B354" s="4" t="s">
        <v>49</v>
      </c>
      <c r="C354" s="5" t="n">
        <v>70044</v>
      </c>
      <c r="D354" s="5" t="n">
        <f aca="false">AVERAGE(C348:C354)</f>
        <v>55153</v>
      </c>
      <c r="E354" s="5" t="n">
        <f aca="false">AVERAGE(C325:C354)</f>
        <v>54323.3</v>
      </c>
      <c r="F354" s="4" t="s">
        <v>50</v>
      </c>
    </row>
    <row r="355" customFormat="false" ht="15" hidden="false" customHeight="true" outlineLevel="0" collapsed="false">
      <c r="A355" s="15" t="n">
        <v>45877</v>
      </c>
      <c r="B355" s="4" t="s">
        <v>54</v>
      </c>
      <c r="C355" s="5" t="n">
        <v>33385</v>
      </c>
      <c r="D355" s="5" t="n">
        <f aca="false">AVERAGE(C349:C355)</f>
        <v>54976.1428571429</v>
      </c>
      <c r="E355" s="5" t="n">
        <f aca="false">AVERAGE(C326:C355)</f>
        <v>53354.2333333333</v>
      </c>
      <c r="F355" s="4" t="s">
        <v>50</v>
      </c>
    </row>
    <row r="356" customFormat="false" ht="15" hidden="false" customHeight="true" outlineLevel="0" collapsed="false">
      <c r="A356" s="15" t="n">
        <v>45878</v>
      </c>
      <c r="B356" s="4" t="s">
        <v>56</v>
      </c>
      <c r="C356" s="5" t="n">
        <v>31732</v>
      </c>
      <c r="D356" s="5" t="n">
        <f aca="false">AVERAGE(C350:C356)</f>
        <v>55426.8571428571</v>
      </c>
      <c r="E356" s="5" t="n">
        <f aca="false">AVERAGE(C327:C356)</f>
        <v>52348.2</v>
      </c>
      <c r="F356" s="4" t="s">
        <v>57</v>
      </c>
    </row>
    <row r="357" customFormat="false" ht="15" hidden="false" customHeight="true" outlineLevel="0" collapsed="false">
      <c r="A357" s="15" t="n">
        <v>45879</v>
      </c>
      <c r="B357" s="4" t="s">
        <v>59</v>
      </c>
      <c r="C357" s="5" t="n">
        <v>60118</v>
      </c>
      <c r="D357" s="5" t="n">
        <f aca="false">AVERAGE(C351:C357)</f>
        <v>55759.8571428571</v>
      </c>
      <c r="E357" s="5" t="n">
        <f aca="false">AVERAGE(C328:C357)</f>
        <v>53429.6666666667</v>
      </c>
      <c r="F357" s="4" t="s">
        <v>57</v>
      </c>
    </row>
    <row r="358" customFormat="false" ht="15" hidden="false" customHeight="true" outlineLevel="0" collapsed="false">
      <c r="A358" s="15" t="n">
        <v>45880</v>
      </c>
      <c r="B358" s="4" t="s">
        <v>55</v>
      </c>
      <c r="C358" s="5" t="n">
        <v>65163</v>
      </c>
      <c r="D358" s="5" t="n">
        <f aca="false">AVERAGE(C352:C358)</f>
        <v>55848.4285714286</v>
      </c>
      <c r="E358" s="5" t="n">
        <f aca="false">AVERAGE(C329:C358)</f>
        <v>54664.1</v>
      </c>
      <c r="F358" s="4" t="s">
        <v>50</v>
      </c>
    </row>
    <row r="359" customFormat="false" ht="15" hidden="false" customHeight="true" outlineLevel="0" collapsed="false">
      <c r="A359" s="15" t="n">
        <v>45881</v>
      </c>
      <c r="B359" s="4" t="s">
        <v>58</v>
      </c>
      <c r="C359" s="5" t="n">
        <v>68780</v>
      </c>
      <c r="D359" s="5" t="n">
        <f aca="false">AVERAGE(C353:C359)</f>
        <v>56424.4285714286</v>
      </c>
      <c r="E359" s="5" t="n">
        <f aca="false">AVERAGE(C330:C359)</f>
        <v>55016.9</v>
      </c>
      <c r="F359" s="4" t="s">
        <v>50</v>
      </c>
    </row>
    <row r="360" customFormat="false" ht="15" hidden="false" customHeight="true" outlineLevel="0" collapsed="false">
      <c r="A360" s="15" t="n">
        <v>45882</v>
      </c>
      <c r="B360" s="4" t="s">
        <v>60</v>
      </c>
      <c r="C360" s="5" t="n">
        <v>62300</v>
      </c>
      <c r="D360" s="5" t="n">
        <f aca="false">AVERAGE(C354:C360)</f>
        <v>55931.7142857143</v>
      </c>
      <c r="E360" s="5" t="n">
        <f aca="false">AVERAGE(C331:C360)</f>
        <v>54978.2666666667</v>
      </c>
      <c r="F360" s="4" t="s">
        <v>50</v>
      </c>
    </row>
    <row r="361" customFormat="false" ht="15" hidden="false" customHeight="true" outlineLevel="0" collapsed="false">
      <c r="A361" s="15" t="n">
        <v>45883</v>
      </c>
      <c r="B361" s="4" t="s">
        <v>49</v>
      </c>
      <c r="C361" s="5" t="n">
        <v>70755</v>
      </c>
      <c r="D361" s="5" t="n">
        <f aca="false">AVERAGE(C355:C361)</f>
        <v>56033.2857142857</v>
      </c>
      <c r="E361" s="5" t="n">
        <f aca="false">AVERAGE(C332:C361)</f>
        <v>55099.1666666667</v>
      </c>
      <c r="F361" s="4" t="s">
        <v>50</v>
      </c>
    </row>
    <row r="362" customFormat="false" ht="15" hidden="false" customHeight="true" outlineLevel="0" collapsed="false">
      <c r="A362" s="15" t="n">
        <v>45884</v>
      </c>
      <c r="B362" s="4" t="s">
        <v>54</v>
      </c>
      <c r="C362" s="5" t="n">
        <v>35942</v>
      </c>
      <c r="D362" s="5" t="n">
        <f aca="false">AVERAGE(C356:C362)</f>
        <v>56398.5714285714</v>
      </c>
      <c r="E362" s="5" t="n">
        <f aca="false">AVERAGE(C333:C362)</f>
        <v>54180.3666666667</v>
      </c>
      <c r="F362" s="4" t="s">
        <v>50</v>
      </c>
    </row>
    <row r="363" customFormat="false" ht="15" hidden="false" customHeight="true" outlineLevel="0" collapsed="false">
      <c r="A363" s="15" t="n">
        <v>45885</v>
      </c>
      <c r="B363" s="4" t="s">
        <v>56</v>
      </c>
      <c r="C363" s="5" t="n">
        <v>32052</v>
      </c>
      <c r="D363" s="5" t="n">
        <f aca="false">AVERAGE(C357:C363)</f>
        <v>56444.2857142857</v>
      </c>
      <c r="E363" s="5" t="n">
        <f aca="false">AVERAGE(C334:C363)</f>
        <v>53152.5</v>
      </c>
      <c r="F363" s="4" t="s">
        <v>57</v>
      </c>
    </row>
    <row r="364" customFormat="false" ht="15" hidden="false" customHeight="true" outlineLevel="0" collapsed="false">
      <c r="A364" s="15" t="n">
        <v>45886</v>
      </c>
      <c r="B364" s="4" t="s">
        <v>59</v>
      </c>
      <c r="C364" s="5" t="n">
        <v>59307</v>
      </c>
      <c r="D364" s="5" t="n">
        <f aca="false">AVERAGE(C358:C364)</f>
        <v>56328.4285714286</v>
      </c>
      <c r="E364" s="5" t="n">
        <f aca="false">AVERAGE(C335:C364)</f>
        <v>54139.8333333333</v>
      </c>
      <c r="F364" s="4" t="s">
        <v>57</v>
      </c>
    </row>
    <row r="365" customFormat="false" ht="15" hidden="false" customHeight="true" outlineLevel="0" collapsed="false">
      <c r="A365" s="15" t="n">
        <v>45887</v>
      </c>
      <c r="B365" s="4" t="s">
        <v>55</v>
      </c>
      <c r="C365" s="5" t="n">
        <v>67499</v>
      </c>
      <c r="D365" s="5" t="n">
        <f aca="false">AVERAGE(C359:C365)</f>
        <v>56662.1428571429</v>
      </c>
      <c r="E365" s="5" t="n">
        <f aca="false">AVERAGE(C336:C365)</f>
        <v>55356.3666666667</v>
      </c>
      <c r="F365" s="4" t="s">
        <v>50</v>
      </c>
    </row>
    <row r="366" customFormat="false" ht="15" hidden="false" customHeight="true" outlineLevel="0" collapsed="false">
      <c r="A366" s="15" t="n">
        <v>45888</v>
      </c>
      <c r="B366" s="4" t="s">
        <v>58</v>
      </c>
      <c r="C366" s="5" t="n">
        <v>65172</v>
      </c>
      <c r="D366" s="5" t="n">
        <f aca="false">AVERAGE(C360:C366)</f>
        <v>56146.7142857143</v>
      </c>
      <c r="E366" s="5" t="n">
        <f aca="false">AVERAGE(C337:C366)</f>
        <v>55680.2</v>
      </c>
      <c r="F366" s="4" t="s">
        <v>50</v>
      </c>
    </row>
    <row r="367" customFormat="false" ht="15" hidden="false" customHeight="true" outlineLevel="0" collapsed="false">
      <c r="A367" s="15" t="n">
        <v>45889</v>
      </c>
      <c r="B367" s="4" t="s">
        <v>60</v>
      </c>
      <c r="C367" s="5" t="n">
        <v>64399</v>
      </c>
      <c r="D367" s="5" t="n">
        <f aca="false">AVERAGE(C361:C367)</f>
        <v>56446.5714285714</v>
      </c>
      <c r="E367" s="5" t="n">
        <f aca="false">AVERAGE(C338:C367)</f>
        <v>55801</v>
      </c>
      <c r="F367" s="4" t="s">
        <v>50</v>
      </c>
    </row>
    <row r="368" customFormat="false" ht="15" hidden="false" customHeight="true" outlineLevel="0" collapsed="false">
      <c r="A368" s="15" t="n">
        <v>45890</v>
      </c>
      <c r="B368" s="4" t="s">
        <v>49</v>
      </c>
      <c r="C368" s="5" t="n">
        <v>63929</v>
      </c>
      <c r="D368" s="5" t="n">
        <f aca="false">AVERAGE(C362:C368)</f>
        <v>55471.4285714286</v>
      </c>
      <c r="E368" s="5" t="n">
        <f aca="false">AVERAGE(C339:C368)</f>
        <v>55875.5666666667</v>
      </c>
      <c r="F368" s="4" t="s">
        <v>50</v>
      </c>
    </row>
    <row r="369" customFormat="false" ht="15" hidden="false" customHeight="true" outlineLevel="0" collapsed="false">
      <c r="A369" s="15" t="n">
        <v>45891</v>
      </c>
      <c r="B369" s="4" t="s">
        <v>54</v>
      </c>
      <c r="C369" s="5" t="n">
        <v>30341</v>
      </c>
      <c r="D369" s="5" t="n">
        <f aca="false">AVERAGE(C363:C369)</f>
        <v>54671.2857142857</v>
      </c>
      <c r="E369" s="5" t="n">
        <f aca="false">AVERAGE(C340:C369)</f>
        <v>54653.7</v>
      </c>
      <c r="F369" s="4" t="s">
        <v>50</v>
      </c>
    </row>
    <row r="370" customFormat="false" ht="15" hidden="false" customHeight="true" outlineLevel="0" collapsed="false">
      <c r="A370" s="15" t="n">
        <v>45892</v>
      </c>
      <c r="B370" s="4" t="s">
        <v>56</v>
      </c>
      <c r="C370" s="5" t="n">
        <v>30808</v>
      </c>
      <c r="D370" s="5" t="n">
        <f aca="false">AVERAGE(C364:C370)</f>
        <v>54493.5714285714</v>
      </c>
      <c r="E370" s="5" t="n">
        <f aca="false">AVERAGE(C341:C370)</f>
        <v>53588.1</v>
      </c>
      <c r="F370" s="4" t="s">
        <v>57</v>
      </c>
    </row>
    <row r="371" customFormat="false" ht="15" hidden="false" customHeight="true" outlineLevel="0" collapsed="false">
      <c r="A371" s="15" t="n">
        <v>45893</v>
      </c>
      <c r="B371" s="4" t="s">
        <v>59</v>
      </c>
      <c r="C371" s="5" t="n">
        <v>58417</v>
      </c>
      <c r="D371" s="5" t="n">
        <f aca="false">AVERAGE(C365:C371)</f>
        <v>54366.4285714286</v>
      </c>
      <c r="E371" s="5" t="n">
        <f aca="false">AVERAGE(C342:C371)</f>
        <v>54506.7</v>
      </c>
      <c r="F371" s="4" t="s">
        <v>57</v>
      </c>
    </row>
    <row r="372" customFormat="false" ht="15" hidden="false" customHeight="true" outlineLevel="0" collapsed="false">
      <c r="A372" s="15" t="n">
        <v>45894</v>
      </c>
      <c r="B372" s="4" t="s">
        <v>55</v>
      </c>
      <c r="C372" s="5" t="n">
        <v>67958</v>
      </c>
      <c r="D372" s="5" t="n">
        <f aca="false">AVERAGE(C366:C372)</f>
        <v>54432</v>
      </c>
      <c r="E372" s="5" t="n">
        <f aca="false">AVERAGE(C343:C372)</f>
        <v>55824.0333333333</v>
      </c>
      <c r="F372" s="4" t="s">
        <v>50</v>
      </c>
    </row>
    <row r="373" customFormat="false" ht="15" hidden="false" customHeight="true" outlineLevel="0" collapsed="false">
      <c r="A373" s="15" t="n">
        <v>45895</v>
      </c>
      <c r="B373" s="4" t="s">
        <v>58</v>
      </c>
      <c r="C373" s="5" t="n">
        <v>66029</v>
      </c>
      <c r="D373" s="5" t="n">
        <f aca="false">AVERAGE(C367:C373)</f>
        <v>54554.4285714286</v>
      </c>
      <c r="E373" s="5" t="n">
        <f aca="false">AVERAGE(C344:C373)</f>
        <v>56020.6</v>
      </c>
      <c r="F373" s="4" t="s">
        <v>50</v>
      </c>
    </row>
    <row r="374" customFormat="false" ht="15" hidden="false" customHeight="true" outlineLevel="0" collapsed="false">
      <c r="A374" s="15" t="n">
        <v>45896</v>
      </c>
      <c r="B374" s="4" t="s">
        <v>60</v>
      </c>
      <c r="C374" s="5" t="n">
        <v>64329</v>
      </c>
      <c r="D374" s="5" t="n">
        <f aca="false">AVERAGE(C368:C374)</f>
        <v>54544.4285714286</v>
      </c>
      <c r="E374" s="5" t="n">
        <f aca="false">AVERAGE(C345:C374)</f>
        <v>55998.1</v>
      </c>
      <c r="F374" s="4" t="s">
        <v>50</v>
      </c>
    </row>
    <row r="375" customFormat="false" ht="15" hidden="false" customHeight="true" outlineLevel="0" collapsed="false">
      <c r="A375" s="15" t="n">
        <v>45897</v>
      </c>
      <c r="B375" s="4" t="s">
        <v>49</v>
      </c>
      <c r="C375" s="5" t="n">
        <v>67583</v>
      </c>
      <c r="D375" s="5" t="n">
        <f aca="false">AVERAGE(C369:C375)</f>
        <v>55066.4285714286</v>
      </c>
      <c r="E375" s="5" t="n">
        <f aca="false">AVERAGE(C346:C375)</f>
        <v>56060.4333333333</v>
      </c>
      <c r="F375" s="4" t="s">
        <v>50</v>
      </c>
    </row>
    <row r="376" customFormat="false" ht="15" hidden="false" customHeight="true" outlineLevel="0" collapsed="false">
      <c r="A376" s="15" t="n">
        <v>45898</v>
      </c>
      <c r="B376" s="4" t="s">
        <v>54</v>
      </c>
      <c r="C376" s="5" t="n">
        <v>35610</v>
      </c>
      <c r="D376" s="5" t="n">
        <f aca="false">AVERAGE(C370:C376)</f>
        <v>55819.1428571429</v>
      </c>
      <c r="E376" s="5" t="n">
        <f aca="false">AVERAGE(C347:C376)</f>
        <v>55131.7</v>
      </c>
      <c r="F376" s="4" t="s">
        <v>50</v>
      </c>
    </row>
    <row r="377" customFormat="false" ht="15" hidden="false" customHeight="true" outlineLevel="0" collapsed="false">
      <c r="A377" s="15" t="n">
        <v>45899</v>
      </c>
      <c r="B377" s="4" t="s">
        <v>56</v>
      </c>
      <c r="C377" s="5" t="n">
        <v>27007</v>
      </c>
      <c r="D377" s="5" t="n">
        <f aca="false">AVERAGE(C371:C377)</f>
        <v>55276.1428571429</v>
      </c>
      <c r="E377" s="5" t="n">
        <f aca="false">AVERAGE(C348:C377)</f>
        <v>53822.8666666667</v>
      </c>
      <c r="F377" s="4" t="s">
        <v>57</v>
      </c>
    </row>
    <row r="378" customFormat="false" ht="15" hidden="false" customHeight="true" outlineLevel="0" collapsed="false">
      <c r="A378" s="15" t="n">
        <v>45900</v>
      </c>
      <c r="B378" s="4" t="s">
        <v>59</v>
      </c>
      <c r="C378" s="5" t="n">
        <v>55448</v>
      </c>
      <c r="D378" s="5" t="n">
        <f aca="false">AVERAGE(C372:C378)</f>
        <v>54852</v>
      </c>
      <c r="E378" s="5" t="n">
        <f aca="false">AVERAGE(C349:C378)</f>
        <v>54517.0333333333</v>
      </c>
      <c r="F378" s="4" t="s">
        <v>57</v>
      </c>
    </row>
    <row r="379" customFormat="false" ht="15" hidden="false" customHeight="true" outlineLevel="0" collapsed="false">
      <c r="A379" s="15" t="n">
        <v>45901</v>
      </c>
      <c r="B379" s="4" t="s">
        <v>55</v>
      </c>
      <c r="C379" s="5" t="n">
        <v>35831</v>
      </c>
      <c r="D379" s="5" t="n">
        <f aca="false">AVERAGE(C373:C379)</f>
        <v>50262.4285714286</v>
      </c>
      <c r="E379" s="5" t="n">
        <f aca="false">AVERAGE(C350:C379)</f>
        <v>54758.8333333333</v>
      </c>
      <c r="F379" s="4" t="s">
        <v>50</v>
      </c>
    </row>
    <row r="380" customFormat="false" ht="15" hidden="false" customHeight="true" outlineLevel="0" collapsed="false">
      <c r="A380" s="15" t="n">
        <v>45902</v>
      </c>
      <c r="B380" s="4" t="s">
        <v>58</v>
      </c>
      <c r="C380" s="5" t="n">
        <v>56400</v>
      </c>
      <c r="D380" s="5" t="n">
        <f aca="false">AVERAGE(C374:C380)</f>
        <v>48886.8571428571</v>
      </c>
      <c r="E380" s="5" t="n">
        <f aca="false">AVERAGE(C351:C380)</f>
        <v>54712.6</v>
      </c>
      <c r="F380" s="4" t="s">
        <v>50</v>
      </c>
    </row>
    <row r="381" customFormat="false" ht="15" hidden="false" customHeight="true" outlineLevel="0" collapsed="false">
      <c r="A381" s="15" t="n">
        <v>45903</v>
      </c>
      <c r="B381" s="4" t="s">
        <v>60</v>
      </c>
      <c r="C381" s="5" t="n">
        <v>67060</v>
      </c>
      <c r="D381" s="5" t="n">
        <f aca="false">AVERAGE(C375:C381)</f>
        <v>49277</v>
      </c>
      <c r="E381" s="5" t="n">
        <f aca="false">AVERAGE(C352:C381)</f>
        <v>54796.5</v>
      </c>
      <c r="F381" s="4" t="s">
        <v>50</v>
      </c>
    </row>
    <row r="382" customFormat="false" ht="15" hidden="false" customHeight="true" outlineLevel="0" collapsed="false">
      <c r="A382" s="15" t="n">
        <v>45904</v>
      </c>
      <c r="B382" s="4" t="s">
        <v>49</v>
      </c>
      <c r="C382" s="5" t="n">
        <v>69266</v>
      </c>
      <c r="D382" s="5" t="n">
        <f aca="false">AVERAGE(C376:C382)</f>
        <v>49517.4285714286</v>
      </c>
      <c r="E382" s="5" t="n">
        <f aca="false">AVERAGE(C353:C382)</f>
        <v>54947.1</v>
      </c>
      <c r="F382" s="4" t="s">
        <v>50</v>
      </c>
    </row>
    <row r="383" customFormat="false" ht="15" hidden="false" customHeight="true" outlineLevel="0" collapsed="false">
      <c r="A383" s="15" t="n">
        <v>45905</v>
      </c>
      <c r="B383" s="4" t="s">
        <v>54</v>
      </c>
      <c r="C383" s="5" t="n">
        <v>31464</v>
      </c>
      <c r="D383" s="5" t="n">
        <f aca="false">AVERAGE(C377:C383)</f>
        <v>48925.1428571429</v>
      </c>
      <c r="E383" s="5" t="n">
        <f aca="false">AVERAGE(C354:C383)</f>
        <v>53804.2666666667</v>
      </c>
      <c r="F383" s="4" t="s">
        <v>50</v>
      </c>
    </row>
    <row r="384" customFormat="false" ht="15" hidden="false" customHeight="true" outlineLevel="0" collapsed="false">
      <c r="A384" s="15" t="n">
        <v>45906</v>
      </c>
      <c r="B384" s="4" t="s">
        <v>56</v>
      </c>
      <c r="C384" s="5" t="n">
        <v>31963</v>
      </c>
      <c r="D384" s="5" t="n">
        <f aca="false">AVERAGE(C378:C384)</f>
        <v>49633.1428571429</v>
      </c>
      <c r="E384" s="5" t="n">
        <f aca="false">AVERAGE(C355:C384)</f>
        <v>52534.9</v>
      </c>
      <c r="F384" s="4" t="s">
        <v>57</v>
      </c>
    </row>
    <row r="385" customFormat="false" ht="15" hidden="false" customHeight="true" outlineLevel="0" collapsed="false">
      <c r="A385" s="15" t="n">
        <v>45907</v>
      </c>
      <c r="B385" s="4" t="s">
        <v>59</v>
      </c>
      <c r="C385" s="5" t="n">
        <v>61250</v>
      </c>
      <c r="D385" s="5" t="n">
        <f aca="false">AVERAGE(C379:C385)</f>
        <v>50462</v>
      </c>
      <c r="E385" s="5" t="n">
        <f aca="false">AVERAGE(C356:C385)</f>
        <v>53463.7333333333</v>
      </c>
      <c r="F385" s="4" t="s">
        <v>57</v>
      </c>
    </row>
    <row r="386" customFormat="false" ht="15" hidden="false" customHeight="true" outlineLevel="0" collapsed="false">
      <c r="A386" s="15" t="n">
        <v>45908</v>
      </c>
      <c r="B386" s="4" t="s">
        <v>55</v>
      </c>
      <c r="C386" s="5" t="n">
        <v>67697</v>
      </c>
      <c r="D386" s="5" t="n">
        <f aca="false">AVERAGE(C380:C386)</f>
        <v>55014.2857142857</v>
      </c>
      <c r="E386" s="5" t="n">
        <f aca="false">AVERAGE(C357:C386)</f>
        <v>54662.5666666667</v>
      </c>
      <c r="F386" s="4" t="s">
        <v>50</v>
      </c>
    </row>
    <row r="387" customFormat="false" ht="15" hidden="false" customHeight="true" outlineLevel="0" collapsed="false">
      <c r="A387" s="15" t="n">
        <v>45909</v>
      </c>
      <c r="B387" s="4" t="s">
        <v>58</v>
      </c>
      <c r="C387" s="5" t="n">
        <v>72604</v>
      </c>
      <c r="D387" s="5" t="n">
        <f aca="false">AVERAGE(C381:C387)</f>
        <v>57329.1428571429</v>
      </c>
      <c r="E387" s="5" t="n">
        <f aca="false">AVERAGE(C358:C387)</f>
        <v>55078.7666666667</v>
      </c>
      <c r="F387" s="4" t="s">
        <v>50</v>
      </c>
    </row>
    <row r="388" customFormat="false" ht="15" hidden="false" customHeight="true" outlineLevel="0" collapsed="false">
      <c r="A388" s="15" t="n">
        <v>45910</v>
      </c>
      <c r="B388" s="4" t="s">
        <v>60</v>
      </c>
      <c r="C388" s="5" t="n">
        <v>74482</v>
      </c>
      <c r="D388" s="5" t="n">
        <f aca="false">AVERAGE(C382:C388)</f>
        <v>58389.4285714286</v>
      </c>
      <c r="E388" s="5" t="n">
        <f aca="false">AVERAGE(C359:C388)</f>
        <v>55389.4</v>
      </c>
      <c r="F388" s="4" t="s">
        <v>50</v>
      </c>
    </row>
    <row r="389" customFormat="false" ht="15" hidden="false" customHeight="true" outlineLevel="0" collapsed="false">
      <c r="A389" s="15" t="n">
        <v>45911</v>
      </c>
      <c r="B389" s="4" t="s">
        <v>49</v>
      </c>
      <c r="C389" s="5" t="n">
        <v>78956</v>
      </c>
      <c r="D389" s="5" t="n">
        <f aca="false">AVERAGE(C383:C389)</f>
        <v>59773.7142857143</v>
      </c>
      <c r="E389" s="5" t="n">
        <f aca="false">AVERAGE(C360:C389)</f>
        <v>55728.6</v>
      </c>
      <c r="F389" s="4" t="s">
        <v>50</v>
      </c>
    </row>
    <row r="390" customFormat="false" ht="15" hidden="false" customHeight="true" outlineLevel="0" collapsed="false">
      <c r="A390" s="15" t="n">
        <v>45912</v>
      </c>
      <c r="B390" s="4" t="s">
        <v>54</v>
      </c>
      <c r="C390" s="5" t="n">
        <v>28848</v>
      </c>
      <c r="D390" s="5" t="n">
        <f aca="false">AVERAGE(C384:C390)</f>
        <v>59400</v>
      </c>
      <c r="E390" s="5" t="n">
        <f aca="false">AVERAGE(C361:C390)</f>
        <v>54613.5333333333</v>
      </c>
      <c r="F390" s="4" t="s">
        <v>50</v>
      </c>
    </row>
    <row r="391" customFormat="false" ht="15" hidden="false" customHeight="true" outlineLevel="0" collapsed="false">
      <c r="A391" s="15" t="n">
        <v>45913</v>
      </c>
      <c r="B391" s="4" t="s">
        <v>56</v>
      </c>
      <c r="C391" s="5" t="n">
        <v>30838</v>
      </c>
      <c r="D391" s="5" t="n">
        <f aca="false">AVERAGE(C385:C391)</f>
        <v>59239.2857142857</v>
      </c>
      <c r="E391" s="5" t="n">
        <f aca="false">AVERAGE(C362:C391)</f>
        <v>53282.9666666667</v>
      </c>
      <c r="F391" s="4" t="s">
        <v>57</v>
      </c>
    </row>
    <row r="392" customFormat="false" ht="15" hidden="false" customHeight="true" outlineLevel="0" collapsed="false">
      <c r="A392" s="15" t="n">
        <v>45914</v>
      </c>
      <c r="B392" s="4" t="s">
        <v>59</v>
      </c>
      <c r="C392" s="5" t="n">
        <v>61359</v>
      </c>
      <c r="D392" s="5" t="n">
        <f aca="false">AVERAGE(C386:C392)</f>
        <v>59254.8571428571</v>
      </c>
      <c r="E392" s="5" t="n">
        <f aca="false">AVERAGE(C363:C392)</f>
        <v>54130.2</v>
      </c>
      <c r="F392" s="4" t="s">
        <v>57</v>
      </c>
    </row>
    <row r="393" customFormat="false" ht="15" hidden="false" customHeight="true" outlineLevel="0" collapsed="false">
      <c r="A393" s="15" t="n">
        <v>45915</v>
      </c>
      <c r="B393" s="4" t="s">
        <v>55</v>
      </c>
      <c r="C393" s="5" t="n">
        <v>68161</v>
      </c>
      <c r="D393" s="5" t="n">
        <f aca="false">AVERAGE(C387:C393)</f>
        <v>59321.1428571429</v>
      </c>
      <c r="E393" s="5" t="n">
        <f aca="false">AVERAGE(C364:C393)</f>
        <v>55333.8333333333</v>
      </c>
      <c r="F393" s="4" t="s">
        <v>50</v>
      </c>
    </row>
    <row r="394" customFormat="false" ht="15" hidden="false" customHeight="true" outlineLevel="0" collapsed="false">
      <c r="A394" s="15" t="n">
        <v>45916</v>
      </c>
      <c r="B394" s="4" t="s">
        <v>58</v>
      </c>
      <c r="C394" s="5" t="n">
        <v>70230</v>
      </c>
      <c r="D394" s="5" t="n">
        <f aca="false">AVERAGE(C388:C394)</f>
        <v>58982</v>
      </c>
      <c r="E394" s="5" t="n">
        <f aca="false">AVERAGE(C365:C394)</f>
        <v>55697.9333333333</v>
      </c>
      <c r="F394" s="4" t="s">
        <v>50</v>
      </c>
    </row>
    <row r="395" customFormat="false" ht="15" hidden="false" customHeight="true" outlineLevel="0" collapsed="false">
      <c r="A395" s="15" t="n">
        <v>45917</v>
      </c>
      <c r="B395" s="4" t="s">
        <v>60</v>
      </c>
      <c r="C395" s="5" t="n">
        <v>73252</v>
      </c>
      <c r="D395" s="5" t="n">
        <f aca="false">AVERAGE(C389:C395)</f>
        <v>58806.2857142857</v>
      </c>
      <c r="E395" s="5" t="n">
        <f aca="false">AVERAGE(C366:C395)</f>
        <v>55889.7</v>
      </c>
      <c r="F395" s="4" t="s">
        <v>50</v>
      </c>
    </row>
    <row r="396" customFormat="false" ht="15" hidden="false" customHeight="true" outlineLevel="0" collapsed="false">
      <c r="A396" s="15" t="n">
        <v>45918</v>
      </c>
      <c r="B396" s="4" t="s">
        <v>49</v>
      </c>
      <c r="C396" s="5" t="n">
        <v>66919</v>
      </c>
      <c r="D396" s="5" t="n">
        <f aca="false">AVERAGE(C390:C396)</f>
        <v>57086.7142857143</v>
      </c>
      <c r="E396" s="5" t="n">
        <f aca="false">AVERAGE(C367:C396)</f>
        <v>55947.9333333333</v>
      </c>
      <c r="F396" s="4" t="s">
        <v>50</v>
      </c>
    </row>
    <row r="397" customFormat="false" ht="15" hidden="false" customHeight="true" outlineLevel="0" collapsed="false">
      <c r="A397" s="15" t="n">
        <v>45919</v>
      </c>
      <c r="B397" s="4" t="s">
        <v>54</v>
      </c>
      <c r="C397" s="5" t="n">
        <v>30442</v>
      </c>
      <c r="D397" s="5" t="n">
        <f aca="false">AVERAGE(C391:C397)</f>
        <v>57314.4285714286</v>
      </c>
      <c r="E397" s="5" t="n">
        <f aca="false">AVERAGE(C368:C397)</f>
        <v>54816.0333333333</v>
      </c>
      <c r="F397" s="4" t="s">
        <v>50</v>
      </c>
    </row>
    <row r="398" customFormat="false" ht="15" hidden="false" customHeight="true" outlineLevel="0" collapsed="false">
      <c r="A398" s="15" t="n">
        <v>45920</v>
      </c>
      <c r="B398" s="4" t="s">
        <v>56</v>
      </c>
      <c r="C398" s="5" t="n">
        <v>31262</v>
      </c>
      <c r="D398" s="5" t="n">
        <f aca="false">AVERAGE(C392:C398)</f>
        <v>57375</v>
      </c>
      <c r="E398" s="5" t="n">
        <f aca="false">AVERAGE(C369:C398)</f>
        <v>53727.1333333333</v>
      </c>
      <c r="F398" s="4" t="s">
        <v>57</v>
      </c>
    </row>
    <row r="399" customFormat="false" ht="15" hidden="false" customHeight="true" outlineLevel="0" collapsed="false">
      <c r="A399" s="15" t="n">
        <v>45921</v>
      </c>
      <c r="B399" s="4" t="s">
        <v>59</v>
      </c>
      <c r="C399" s="5" t="n">
        <v>60975</v>
      </c>
      <c r="D399" s="5" t="n">
        <f aca="false">AVERAGE(C393:C399)</f>
        <v>57320.1428571429</v>
      </c>
      <c r="E399" s="5" t="n">
        <f aca="false">AVERAGE(C370:C399)</f>
        <v>54748.2666666667</v>
      </c>
      <c r="F399" s="4" t="s">
        <v>57</v>
      </c>
    </row>
    <row r="400" customFormat="false" ht="15" hidden="false" customHeight="true" outlineLevel="0" collapsed="false">
      <c r="A400" s="15" t="n">
        <v>45922</v>
      </c>
      <c r="B400" s="4" t="s">
        <v>55</v>
      </c>
      <c r="C400" s="5" t="n">
        <v>62633</v>
      </c>
      <c r="D400" s="5" t="n">
        <f aca="false">AVERAGE(C394:C400)</f>
        <v>56530.4285714286</v>
      </c>
      <c r="E400" s="5" t="n">
        <f aca="false">AVERAGE(C371:C400)</f>
        <v>55809.1</v>
      </c>
      <c r="F400" s="4" t="s">
        <v>50</v>
      </c>
    </row>
    <row r="401" customFormat="false" ht="15" hidden="false" customHeight="true" outlineLevel="0" collapsed="false">
      <c r="A401" s="15" t="n">
        <v>45923</v>
      </c>
      <c r="B401" s="4" t="s">
        <v>58</v>
      </c>
      <c r="C401" s="5" t="n">
        <v>65687</v>
      </c>
      <c r="D401" s="5" t="n">
        <f aca="false">AVERAGE(C395:C401)</f>
        <v>55881.4285714286</v>
      </c>
      <c r="E401" s="5" t="n">
        <f aca="false">AVERAGE(C372:C401)</f>
        <v>56051.4333333333</v>
      </c>
      <c r="F401" s="4" t="s">
        <v>50</v>
      </c>
    </row>
    <row r="402" customFormat="false" ht="15" hidden="false" customHeight="true" outlineLevel="0" collapsed="false">
      <c r="A402" s="15" t="n">
        <v>45924</v>
      </c>
      <c r="B402" s="4" t="s">
        <v>60</v>
      </c>
      <c r="C402" s="5" t="n">
        <v>69033</v>
      </c>
      <c r="D402" s="5" t="n">
        <f aca="false">AVERAGE(C396:C402)</f>
        <v>55278.7142857143</v>
      </c>
      <c r="E402" s="5" t="n">
        <f aca="false">AVERAGE(C373:C402)</f>
        <v>56087.2666666667</v>
      </c>
      <c r="F402" s="4" t="s">
        <v>50</v>
      </c>
    </row>
    <row r="403" customFormat="false" ht="15" hidden="false" customHeight="true" outlineLevel="0" collapsed="false">
      <c r="A403" s="15" t="n">
        <v>45925</v>
      </c>
      <c r="B403" s="4" t="s">
        <v>49</v>
      </c>
      <c r="C403" s="5" t="n">
        <v>68228</v>
      </c>
      <c r="D403" s="5" t="n">
        <f aca="false">AVERAGE(C397:C403)</f>
        <v>55465.7142857143</v>
      </c>
      <c r="E403" s="5" t="n">
        <f aca="false">AVERAGE(C374:C403)</f>
        <v>56160.5666666667</v>
      </c>
      <c r="F403" s="4" t="s">
        <v>50</v>
      </c>
    </row>
    <row r="404" customFormat="false" ht="15" hidden="false" customHeight="true" outlineLevel="0" collapsed="false">
      <c r="A404" s="15" t="n">
        <v>45926</v>
      </c>
      <c r="B404" s="4" t="s">
        <v>54</v>
      </c>
      <c r="C404" s="5" t="n">
        <v>31816</v>
      </c>
      <c r="D404" s="5" t="n">
        <f aca="false">AVERAGE(C398:C404)</f>
        <v>55662</v>
      </c>
      <c r="E404" s="5" t="n">
        <f aca="false">AVERAGE(C375:C404)</f>
        <v>55076.8</v>
      </c>
      <c r="F404" s="4" t="s">
        <v>50</v>
      </c>
    </row>
    <row r="405" customFormat="false" ht="15" hidden="false" customHeight="true" outlineLevel="0" collapsed="false">
      <c r="A405" s="15" t="n">
        <v>45927</v>
      </c>
      <c r="B405" s="4" t="s">
        <v>56</v>
      </c>
      <c r="C405" s="5" t="n">
        <v>31123</v>
      </c>
      <c r="D405" s="5" t="n">
        <f aca="false">AVERAGE(C399:C405)</f>
        <v>55642.1428571429</v>
      </c>
      <c r="E405" s="5" t="n">
        <f aca="false">AVERAGE(C376:C405)</f>
        <v>53861.4666666667</v>
      </c>
      <c r="F405" s="4" t="s">
        <v>57</v>
      </c>
    </row>
    <row r="406" customFormat="false" ht="15" hidden="false" customHeight="true" outlineLevel="0" collapsed="false">
      <c r="A406" s="15" t="n">
        <v>45928</v>
      </c>
      <c r="B406" s="4" t="s">
        <v>59</v>
      </c>
      <c r="C406" s="5" t="n">
        <v>55154</v>
      </c>
      <c r="D406" s="5" t="n">
        <f aca="false">AVERAGE(C400:C406)</f>
        <v>54810.5714285714</v>
      </c>
      <c r="E406" s="5" t="n">
        <f aca="false">AVERAGE(C377:C406)</f>
        <v>54512.9333333333</v>
      </c>
      <c r="F406" s="4" t="s">
        <v>57</v>
      </c>
    </row>
    <row r="407" customFormat="false" ht="15" hidden="false" customHeight="true" outlineLevel="0" collapsed="false">
      <c r="A407" s="15" t="n">
        <v>45929</v>
      </c>
      <c r="B407" s="4" t="s">
        <v>55</v>
      </c>
      <c r="C407" s="5" t="n">
        <v>65104</v>
      </c>
      <c r="D407" s="5" t="n">
        <f aca="false">AVERAGE(C401:C407)</f>
        <v>55163.5714285714</v>
      </c>
      <c r="E407" s="5" t="n">
        <f aca="false">AVERAGE(C378:C407)</f>
        <v>55782.8333333333</v>
      </c>
      <c r="F407" s="4" t="s">
        <v>50</v>
      </c>
    </row>
    <row r="408" customFormat="false" ht="15" hidden="false" customHeight="true" outlineLevel="0" collapsed="false">
      <c r="A408" s="15" t="n">
        <v>45930</v>
      </c>
      <c r="B408" s="4" t="s">
        <v>58</v>
      </c>
      <c r="C408" s="5" t="n">
        <v>65903</v>
      </c>
      <c r="D408" s="5" t="n">
        <f aca="false">AVERAGE(C402:C408)</f>
        <v>55194.4285714286</v>
      </c>
      <c r="E408" s="5" t="n">
        <f aca="false">AVERAGE(C379:C408)</f>
        <v>56131.3333333333</v>
      </c>
      <c r="F408" s="4" t="s">
        <v>50</v>
      </c>
    </row>
    <row r="409" customFormat="false" ht="15" hidden="false" customHeight="true" outlineLevel="0" collapsed="false">
      <c r="A409" s="15" t="n">
        <v>45931</v>
      </c>
      <c r="B409" s="4" t="s">
        <v>60</v>
      </c>
      <c r="C409" s="5" t="n">
        <v>68671</v>
      </c>
      <c r="D409" s="5" t="n">
        <f aca="false">AVERAGE(C403:C409)</f>
        <v>55142.7142857143</v>
      </c>
      <c r="E409" s="5" t="n">
        <f aca="false">AVERAGE(C380:C409)</f>
        <v>57226</v>
      </c>
      <c r="F409" s="4" t="s">
        <v>50</v>
      </c>
    </row>
    <row r="410" customFormat="false" ht="15" hidden="false" customHeight="true" outlineLevel="0" collapsed="false">
      <c r="A410" s="15" t="n">
        <v>45932</v>
      </c>
      <c r="B410" s="4" t="s">
        <v>49</v>
      </c>
      <c r="C410" s="5" t="n">
        <v>63106</v>
      </c>
      <c r="D410" s="5" t="n">
        <f aca="false">AVERAGE(C404:C410)</f>
        <v>54411</v>
      </c>
      <c r="E410" s="5" t="n">
        <f aca="false">AVERAGE(C381:C410)</f>
        <v>57449.5333333333</v>
      </c>
      <c r="F410" s="4" t="s">
        <v>50</v>
      </c>
    </row>
    <row r="411" customFormat="false" ht="15" hidden="false" customHeight="true" outlineLevel="0" collapsed="false">
      <c r="A411" s="15" t="n">
        <v>45933</v>
      </c>
      <c r="B411" s="4" t="s">
        <v>54</v>
      </c>
      <c r="C411" s="5" t="n">
        <v>27659</v>
      </c>
      <c r="D411" s="5" t="n">
        <f aca="false">AVERAGE(C405:C411)</f>
        <v>53817.1428571429</v>
      </c>
      <c r="E411" s="5" t="n">
        <f aca="false">AVERAGE(C382:C411)</f>
        <v>56136.1666666667</v>
      </c>
      <c r="F411" s="4" t="s">
        <v>50</v>
      </c>
    </row>
    <row r="412" customFormat="false" ht="15" hidden="false" customHeight="true" outlineLevel="0" collapsed="false">
      <c r="A412" s="15" t="n">
        <v>45934</v>
      </c>
      <c r="B412" s="4" t="s">
        <v>56</v>
      </c>
      <c r="C412" s="5" t="n">
        <v>30299</v>
      </c>
      <c r="D412" s="5" t="n">
        <f aca="false">AVERAGE(C406:C412)</f>
        <v>53699.4285714286</v>
      </c>
      <c r="E412" s="5" t="n">
        <f aca="false">AVERAGE(C383:C412)</f>
        <v>54837.2666666667</v>
      </c>
      <c r="F412" s="4" t="s">
        <v>57</v>
      </c>
    </row>
    <row r="413" customFormat="false" ht="15" hidden="false" customHeight="true" outlineLevel="0" collapsed="false">
      <c r="A413" s="15" t="n">
        <v>45935</v>
      </c>
      <c r="B413" s="4" t="s">
        <v>59</v>
      </c>
      <c r="C413" s="5" t="n">
        <v>59899</v>
      </c>
      <c r="D413" s="5" t="n">
        <f aca="false">AVERAGE(C407:C413)</f>
        <v>54377.2857142857</v>
      </c>
      <c r="E413" s="5" t="n">
        <f aca="false">AVERAGE(C384:C413)</f>
        <v>55785.1</v>
      </c>
      <c r="F413" s="4" t="s">
        <v>57</v>
      </c>
    </row>
    <row r="414" customFormat="false" ht="15" hidden="false" customHeight="true" outlineLevel="0" collapsed="false">
      <c r="A414" s="15" t="n">
        <v>45936</v>
      </c>
      <c r="B414" s="4" t="s">
        <v>55</v>
      </c>
      <c r="C414" s="5" t="n">
        <v>63824</v>
      </c>
      <c r="D414" s="5" t="n">
        <f aca="false">AVERAGE(C408:C414)</f>
        <v>54194.4285714286</v>
      </c>
      <c r="E414" s="5" t="n">
        <f aca="false">AVERAGE(C385:C414)</f>
        <v>56847.1333333333</v>
      </c>
      <c r="F414" s="4" t="s">
        <v>50</v>
      </c>
    </row>
    <row r="415" customFormat="false" ht="15" hidden="false" customHeight="true" outlineLevel="0" collapsed="false">
      <c r="A415" s="15" t="n">
        <v>45937</v>
      </c>
      <c r="B415" s="4" t="s">
        <v>58</v>
      </c>
      <c r="C415" s="5" t="n">
        <v>71442</v>
      </c>
      <c r="D415" s="5" t="n">
        <f aca="false">AVERAGE(C409:C415)</f>
        <v>54985.7142857143</v>
      </c>
      <c r="E415" s="5" t="n">
        <f aca="false">AVERAGE(C386:C415)</f>
        <v>57186.8666666667</v>
      </c>
      <c r="F415" s="4" t="s">
        <v>50</v>
      </c>
    </row>
    <row r="416" customFormat="false" ht="15" hidden="false" customHeight="true" outlineLevel="0" collapsed="false">
      <c r="A416" s="15" t="n">
        <v>45938</v>
      </c>
      <c r="B416" s="4" t="s">
        <v>60</v>
      </c>
      <c r="C416" s="5" t="n">
        <v>73278</v>
      </c>
      <c r="D416" s="5" t="n">
        <f aca="false">AVERAGE(C410:C416)</f>
        <v>55643.8571428571</v>
      </c>
      <c r="E416" s="5" t="n">
        <f aca="false">AVERAGE(C387:C416)</f>
        <v>57372.9</v>
      </c>
      <c r="F416" s="4" t="s">
        <v>50</v>
      </c>
    </row>
    <row r="417" customFormat="false" ht="15" hidden="false" customHeight="true" outlineLevel="0" collapsed="false">
      <c r="A417" s="15" t="n">
        <v>45939</v>
      </c>
      <c r="B417" s="4" t="s">
        <v>49</v>
      </c>
      <c r="C417" s="5" t="n">
        <v>67965</v>
      </c>
      <c r="D417" s="5" t="n">
        <f aca="false">AVERAGE(C411:C417)</f>
        <v>56338</v>
      </c>
      <c r="E417" s="5" t="n">
        <f aca="false">AVERAGE(C388:C417)</f>
        <v>57218.2666666667</v>
      </c>
      <c r="F417" s="4" t="s">
        <v>50</v>
      </c>
    </row>
    <row r="418" customFormat="false" ht="15" hidden="false" customHeight="true" outlineLevel="0" collapsed="false">
      <c r="A418" s="15" t="n">
        <v>45940</v>
      </c>
      <c r="B418" s="4" t="s">
        <v>54</v>
      </c>
      <c r="C418" s="5" t="n">
        <v>30615</v>
      </c>
      <c r="D418" s="5" t="n">
        <f aca="false">AVERAGE(C412:C418)</f>
        <v>56760.2857142857</v>
      </c>
      <c r="E418" s="5" t="n">
        <f aca="false">AVERAGE(C389:C418)</f>
        <v>55756.0333333333</v>
      </c>
      <c r="F418" s="4" t="s">
        <v>50</v>
      </c>
    </row>
    <row r="419" customFormat="false" ht="15" hidden="false" customHeight="true" outlineLevel="0" collapsed="false">
      <c r="A419" s="15" t="n">
        <v>45941</v>
      </c>
      <c r="B419" s="4" t="s">
        <v>56</v>
      </c>
      <c r="C419" s="5" t="n">
        <v>31365</v>
      </c>
      <c r="D419" s="5" t="n">
        <f aca="false">AVERAGE(C413:C419)</f>
        <v>56912.5714285714</v>
      </c>
      <c r="E419" s="5" t="n">
        <f aca="false">AVERAGE(C390:C419)</f>
        <v>54169.6666666667</v>
      </c>
      <c r="F419" s="4" t="s">
        <v>57</v>
      </c>
    </row>
    <row r="420" customFormat="false" ht="15" hidden="false" customHeight="true" outlineLevel="0" collapsed="false">
      <c r="A420" s="15" t="n">
        <v>45942</v>
      </c>
      <c r="B420" s="4" t="s">
        <v>59</v>
      </c>
      <c r="C420" s="5" t="n">
        <v>59828</v>
      </c>
      <c r="D420" s="5" t="n">
        <f aca="false">AVERAGE(C414:C420)</f>
        <v>56902.4285714286</v>
      </c>
      <c r="E420" s="5" t="n">
        <f aca="false">AVERAGE(C391:C420)</f>
        <v>55202.3333333333</v>
      </c>
      <c r="F420" s="4" t="s">
        <v>57</v>
      </c>
    </row>
    <row r="421" customFormat="false" ht="15" hidden="false" customHeight="true" outlineLevel="0" collapsed="false">
      <c r="A421" s="15" t="n">
        <v>45943</v>
      </c>
      <c r="B421" s="4" t="s">
        <v>55</v>
      </c>
      <c r="C421" s="5" t="n">
        <v>68777</v>
      </c>
      <c r="D421" s="5" t="n">
        <f aca="false">AVERAGE(C415:C421)</f>
        <v>57610</v>
      </c>
      <c r="E421" s="5" t="n">
        <f aca="false">AVERAGE(C392:C421)</f>
        <v>56466.9666666667</v>
      </c>
      <c r="F421" s="4" t="s">
        <v>50</v>
      </c>
    </row>
    <row r="422" customFormat="false" ht="15" hidden="false" customHeight="true" outlineLevel="0" collapsed="false">
      <c r="A422" s="15" t="n">
        <v>45944</v>
      </c>
      <c r="B422" s="4" t="s">
        <v>58</v>
      </c>
      <c r="C422" s="5" t="n">
        <v>69371</v>
      </c>
      <c r="D422" s="5" t="n">
        <f aca="false">AVERAGE(C416:C422)</f>
        <v>57314.1428571429</v>
      </c>
      <c r="E422" s="5" t="n">
        <f aca="false">AVERAGE(C393:C422)</f>
        <v>56734.0333333333</v>
      </c>
      <c r="F422" s="4" t="s">
        <v>50</v>
      </c>
    </row>
    <row r="423" customFormat="false" ht="15" hidden="false" customHeight="true" outlineLevel="0" collapsed="false">
      <c r="A423" s="15" t="n">
        <v>45945</v>
      </c>
      <c r="B423" s="4" t="s">
        <v>60</v>
      </c>
      <c r="C423" s="5" t="n">
        <v>67414</v>
      </c>
      <c r="D423" s="5" t="n">
        <f aca="false">AVERAGE(C417:C423)</f>
        <v>56476.4285714286</v>
      </c>
      <c r="E423" s="5" t="n">
        <f aca="false">AVERAGE(C394:C423)</f>
        <v>56709.1333333333</v>
      </c>
      <c r="F423" s="4" t="s">
        <v>50</v>
      </c>
    </row>
    <row r="424" customFormat="false" ht="15" hidden="false" customHeight="true" outlineLevel="0" collapsed="false">
      <c r="A424" s="15" t="n">
        <v>45946</v>
      </c>
      <c r="B424" s="4" t="s">
        <v>49</v>
      </c>
      <c r="C424" s="5" t="n">
        <v>76463</v>
      </c>
      <c r="D424" s="5" t="n">
        <f aca="false">AVERAGE(C418:C424)</f>
        <v>57690.4285714286</v>
      </c>
      <c r="E424" s="5" t="n">
        <f aca="false">AVERAGE(C395:C424)</f>
        <v>56916.9</v>
      </c>
      <c r="F424" s="4" t="s">
        <v>50</v>
      </c>
    </row>
    <row r="425" customFormat="false" ht="15" hidden="false" customHeight="true" outlineLevel="0" collapsed="false">
      <c r="A425" s="15" t="n">
        <v>45947</v>
      </c>
      <c r="B425" s="4" t="s">
        <v>54</v>
      </c>
      <c r="C425" s="5" t="n">
        <v>30233</v>
      </c>
      <c r="D425" s="5" t="n">
        <f aca="false">AVERAGE(C419:C425)</f>
        <v>57635.8571428571</v>
      </c>
      <c r="E425" s="5" t="n">
        <f aca="false">AVERAGE(C396:C425)</f>
        <v>55482.9333333333</v>
      </c>
      <c r="F425" s="4" t="s">
        <v>50</v>
      </c>
    </row>
    <row r="426" customFormat="false" ht="15" hidden="false" customHeight="true" outlineLevel="0" collapsed="false">
      <c r="A426" s="15" t="n">
        <v>45948</v>
      </c>
      <c r="B426" s="4" t="s">
        <v>56</v>
      </c>
      <c r="C426" s="5" t="n">
        <v>25388</v>
      </c>
      <c r="D426" s="5" t="n">
        <f aca="false">AVERAGE(C420:C426)</f>
        <v>56782</v>
      </c>
      <c r="E426" s="5" t="n">
        <f aca="false">AVERAGE(C397:C426)</f>
        <v>54098.5666666667</v>
      </c>
      <c r="F426" s="4" t="s">
        <v>57</v>
      </c>
    </row>
    <row r="427" customFormat="false" ht="15" hidden="false" customHeight="true" outlineLevel="0" collapsed="false">
      <c r="A427" s="15" t="n">
        <v>45949</v>
      </c>
      <c r="B427" s="4" t="s">
        <v>59</v>
      </c>
      <c r="C427" s="5" t="n">
        <v>63674</v>
      </c>
      <c r="D427" s="5" t="n">
        <f aca="false">AVERAGE(C421:C427)</f>
        <v>57331.4285714286</v>
      </c>
      <c r="E427" s="5" t="n">
        <f aca="false">AVERAGE(C398:C427)</f>
        <v>55206.3</v>
      </c>
      <c r="F427" s="4" t="s">
        <v>57</v>
      </c>
    </row>
    <row r="428" customFormat="false" ht="15" hidden="false" customHeight="true" outlineLevel="0" collapsed="false">
      <c r="A428" s="15" t="n">
        <v>45950</v>
      </c>
      <c r="B428" s="4" t="s">
        <v>55</v>
      </c>
      <c r="C428" s="5" t="n">
        <v>65427</v>
      </c>
      <c r="D428" s="5" t="n">
        <f aca="false">AVERAGE(C422:C428)</f>
        <v>56852.8571428571</v>
      </c>
      <c r="E428" s="5" t="n">
        <f aca="false">AVERAGE(C399:C428)</f>
        <v>56345.1333333333</v>
      </c>
      <c r="F428" s="4" t="s">
        <v>50</v>
      </c>
    </row>
    <row r="429" customFormat="false" ht="15" hidden="false" customHeight="true" outlineLevel="0" collapsed="false">
      <c r="A429" s="15" t="n">
        <v>45951</v>
      </c>
      <c r="B429" s="4" t="s">
        <v>58</v>
      </c>
      <c r="C429" s="5" t="n">
        <v>68263</v>
      </c>
      <c r="D429" s="5" t="n">
        <f aca="false">AVERAGE(C423:C429)</f>
        <v>56694.5714285714</v>
      </c>
      <c r="E429" s="5" t="n">
        <f aca="false">AVERAGE(C400:C429)</f>
        <v>56588.0666666667</v>
      </c>
      <c r="F429" s="4" t="s">
        <v>50</v>
      </c>
    </row>
    <row r="430" customFormat="false" ht="15" hidden="false" customHeight="true" outlineLevel="0" collapsed="false">
      <c r="A430" s="15" t="n">
        <v>45952</v>
      </c>
      <c r="B430" s="4" t="s">
        <v>60</v>
      </c>
      <c r="C430" s="5" t="n">
        <v>77544</v>
      </c>
      <c r="D430" s="5" t="n">
        <f aca="false">AVERAGE(C424:C430)</f>
        <v>58141.7142857143</v>
      </c>
      <c r="E430" s="5" t="n">
        <f aca="false">AVERAGE(C401:C430)</f>
        <v>57085.1</v>
      </c>
      <c r="F430" s="4" t="s">
        <v>50</v>
      </c>
    </row>
    <row r="431" customFormat="false" ht="15" hidden="false" customHeight="true" outlineLevel="0" collapsed="false">
      <c r="A431" s="15" t="n">
        <v>45953</v>
      </c>
      <c r="B431" s="4" t="s">
        <v>49</v>
      </c>
      <c r="C431" s="5" t="n">
        <v>68248</v>
      </c>
      <c r="D431" s="5" t="n">
        <f aca="false">AVERAGE(C425:C431)</f>
        <v>56968.1428571429</v>
      </c>
      <c r="E431" s="5" t="n">
        <f aca="false">AVERAGE(C402:C431)</f>
        <v>57170.4666666667</v>
      </c>
      <c r="F431" s="4" t="s">
        <v>50</v>
      </c>
    </row>
    <row r="432" customFormat="false" ht="15" hidden="false" customHeight="true" outlineLevel="0" collapsed="false">
      <c r="A432" s="15" t="n">
        <v>45954</v>
      </c>
      <c r="B432" s="4" t="s">
        <v>54</v>
      </c>
      <c r="C432" s="5" t="n">
        <v>40777</v>
      </c>
      <c r="D432" s="5" t="n">
        <f aca="false">AVERAGE(C426:C432)</f>
        <v>58474.4285714286</v>
      </c>
      <c r="E432" s="5" t="n">
        <f aca="false">AVERAGE(C403:C432)</f>
        <v>56228.6</v>
      </c>
      <c r="F432" s="4" t="s">
        <v>50</v>
      </c>
    </row>
    <row r="433" customFormat="false" ht="15" hidden="false" customHeight="true" outlineLevel="0" collapsed="false">
      <c r="A433" s="15" t="n">
        <v>45955</v>
      </c>
      <c r="B433" s="4" t="s">
        <v>56</v>
      </c>
      <c r="C433" s="5" t="n">
        <v>29493</v>
      </c>
      <c r="D433" s="5" t="n">
        <f aca="false">AVERAGE(C427:C433)</f>
        <v>59060.8571428571</v>
      </c>
      <c r="E433" s="5" t="n">
        <f aca="false">AVERAGE(C404:C433)</f>
        <v>54937.4333333333</v>
      </c>
      <c r="F433" s="4" t="s">
        <v>57</v>
      </c>
    </row>
    <row r="434" customFormat="false" ht="15" hidden="false" customHeight="true" outlineLevel="0" collapsed="false">
      <c r="A434" s="15" t="n">
        <v>45956</v>
      </c>
      <c r="B434" s="4" t="s">
        <v>59</v>
      </c>
      <c r="C434" s="5" t="n">
        <v>59511</v>
      </c>
      <c r="D434" s="5" t="n">
        <f aca="false">AVERAGE(C428:C434)</f>
        <v>58466.1428571429</v>
      </c>
      <c r="E434" s="5" t="n">
        <f aca="false">AVERAGE(C405:C434)</f>
        <v>55860.6</v>
      </c>
      <c r="F434" s="4" t="s">
        <v>57</v>
      </c>
    </row>
    <row r="435" customFormat="false" ht="15" hidden="false" customHeight="true" outlineLevel="0" collapsed="false">
      <c r="A435" s="15" t="n">
        <v>45957</v>
      </c>
      <c r="B435" s="4" t="s">
        <v>55</v>
      </c>
      <c r="C435" s="5" t="n">
        <v>68958</v>
      </c>
      <c r="D435" s="5" t="n">
        <f aca="false">AVERAGE(C429:C435)</f>
        <v>58970.5714285714</v>
      </c>
      <c r="E435" s="5" t="n">
        <f aca="false">AVERAGE(C406:C435)</f>
        <v>57121.7666666667</v>
      </c>
      <c r="F435" s="4" t="s">
        <v>50</v>
      </c>
    </row>
    <row r="436" customFormat="false" ht="15" hidden="false" customHeight="true" outlineLevel="0" collapsed="false">
      <c r="A436" s="15" t="n">
        <v>45958</v>
      </c>
      <c r="B436" s="4" t="s">
        <v>58</v>
      </c>
      <c r="C436" s="5" t="n">
        <v>70164</v>
      </c>
      <c r="D436" s="5" t="n">
        <f aca="false">AVERAGE(C430:C436)</f>
        <v>59242.1428571429</v>
      </c>
      <c r="E436" s="5" t="n">
        <f aca="false">AVERAGE(C407:C436)</f>
        <v>57622.1</v>
      </c>
      <c r="F436" s="4" t="s">
        <v>50</v>
      </c>
    </row>
    <row r="437" customFormat="false" ht="15" hidden="false" customHeight="true" outlineLevel="0" collapsed="false">
      <c r="A437" s="15" t="n">
        <v>45959</v>
      </c>
      <c r="B437" s="4" t="s">
        <v>60</v>
      </c>
      <c r="C437" s="5" t="n">
        <v>76379</v>
      </c>
      <c r="D437" s="5" t="n">
        <f aca="false">AVERAGE(C431:C437)</f>
        <v>59075.7142857143</v>
      </c>
      <c r="E437" s="5" t="n">
        <f aca="false">AVERAGE(C408:C437)</f>
        <v>57997.9333333333</v>
      </c>
      <c r="F437" s="4" t="s">
        <v>50</v>
      </c>
    </row>
    <row r="438" customFormat="false" ht="15" hidden="false" customHeight="true" outlineLevel="0" collapsed="false">
      <c r="A438" s="15" t="n">
        <v>45960</v>
      </c>
      <c r="B438" s="4" t="s">
        <v>49</v>
      </c>
      <c r="C438" s="5" t="n">
        <v>64414</v>
      </c>
      <c r="D438" s="5" t="n">
        <f aca="false">AVERAGE(C432:C438)</f>
        <v>58528</v>
      </c>
      <c r="E438" s="5" t="n">
        <f aca="false">AVERAGE(C409:C438)</f>
        <v>57948.3</v>
      </c>
      <c r="F438" s="4" t="s">
        <v>50</v>
      </c>
    </row>
    <row r="439" customFormat="false" ht="15" hidden="false" customHeight="true" outlineLevel="0" collapsed="false">
      <c r="A439" s="15" t="n">
        <v>45961</v>
      </c>
      <c r="B439" s="4" t="s">
        <v>54</v>
      </c>
      <c r="C439" s="5" t="n">
        <v>37591</v>
      </c>
      <c r="D439" s="5" t="n">
        <f aca="false">AVERAGE(C433:C439)</f>
        <v>58072.8571428571</v>
      </c>
      <c r="E439" s="5" t="n">
        <f aca="false">AVERAGE(C410:C439)</f>
        <v>56912.3</v>
      </c>
      <c r="F439" s="4" t="s">
        <v>50</v>
      </c>
    </row>
    <row r="440" customFormat="false" ht="15" hidden="false" customHeight="true" outlineLevel="0" collapsed="false">
      <c r="A440" s="15" t="n">
        <v>45962</v>
      </c>
      <c r="B440" s="4" t="s">
        <v>56</v>
      </c>
      <c r="C440" s="5" t="n">
        <v>28046</v>
      </c>
      <c r="D440" s="5" t="n">
        <f aca="false">AVERAGE(C434:C440)</f>
        <v>57866.1428571429</v>
      </c>
      <c r="E440" s="5" t="n">
        <f aca="false">AVERAGE(C411:C440)</f>
        <v>55743.6333333333</v>
      </c>
      <c r="F440" s="4" t="s">
        <v>57</v>
      </c>
    </row>
    <row r="441" customFormat="false" ht="15" hidden="false" customHeight="true" outlineLevel="0" collapsed="false">
      <c r="A441" s="15" t="n">
        <v>45963</v>
      </c>
      <c r="B441" s="4" t="s">
        <v>59</v>
      </c>
      <c r="C441" s="5" t="n">
        <v>64190</v>
      </c>
      <c r="D441" s="5" t="n">
        <f aca="false">AVERAGE(C435:C441)</f>
        <v>58534.5714285714</v>
      </c>
      <c r="E441" s="5" t="n">
        <f aca="false">AVERAGE(C412:C441)</f>
        <v>56961.3333333333</v>
      </c>
      <c r="F441" s="4" t="s">
        <v>57</v>
      </c>
    </row>
    <row r="442" customFormat="false" ht="15" hidden="false" customHeight="true" outlineLevel="0" collapsed="false">
      <c r="A442" s="15" t="n">
        <v>45964</v>
      </c>
      <c r="B442" s="4" t="s">
        <v>55</v>
      </c>
      <c r="C442" s="5" t="n">
        <v>65894</v>
      </c>
      <c r="D442" s="5" t="n">
        <f aca="false">AVERAGE(C436:C442)</f>
        <v>58096.8571428571</v>
      </c>
      <c r="E442" s="5" t="n">
        <f aca="false">AVERAGE(C413:C442)</f>
        <v>58147.8333333333</v>
      </c>
      <c r="F442" s="4" t="s">
        <v>50</v>
      </c>
    </row>
    <row r="443" customFormat="false" ht="15" hidden="false" customHeight="true" outlineLevel="0" collapsed="false">
      <c r="A443" s="15" t="n">
        <v>45965</v>
      </c>
      <c r="B443" s="4" t="s">
        <v>58</v>
      </c>
      <c r="C443" s="5" t="n">
        <v>68921</v>
      </c>
      <c r="D443" s="5" t="n">
        <f aca="false">AVERAGE(C437:C443)</f>
        <v>57919.2857142857</v>
      </c>
      <c r="E443" s="5" t="n">
        <f aca="false">AVERAGE(C414:C443)</f>
        <v>58448.5666666667</v>
      </c>
      <c r="F443" s="4" t="s">
        <v>50</v>
      </c>
    </row>
    <row r="444" customFormat="false" ht="15" hidden="false" customHeight="true" outlineLevel="0" collapsed="false">
      <c r="A444" s="15" t="n">
        <v>45966</v>
      </c>
      <c r="B444" s="4" t="s">
        <v>60</v>
      </c>
      <c r="C444" s="5" t="n">
        <v>63263</v>
      </c>
      <c r="D444" s="5" t="n">
        <f aca="false">AVERAGE(C438:C444)</f>
        <v>56045.5714285714</v>
      </c>
      <c r="E444" s="5" t="n">
        <f aca="false">AVERAGE(C415:C444)</f>
        <v>58429.8666666667</v>
      </c>
      <c r="F444" s="4" t="s">
        <v>50</v>
      </c>
    </row>
    <row r="445" customFormat="false" ht="15" hidden="false" customHeight="true" outlineLevel="0" collapsed="false">
      <c r="A445" s="15" t="n">
        <v>45967</v>
      </c>
      <c r="B445" s="4" t="s">
        <v>49</v>
      </c>
      <c r="C445" s="5" t="n">
        <v>69626</v>
      </c>
      <c r="D445" s="5" t="n">
        <f aca="false">AVERAGE(C439:C445)</f>
        <v>56790.1428571429</v>
      </c>
      <c r="E445" s="5" t="n">
        <f aca="false">AVERAGE(C416:C445)</f>
        <v>58369.3333333333</v>
      </c>
      <c r="F445" s="4" t="s">
        <v>50</v>
      </c>
    </row>
    <row r="446" customFormat="false" ht="15" hidden="false" customHeight="true" outlineLevel="0" collapsed="false">
      <c r="A446" s="15" t="n">
        <v>45968</v>
      </c>
      <c r="B446" s="4" t="s">
        <v>54</v>
      </c>
      <c r="C446" s="5" t="n">
        <v>59377</v>
      </c>
      <c r="D446" s="5" t="n">
        <f aca="false">AVERAGE(C440:C446)</f>
        <v>59902.4285714286</v>
      </c>
      <c r="E446" s="5" t="n">
        <f aca="false">AVERAGE(C417:C446)</f>
        <v>57905.9666666667</v>
      </c>
      <c r="F446" s="4" t="s">
        <v>50</v>
      </c>
    </row>
    <row r="447" customFormat="false" ht="15" hidden="false" customHeight="true" outlineLevel="0" collapsed="false">
      <c r="A447" s="15" t="n">
        <v>45969</v>
      </c>
      <c r="B447" s="4" t="s">
        <v>56</v>
      </c>
      <c r="C447" s="5" t="n">
        <v>31024</v>
      </c>
      <c r="D447" s="5" t="n">
        <f aca="false">AVERAGE(C441:C447)</f>
        <v>60327.8571428571</v>
      </c>
      <c r="E447" s="5" t="n">
        <f aca="false">AVERAGE(C418:C447)</f>
        <v>56674.6</v>
      </c>
      <c r="F447" s="4" t="s">
        <v>57</v>
      </c>
    </row>
    <row r="448" customFormat="false" ht="15" hidden="false" customHeight="true" outlineLevel="0" collapsed="false">
      <c r="A448" s="15" t="n">
        <v>45970</v>
      </c>
      <c r="B448" s="4" t="s">
        <v>59</v>
      </c>
      <c r="C448" s="5" t="n">
        <v>66344</v>
      </c>
      <c r="D448" s="5" t="n">
        <f aca="false">AVERAGE(C442:C448)</f>
        <v>60635.5714285714</v>
      </c>
      <c r="E448" s="5" t="n">
        <f aca="false">AVERAGE(C419:C448)</f>
        <v>57865.5666666667</v>
      </c>
      <c r="F448" s="4" t="s">
        <v>57</v>
      </c>
    </row>
    <row r="449" customFormat="false" ht="15" hidden="false" customHeight="true" outlineLevel="0" collapsed="false">
      <c r="A449" s="15" t="n">
        <v>45971</v>
      </c>
      <c r="B449" s="4" t="s">
        <v>55</v>
      </c>
      <c r="C449" s="5" t="n">
        <v>64853</v>
      </c>
      <c r="D449" s="5" t="n">
        <f aca="false">AVERAGE(C443:C449)</f>
        <v>60486.8571428571</v>
      </c>
      <c r="E449" s="5" t="n">
        <f aca="false">AVERAGE(C420:C449)</f>
        <v>58981.8333333333</v>
      </c>
      <c r="F449" s="4" t="s">
        <v>50</v>
      </c>
    </row>
    <row r="450" customFormat="false" ht="15" hidden="false" customHeight="true" outlineLevel="0" collapsed="false">
      <c r="A450" s="15" t="n">
        <v>45972</v>
      </c>
      <c r="B450" s="4" t="s">
        <v>58</v>
      </c>
      <c r="C450" s="5" t="n">
        <v>59778</v>
      </c>
      <c r="D450" s="5" t="n">
        <f aca="false">AVERAGE(C444:C450)</f>
        <v>59180.7142857143</v>
      </c>
      <c r="E450" s="5" t="n">
        <f aca="false">AVERAGE(C421:C450)</f>
        <v>58980.1666666667</v>
      </c>
      <c r="F450" s="4" t="s">
        <v>50</v>
      </c>
    </row>
    <row r="451" customFormat="false" ht="15" hidden="false" customHeight="true" outlineLevel="0" collapsed="false">
      <c r="A451" s="15" t="n">
        <v>45973</v>
      </c>
      <c r="B451" s="4" t="s">
        <v>60</v>
      </c>
      <c r="C451" s="5" t="n">
        <v>56405</v>
      </c>
      <c r="D451" s="5" t="n">
        <f aca="false">AVERAGE(C445:C451)</f>
        <v>58201</v>
      </c>
      <c r="E451" s="5" t="n">
        <f aca="false">AVERAGE(C422:C451)</f>
        <v>58567.7666666667</v>
      </c>
      <c r="F451" s="4" t="s">
        <v>50</v>
      </c>
    </row>
    <row r="452" customFormat="false" ht="15" hidden="false" customHeight="true" outlineLevel="0" collapsed="false">
      <c r="A452" s="15" t="n">
        <v>45974</v>
      </c>
      <c r="B452" s="4" t="s">
        <v>49</v>
      </c>
      <c r="C452" s="5" t="n">
        <v>67437</v>
      </c>
      <c r="D452" s="5" t="n">
        <f aca="false">AVERAGE(C446:C452)</f>
        <v>57888.2857142857</v>
      </c>
      <c r="E452" s="5" t="n">
        <f aca="false">AVERAGE(C423:C452)</f>
        <v>58503.3</v>
      </c>
      <c r="F452" s="4" t="s">
        <v>50</v>
      </c>
    </row>
    <row r="453" customFormat="false" ht="15" hidden="false" customHeight="true" outlineLevel="0" collapsed="false">
      <c r="A453" s="15" t="n">
        <v>45975</v>
      </c>
      <c r="B453" s="4" t="s">
        <v>54</v>
      </c>
      <c r="C453" s="5" t="n">
        <v>58960</v>
      </c>
      <c r="D453" s="5" t="n">
        <f aca="false">AVERAGE(C447:C453)</f>
        <v>57828.7142857143</v>
      </c>
      <c r="E453" s="5" t="n">
        <f aca="false">AVERAGE(C424:C453)</f>
        <v>58221.5</v>
      </c>
      <c r="F453" s="4" t="s">
        <v>50</v>
      </c>
    </row>
    <row r="454" customFormat="false" ht="15" hidden="false" customHeight="true" outlineLevel="0" collapsed="false">
      <c r="A454" s="15" t="n">
        <v>45976</v>
      </c>
      <c r="B454" s="4" t="s">
        <v>56</v>
      </c>
      <c r="C454" s="5" t="n">
        <v>32637</v>
      </c>
      <c r="D454" s="5" t="n">
        <f aca="false">AVERAGE(C448:C454)</f>
        <v>58059.1428571429</v>
      </c>
      <c r="E454" s="5" t="n">
        <f aca="false">AVERAGE(C425:C454)</f>
        <v>56760.6333333333</v>
      </c>
      <c r="F454" s="4" t="s">
        <v>57</v>
      </c>
    </row>
    <row r="455" customFormat="false" ht="15" hidden="false" customHeight="true" outlineLevel="0" collapsed="false">
      <c r="A455" s="15" t="n">
        <v>45977</v>
      </c>
      <c r="B455" s="4" t="s">
        <v>59</v>
      </c>
      <c r="C455" s="5" t="n">
        <v>71703</v>
      </c>
      <c r="D455" s="5" t="n">
        <f aca="false">AVERAGE(C449:C455)</f>
        <v>58824.7142857143</v>
      </c>
      <c r="E455" s="5" t="n">
        <f aca="false">AVERAGE(C426:C455)</f>
        <v>58142.9666666667</v>
      </c>
      <c r="F455" s="4" t="s">
        <v>57</v>
      </c>
    </row>
    <row r="456" customFormat="false" ht="15" hidden="false" customHeight="true" outlineLevel="0" collapsed="false">
      <c r="A456" s="15" t="n">
        <v>45978</v>
      </c>
      <c r="B456" s="4" t="s">
        <v>55</v>
      </c>
      <c r="C456" s="5" t="n">
        <v>72619</v>
      </c>
      <c r="D456" s="5" t="n">
        <f aca="false">AVERAGE(C450:C456)</f>
        <v>59934.1428571429</v>
      </c>
      <c r="E456" s="5" t="n">
        <f aca="false">AVERAGE(C427:C456)</f>
        <v>59717.3333333333</v>
      </c>
      <c r="F456" s="4" t="s">
        <v>50</v>
      </c>
    </row>
    <row r="457" customFormat="false" ht="15" hidden="false" customHeight="true" outlineLevel="0" collapsed="false">
      <c r="A457" s="15" t="n">
        <v>45979</v>
      </c>
      <c r="B457" s="4" t="s">
        <v>58</v>
      </c>
      <c r="C457" s="5" t="n">
        <v>73305</v>
      </c>
      <c r="D457" s="5" t="n">
        <f aca="false">AVERAGE(C451:C457)</f>
        <v>61866.5714285714</v>
      </c>
      <c r="E457" s="5" t="n">
        <f aca="false">AVERAGE(C428:C457)</f>
        <v>60038.3666666667</v>
      </c>
      <c r="F457" s="4" t="s">
        <v>50</v>
      </c>
    </row>
    <row r="458" customFormat="false" ht="15" hidden="false" customHeight="true" outlineLevel="0" collapsed="false">
      <c r="A458" s="15" t="n">
        <v>45980</v>
      </c>
      <c r="B458" s="4" t="s">
        <v>60</v>
      </c>
      <c r="C458" s="5" t="n">
        <v>72056</v>
      </c>
      <c r="D458" s="5" t="n">
        <f aca="false">AVERAGE(C452:C458)</f>
        <v>64102.4285714286</v>
      </c>
      <c r="E458" s="5" t="n">
        <f aca="false">AVERAGE(C429:C458)</f>
        <v>60259.3333333333</v>
      </c>
      <c r="F458" s="4" t="s">
        <v>50</v>
      </c>
    </row>
    <row r="459" customFormat="false" ht="15" hidden="false" customHeight="true" outlineLevel="0" collapsed="false">
      <c r="A459" s="15" t="n">
        <v>45981</v>
      </c>
      <c r="B459" s="4" t="s">
        <v>49</v>
      </c>
      <c r="C459" s="5" t="n">
        <v>65504</v>
      </c>
      <c r="D459" s="5" t="n">
        <f aca="false">AVERAGE(C453:C459)</f>
        <v>63826.2857142857</v>
      </c>
      <c r="E459" s="5" t="n">
        <f aca="false">AVERAGE(C430:C459)</f>
        <v>60167.3666666667</v>
      </c>
      <c r="F459" s="4" t="s">
        <v>50</v>
      </c>
    </row>
    <row r="460" customFormat="false" ht="15" hidden="false" customHeight="true" outlineLevel="0" collapsed="false">
      <c r="A460" s="15" t="n">
        <v>45982</v>
      </c>
      <c r="B460" s="4" t="s">
        <v>54</v>
      </c>
      <c r="C460" s="5" t="n">
        <v>47149</v>
      </c>
      <c r="D460" s="5" t="n">
        <f aca="false">AVERAGE(C454:C460)</f>
        <v>62139</v>
      </c>
      <c r="E460" s="5" t="n">
        <f aca="false">AVERAGE(C431:C460)</f>
        <v>59154.2</v>
      </c>
      <c r="F460" s="4" t="s">
        <v>50</v>
      </c>
    </row>
    <row r="461" customFormat="false" ht="15" hidden="false" customHeight="true" outlineLevel="0" collapsed="false">
      <c r="A461" s="15" t="n">
        <v>45983</v>
      </c>
      <c r="B461" s="4" t="s">
        <v>56</v>
      </c>
      <c r="C461" s="5" t="n">
        <v>29932</v>
      </c>
      <c r="D461" s="5" t="n">
        <f aca="false">AVERAGE(C455:C461)</f>
        <v>61752.5714285714</v>
      </c>
      <c r="E461" s="5" t="n">
        <f aca="false">AVERAGE(C432:C461)</f>
        <v>57877</v>
      </c>
      <c r="F461" s="4" t="s">
        <v>57</v>
      </c>
    </row>
    <row r="462" customFormat="false" ht="15" hidden="false" customHeight="true" outlineLevel="0" collapsed="false">
      <c r="A462" s="15" t="n">
        <v>45984</v>
      </c>
      <c r="B462" s="4" t="s">
        <v>59</v>
      </c>
      <c r="C462" s="5" t="n">
        <v>56264</v>
      </c>
      <c r="D462" s="5" t="n">
        <f aca="false">AVERAGE(C456:C462)</f>
        <v>59547</v>
      </c>
      <c r="E462" s="5" t="n">
        <f aca="false">AVERAGE(C433:C462)</f>
        <v>58393.2333333333</v>
      </c>
      <c r="F462" s="4" t="s">
        <v>57</v>
      </c>
    </row>
    <row r="463" customFormat="false" ht="15" hidden="false" customHeight="true" outlineLevel="0" collapsed="false">
      <c r="A463" s="15" t="n">
        <v>45985</v>
      </c>
      <c r="B463" s="4" t="s">
        <v>55</v>
      </c>
      <c r="C463" s="5" t="n">
        <v>63525</v>
      </c>
      <c r="D463" s="5" t="n">
        <f aca="false">AVERAGE(C457:C463)</f>
        <v>58247.8571428571</v>
      </c>
      <c r="E463" s="5" t="n">
        <f aca="false">AVERAGE(C434:C463)</f>
        <v>59527.6333333333</v>
      </c>
      <c r="F463" s="4" t="s">
        <v>50</v>
      </c>
    </row>
    <row r="464" customFormat="false" ht="15" hidden="false" customHeight="true" outlineLevel="0" collapsed="false">
      <c r="A464" s="15" t="n">
        <v>45986</v>
      </c>
      <c r="B464" s="4" t="s">
        <v>58</v>
      </c>
      <c r="C464" s="5" t="n">
        <v>63968</v>
      </c>
      <c r="D464" s="5" t="n">
        <f aca="false">AVERAGE(C458:C464)</f>
        <v>56914</v>
      </c>
      <c r="E464" s="5" t="n">
        <f aca="false">AVERAGE(C435:C464)</f>
        <v>59676.2</v>
      </c>
      <c r="F464" s="4" t="s">
        <v>50</v>
      </c>
    </row>
    <row r="465" customFormat="false" ht="15" hidden="false" customHeight="true" outlineLevel="0" collapsed="false">
      <c r="A465" s="15" t="n">
        <v>45987</v>
      </c>
      <c r="B465" s="4" t="s">
        <v>60</v>
      </c>
      <c r="C465" s="5" t="n">
        <v>66484</v>
      </c>
      <c r="D465" s="5" t="n">
        <f aca="false">AVERAGE(C459:C465)</f>
        <v>56118</v>
      </c>
      <c r="E465" s="5" t="n">
        <f aca="false">AVERAGE(C436:C465)</f>
        <v>59593.7333333333</v>
      </c>
      <c r="F465" s="4" t="s">
        <v>50</v>
      </c>
    </row>
    <row r="466" customFormat="false" ht="15" hidden="false" customHeight="true" outlineLevel="0" collapsed="false">
      <c r="A466" s="15" t="n">
        <v>45988</v>
      </c>
      <c r="B466" s="4" t="s">
        <v>49</v>
      </c>
      <c r="C466" s="5" t="n">
        <v>42020</v>
      </c>
      <c r="D466" s="5" t="n">
        <f aca="false">AVERAGE(C460:C466)</f>
        <v>52763.1428571429</v>
      </c>
      <c r="E466" s="5" t="n">
        <f aca="false">AVERAGE(C437:C466)</f>
        <v>58655.6</v>
      </c>
      <c r="F466" s="4" t="s">
        <v>50</v>
      </c>
    </row>
    <row r="467" customFormat="false" ht="15" hidden="false" customHeight="true" outlineLevel="0" collapsed="false">
      <c r="A467" s="15" t="n">
        <v>45989</v>
      </c>
      <c r="B467" s="4" t="s">
        <v>54</v>
      </c>
      <c r="C467" s="5" t="n">
        <v>18247</v>
      </c>
      <c r="D467" s="5" t="n">
        <f aca="false">AVERAGE(C461:C467)</f>
        <v>48634.2857142857</v>
      </c>
      <c r="E467" s="5" t="n">
        <f aca="false">AVERAGE(C438:C467)</f>
        <v>56717.8666666667</v>
      </c>
      <c r="F467" s="4" t="s">
        <v>50</v>
      </c>
    </row>
    <row r="468" customFormat="false" ht="15" hidden="false" customHeight="true" outlineLevel="0" collapsed="false">
      <c r="A468" s="15" t="n">
        <v>45990</v>
      </c>
      <c r="B468" s="4" t="s">
        <v>56</v>
      </c>
      <c r="C468" s="5" t="n">
        <v>28868</v>
      </c>
      <c r="D468" s="5" t="n">
        <f aca="false">AVERAGE(C462:C468)</f>
        <v>48482.2857142857</v>
      </c>
      <c r="E468" s="5" t="n">
        <f aca="false">AVERAGE(C439:C468)</f>
        <v>55533</v>
      </c>
      <c r="F468" s="4" t="s">
        <v>57</v>
      </c>
    </row>
    <row r="469" customFormat="false" ht="15" hidden="false" customHeight="true" outlineLevel="0" collapsed="false">
      <c r="A469" s="15" t="n">
        <v>45991</v>
      </c>
      <c r="B469" s="4" t="s">
        <v>59</v>
      </c>
      <c r="C469" s="5" t="n">
        <v>58130</v>
      </c>
      <c r="D469" s="5" t="n">
        <f aca="false">AVERAGE(C463:C469)</f>
        <v>48748.8571428571</v>
      </c>
      <c r="E469" s="5" t="n">
        <f aca="false">AVERAGE(C440:C469)</f>
        <v>56217.6333333333</v>
      </c>
      <c r="F469" s="4" t="s">
        <v>57</v>
      </c>
    </row>
    <row r="470" customFormat="false" ht="15" hidden="false" customHeight="true" outlineLevel="0" collapsed="false">
      <c r="A470" s="15" t="n">
        <v>45992</v>
      </c>
      <c r="B470" s="4" t="s">
        <v>55</v>
      </c>
      <c r="C470" s="5" t="n">
        <v>57720</v>
      </c>
      <c r="D470" s="5" t="n">
        <f aca="false">AVERAGE(C464:C470)</f>
        <v>47919.5714285714</v>
      </c>
      <c r="E470" s="5" t="n">
        <f aca="false">AVERAGE(C441:C470)</f>
        <v>57206.7666666667</v>
      </c>
      <c r="F470" s="4" t="s">
        <v>50</v>
      </c>
    </row>
    <row r="471" customFormat="false" ht="15" hidden="false" customHeight="true" outlineLevel="0" collapsed="false">
      <c r="A471" s="15" t="n">
        <v>45993</v>
      </c>
      <c r="B471" s="4" t="s">
        <v>58</v>
      </c>
      <c r="C471" s="5" t="n">
        <v>71381</v>
      </c>
      <c r="D471" s="5" t="n">
        <f aca="false">AVERAGE(C465:C471)</f>
        <v>48978.5714285714</v>
      </c>
      <c r="E471" s="5" t="n">
        <f aca="false">AVERAGE(C442:C471)</f>
        <v>57446.4666666667</v>
      </c>
      <c r="F471" s="4" t="s">
        <v>50</v>
      </c>
    </row>
    <row r="472" customFormat="false" ht="15" hidden="false" customHeight="true" outlineLevel="0" collapsed="false">
      <c r="A472" s="15" t="n">
        <v>45994</v>
      </c>
      <c r="B472" s="4" t="s">
        <v>60</v>
      </c>
      <c r="C472" s="5" t="n">
        <v>73857</v>
      </c>
      <c r="D472" s="5" t="n">
        <f aca="false">AVERAGE(C466:C472)</f>
        <v>50031.8571428571</v>
      </c>
      <c r="E472" s="5" t="n">
        <f aca="false">AVERAGE(C443:C472)</f>
        <v>57711.9</v>
      </c>
      <c r="F472" s="4" t="s">
        <v>50</v>
      </c>
    </row>
    <row r="473" customFormat="false" ht="15" hidden="false" customHeight="true" outlineLevel="0" collapsed="false">
      <c r="A473" s="15" t="n">
        <v>45995</v>
      </c>
      <c r="B473" s="4" t="s">
        <v>49</v>
      </c>
      <c r="C473" s="5" t="n">
        <v>76912</v>
      </c>
      <c r="D473" s="5" t="n">
        <f aca="false">AVERAGE(C467:C473)</f>
        <v>55016.4285714286</v>
      </c>
      <c r="E473" s="5" t="n">
        <f aca="false">AVERAGE(C444:C473)</f>
        <v>57978.2666666667</v>
      </c>
      <c r="F473" s="4" t="s">
        <v>50</v>
      </c>
    </row>
    <row r="474" customFormat="false" ht="15" hidden="false" customHeight="true" outlineLevel="0" collapsed="false">
      <c r="A474" s="15" t="n">
        <v>45996</v>
      </c>
      <c r="B474" s="4" t="s">
        <v>54</v>
      </c>
      <c r="C474" s="5" t="n">
        <v>37654</v>
      </c>
      <c r="D474" s="5" t="n">
        <f aca="false">AVERAGE(C468:C474)</f>
        <v>57788.8571428571</v>
      </c>
      <c r="E474" s="5" t="n">
        <f aca="false">AVERAGE(C445:C474)</f>
        <v>57124.6333333333</v>
      </c>
      <c r="F474" s="4" t="s">
        <v>50</v>
      </c>
    </row>
    <row r="475" customFormat="false" ht="15" hidden="false" customHeight="true" outlineLevel="0" collapsed="false">
      <c r="A475" s="15" t="n">
        <v>45997</v>
      </c>
      <c r="B475" s="4" t="s">
        <v>56</v>
      </c>
      <c r="C475" s="5" t="n">
        <v>27990</v>
      </c>
      <c r="D475" s="5" t="n">
        <f aca="false">AVERAGE(C469:C475)</f>
        <v>57663.4285714286</v>
      </c>
      <c r="E475" s="5" t="n">
        <f aca="false">AVERAGE(C446:C475)</f>
        <v>55736.7666666667</v>
      </c>
      <c r="F475" s="4" t="s">
        <v>57</v>
      </c>
    </row>
    <row r="476" customFormat="false" ht="15" hidden="false" customHeight="true" outlineLevel="0" collapsed="false">
      <c r="A476" s="15" t="n">
        <v>45998</v>
      </c>
      <c r="B476" s="4" t="s">
        <v>59</v>
      </c>
      <c r="C476" s="5" t="n">
        <v>64043</v>
      </c>
      <c r="D476" s="5" t="n">
        <f aca="false">AVERAGE(C470:C476)</f>
        <v>58508.1428571429</v>
      </c>
      <c r="E476" s="5" t="n">
        <f aca="false">AVERAGE(C447:C476)</f>
        <v>55892.3</v>
      </c>
      <c r="F476" s="4" t="s">
        <v>57</v>
      </c>
    </row>
    <row r="477" customFormat="false" ht="15" hidden="false" customHeight="true" outlineLevel="0" collapsed="false">
      <c r="A477" s="15" t="n">
        <v>45999</v>
      </c>
      <c r="B477" s="4" t="s">
        <v>55</v>
      </c>
      <c r="C477" s="5" t="n">
        <v>78333</v>
      </c>
      <c r="D477" s="5" t="n">
        <f aca="false">AVERAGE(C471:C477)</f>
        <v>61452.8571428571</v>
      </c>
      <c r="E477" s="5" t="n">
        <f aca="false">AVERAGE(C448:C477)</f>
        <v>57469.2666666667</v>
      </c>
      <c r="F477" s="4" t="s">
        <v>50</v>
      </c>
    </row>
    <row r="478" customFormat="false" ht="15" hidden="false" customHeight="true" outlineLevel="0" collapsed="false">
      <c r="A478" s="15" t="n">
        <v>46000</v>
      </c>
      <c r="B478" s="4" t="s">
        <v>58</v>
      </c>
      <c r="C478" s="5" t="n">
        <v>77882</v>
      </c>
      <c r="D478" s="5" t="n">
        <f aca="false">AVERAGE(C472:C478)</f>
        <v>62381.5714285714</v>
      </c>
      <c r="E478" s="5" t="n">
        <f aca="false">AVERAGE(C449:C478)</f>
        <v>57853.8666666667</v>
      </c>
      <c r="F478" s="4" t="s">
        <v>50</v>
      </c>
    </row>
    <row r="479" customFormat="false" ht="15" hidden="false" customHeight="true" outlineLevel="0" collapsed="false">
      <c r="A479" s="15" t="n">
        <v>46001</v>
      </c>
      <c r="B479" s="4" t="s">
        <v>60</v>
      </c>
      <c r="C479" s="5" t="n">
        <v>72595</v>
      </c>
      <c r="D479" s="5" t="n">
        <f aca="false">AVERAGE(C473:C479)</f>
        <v>62201.2857142857</v>
      </c>
      <c r="E479" s="5" t="n">
        <f aca="false">AVERAGE(C450:C479)</f>
        <v>58111.9333333333</v>
      </c>
      <c r="F479" s="4" t="s">
        <v>50</v>
      </c>
    </row>
    <row r="480" customFormat="false" ht="15" hidden="false" customHeight="true" outlineLevel="0" collapsed="false">
      <c r="A480" s="15" t="n">
        <v>46002</v>
      </c>
      <c r="B480" s="4" t="s">
        <v>49</v>
      </c>
      <c r="C480" s="5" t="n">
        <v>71837</v>
      </c>
      <c r="D480" s="5" t="n">
        <f aca="false">AVERAGE(C474:C480)</f>
        <v>61476.2857142857</v>
      </c>
      <c r="E480" s="5" t="n">
        <f aca="false">AVERAGE(C451:C480)</f>
        <v>58513.9</v>
      </c>
      <c r="F480" s="4" t="s">
        <v>50</v>
      </c>
    </row>
    <row r="481" customFormat="false" ht="15" hidden="false" customHeight="true" outlineLevel="0" collapsed="false">
      <c r="A481" s="15" t="n">
        <v>46003</v>
      </c>
      <c r="B481" s="4" t="s">
        <v>54</v>
      </c>
      <c r="C481" s="5" t="n">
        <v>37342</v>
      </c>
      <c r="D481" s="5" t="n">
        <f aca="false">AVERAGE(C475:C481)</f>
        <v>61431.7142857143</v>
      </c>
      <c r="E481" s="5" t="n">
        <f aca="false">AVERAGE(C452:C481)</f>
        <v>57878.4666666667</v>
      </c>
      <c r="F481" s="4" t="s">
        <v>50</v>
      </c>
    </row>
    <row r="482" customFormat="false" ht="15" hidden="false" customHeight="true" outlineLevel="0" collapsed="false">
      <c r="A482" s="15" t="n">
        <v>46004</v>
      </c>
      <c r="B482" s="4" t="s">
        <v>56</v>
      </c>
      <c r="C482" s="5" t="n">
        <v>26928</v>
      </c>
      <c r="D482" s="5" t="n">
        <f aca="false">AVERAGE(C476:C482)</f>
        <v>61280</v>
      </c>
      <c r="E482" s="5" t="n">
        <f aca="false">AVERAGE(C453:C482)</f>
        <v>56528.1666666667</v>
      </c>
      <c r="F482" s="4" t="s">
        <v>57</v>
      </c>
    </row>
    <row r="483" customFormat="false" ht="15" hidden="false" customHeight="true" outlineLevel="0" collapsed="false">
      <c r="A483" s="15" t="n">
        <v>46005</v>
      </c>
      <c r="B483" s="4" t="s">
        <v>59</v>
      </c>
      <c r="C483" s="5" t="n">
        <v>70183</v>
      </c>
      <c r="D483" s="5" t="n">
        <f aca="false">AVERAGE(C477:C483)</f>
        <v>62157.1428571429</v>
      </c>
      <c r="E483" s="5" t="n">
        <f aca="false">AVERAGE(C454:C483)</f>
        <v>56902.2666666667</v>
      </c>
      <c r="F483" s="4" t="s">
        <v>57</v>
      </c>
    </row>
    <row r="484" customFormat="false" ht="15" hidden="false" customHeight="true" outlineLevel="0" collapsed="false">
      <c r="A484" s="15" t="n">
        <v>46006</v>
      </c>
      <c r="B484" s="4" t="s">
        <v>55</v>
      </c>
      <c r="C484" s="5" t="n">
        <v>70557</v>
      </c>
      <c r="D484" s="5" t="n">
        <f aca="false">AVERAGE(C478:C484)</f>
        <v>61046.2857142857</v>
      </c>
      <c r="E484" s="5" t="n">
        <f aca="false">AVERAGE(C455:C484)</f>
        <v>58166.2666666667</v>
      </c>
      <c r="F484" s="4" t="s">
        <v>50</v>
      </c>
    </row>
    <row r="485" customFormat="false" ht="15" hidden="false" customHeight="true" outlineLevel="0" collapsed="false">
      <c r="A485" s="15" t="n">
        <v>46007</v>
      </c>
      <c r="B485" s="4" t="s">
        <v>58</v>
      </c>
      <c r="C485" s="5" t="n">
        <v>73993</v>
      </c>
      <c r="D485" s="5" t="n">
        <f aca="false">AVERAGE(C479:C485)</f>
        <v>60490.7142857143</v>
      </c>
      <c r="E485" s="5" t="n">
        <f aca="false">AVERAGE(C456:C485)</f>
        <v>58242.6</v>
      </c>
      <c r="F485" s="4" t="s">
        <v>50</v>
      </c>
    </row>
    <row r="486" customFormat="false" ht="15" hidden="false" customHeight="true" outlineLevel="0" collapsed="false">
      <c r="A486" s="15" t="n">
        <v>46008</v>
      </c>
      <c r="B486" s="4" t="s">
        <v>60</v>
      </c>
      <c r="C486" s="5" t="n">
        <v>74220</v>
      </c>
      <c r="D486" s="5" t="n">
        <f aca="false">AVERAGE(C480:C486)</f>
        <v>60722.8571428571</v>
      </c>
      <c r="E486" s="5" t="n">
        <f aca="false">AVERAGE(C457:C486)</f>
        <v>58295.9666666667</v>
      </c>
      <c r="F486" s="4" t="s">
        <v>50</v>
      </c>
    </row>
    <row r="487" customFormat="false" ht="15" hidden="false" customHeight="true" outlineLevel="0" collapsed="false">
      <c r="A487" s="15" t="n">
        <v>46009</v>
      </c>
      <c r="B487" s="4" t="s">
        <v>49</v>
      </c>
      <c r="C487" s="5" t="n">
        <v>76819</v>
      </c>
      <c r="D487" s="5" t="n">
        <f aca="false">AVERAGE(C481:C487)</f>
        <v>61434.5714285714</v>
      </c>
      <c r="E487" s="5" t="n">
        <f aca="false">AVERAGE(C458:C487)</f>
        <v>58413.1</v>
      </c>
      <c r="F487" s="4" t="s">
        <v>50</v>
      </c>
    </row>
    <row r="488" customFormat="false" ht="15" hidden="false" customHeight="true" outlineLevel="0" collapsed="false">
      <c r="A488" s="15" t="n">
        <v>46010</v>
      </c>
      <c r="B488" s="4" t="s">
        <v>54</v>
      </c>
      <c r="C488" s="5" t="n">
        <v>31186</v>
      </c>
      <c r="D488" s="5" t="n">
        <f aca="false">AVERAGE(C482:C488)</f>
        <v>60555.1428571429</v>
      </c>
      <c r="E488" s="5" t="n">
        <f aca="false">AVERAGE(C459:C488)</f>
        <v>57050.7666666667</v>
      </c>
      <c r="F488" s="4" t="s">
        <v>50</v>
      </c>
    </row>
    <row r="489" customFormat="false" ht="15" hidden="false" customHeight="true" outlineLevel="0" collapsed="false">
      <c r="A489" s="15" t="n">
        <v>46011</v>
      </c>
      <c r="B489" s="4" t="s">
        <v>56</v>
      </c>
      <c r="C489" s="5" t="n">
        <v>32886</v>
      </c>
      <c r="D489" s="5" t="n">
        <f aca="false">AVERAGE(C483:C489)</f>
        <v>61406.2857142857</v>
      </c>
      <c r="E489" s="5" t="n">
        <f aca="false">AVERAGE(C460:C489)</f>
        <v>55963.5</v>
      </c>
      <c r="F489" s="4" t="s">
        <v>57</v>
      </c>
    </row>
    <row r="490" customFormat="false" ht="15" hidden="false" customHeight="true" outlineLevel="0" collapsed="false">
      <c r="A490" s="15" t="n">
        <v>46012</v>
      </c>
      <c r="B490" s="4" t="s">
        <v>59</v>
      </c>
      <c r="C490" s="5" t="n">
        <v>61629</v>
      </c>
      <c r="D490" s="5" t="n">
        <f aca="false">AVERAGE(C484:C490)</f>
        <v>60184.2857142857</v>
      </c>
      <c r="E490" s="5" t="n">
        <f aca="false">AVERAGE(C461:C490)</f>
        <v>56446.1666666667</v>
      </c>
      <c r="F490" s="4" t="s">
        <v>57</v>
      </c>
    </row>
    <row r="491" customFormat="false" ht="15" hidden="false" customHeight="true" outlineLevel="0" collapsed="false">
      <c r="A491" s="15" t="n">
        <v>46013</v>
      </c>
      <c r="B491" s="4" t="s">
        <v>55</v>
      </c>
      <c r="C491" s="5" t="n">
        <v>68192</v>
      </c>
      <c r="D491" s="5" t="n">
        <f aca="false">AVERAGE(C485:C491)</f>
        <v>59846.4285714286</v>
      </c>
      <c r="E491" s="5" t="n">
        <f aca="false">AVERAGE(C462:C491)</f>
        <v>57721.5</v>
      </c>
      <c r="F491" s="4" t="s">
        <v>50</v>
      </c>
    </row>
    <row r="492" customFormat="false" ht="15" hidden="false" customHeight="true" outlineLevel="0" collapsed="false">
      <c r="A492" s="15" t="n">
        <v>46014</v>
      </c>
      <c r="B492" s="4" t="s">
        <v>58</v>
      </c>
      <c r="C492" s="5" t="n">
        <v>67726</v>
      </c>
      <c r="D492" s="5" t="n">
        <f aca="false">AVERAGE(C486:C492)</f>
        <v>58951.1428571429</v>
      </c>
      <c r="E492" s="5" t="n">
        <f aca="false">AVERAGE(C463:C492)</f>
        <v>58103.5666666667</v>
      </c>
      <c r="F492" s="4" t="s">
        <v>50</v>
      </c>
    </row>
    <row r="493" customFormat="false" ht="15" hidden="false" customHeight="true" outlineLevel="0" collapsed="false">
      <c r="A493" s="15" t="n">
        <v>46015</v>
      </c>
      <c r="B493" s="4" t="s">
        <v>60</v>
      </c>
      <c r="C493" s="5" t="n">
        <v>34493</v>
      </c>
      <c r="D493" s="5" t="n">
        <f aca="false">AVERAGE(C487:C493)</f>
        <v>53275.8571428571</v>
      </c>
      <c r="E493" s="5" t="n">
        <f aca="false">AVERAGE(C464:C493)</f>
        <v>57135.8333333333</v>
      </c>
      <c r="F493" s="4" t="s">
        <v>50</v>
      </c>
    </row>
    <row r="494" customFormat="false" ht="15" hidden="false" customHeight="true" outlineLevel="0" collapsed="false">
      <c r="A494" s="15" t="n">
        <v>46016</v>
      </c>
      <c r="B494" s="4" t="s">
        <v>49</v>
      </c>
      <c r="C494" s="5" t="n">
        <v>34937</v>
      </c>
      <c r="D494" s="5" t="n">
        <f aca="false">AVERAGE(C488:C494)</f>
        <v>47292.7142857143</v>
      </c>
      <c r="E494" s="5" t="n">
        <f aca="false">AVERAGE(C465:C494)</f>
        <v>56168.1333333333</v>
      </c>
      <c r="F494" s="4" t="s">
        <v>50</v>
      </c>
    </row>
    <row r="495" customFormat="false" ht="15" hidden="false" customHeight="true" outlineLevel="0" collapsed="false">
      <c r="A495" s="15" t="n">
        <v>46017</v>
      </c>
      <c r="B495" s="4" t="s">
        <v>54</v>
      </c>
      <c r="C495" s="5" t="n">
        <v>27962</v>
      </c>
      <c r="D495" s="5" t="n">
        <f aca="false">AVERAGE(C489:C495)</f>
        <v>46832.1428571429</v>
      </c>
      <c r="E495" s="5" t="n">
        <f aca="false">AVERAGE(C466:C495)</f>
        <v>54884.0666666667</v>
      </c>
      <c r="F495" s="4" t="s">
        <v>50</v>
      </c>
    </row>
    <row r="496" customFormat="false" ht="15" hidden="false" customHeight="true" outlineLevel="0" collapsed="false">
      <c r="A496" s="15" t="n">
        <v>46018</v>
      </c>
      <c r="B496" s="4" t="s">
        <v>56</v>
      </c>
      <c r="C496" s="5" t="n">
        <v>31815</v>
      </c>
      <c r="D496" s="5" t="n">
        <f aca="false">AVERAGE(C490:C496)</f>
        <v>46679.1428571429</v>
      </c>
      <c r="E496" s="5" t="n">
        <f aca="false">AVERAGE(C467:C496)</f>
        <v>54543.9</v>
      </c>
      <c r="F496" s="4" t="s">
        <v>57</v>
      </c>
    </row>
    <row r="497" customFormat="false" ht="15" hidden="false" customHeight="true" outlineLevel="0" collapsed="false">
      <c r="A497" s="15" t="n">
        <v>46019</v>
      </c>
      <c r="B497" s="4" t="s">
        <v>59</v>
      </c>
      <c r="C497" s="5" t="n">
        <v>71077</v>
      </c>
      <c r="D497" s="5" t="n">
        <f aca="false">AVERAGE(C491:C497)</f>
        <v>48028.8571428571</v>
      </c>
      <c r="E497" s="5" t="n">
        <f aca="false">AVERAGE(C468:C497)</f>
        <v>56304.9</v>
      </c>
      <c r="F497" s="4" t="s">
        <v>57</v>
      </c>
    </row>
    <row r="498" customFormat="false" ht="15" hidden="false" customHeight="true" outlineLevel="0" collapsed="false">
      <c r="A498" s="15" t="n">
        <v>46020</v>
      </c>
      <c r="B498" s="4" t="s">
        <v>55</v>
      </c>
      <c r="C498" s="5" t="n">
        <v>65790</v>
      </c>
      <c r="D498" s="5" t="n">
        <f aca="false">AVERAGE(C492:C498)</f>
        <v>47685.7142857143</v>
      </c>
      <c r="E498" s="5" t="n">
        <f aca="false">AVERAGE(C469:C498)</f>
        <v>57535.6333333333</v>
      </c>
      <c r="F498" s="4" t="s">
        <v>50</v>
      </c>
    </row>
    <row r="499" customFormat="false" ht="15" hidden="false" customHeight="true" outlineLevel="0" collapsed="false">
      <c r="A499" s="15" t="n">
        <v>46021</v>
      </c>
      <c r="B499" s="4" t="s">
        <v>58</v>
      </c>
      <c r="C499" s="5" t="n">
        <v>72383</v>
      </c>
      <c r="D499" s="5" t="n">
        <f aca="false">AVERAGE(C493:C499)</f>
        <v>48351</v>
      </c>
      <c r="E499" s="5" t="n">
        <f aca="false">AVERAGE(C470:C499)</f>
        <v>58010.7333333333</v>
      </c>
      <c r="F499" s="4" t="s">
        <v>50</v>
      </c>
    </row>
    <row r="500" customFormat="false" ht="15" hidden="false" customHeight="true" outlineLevel="0" collapsed="false">
      <c r="A500" s="15" t="n">
        <v>46022</v>
      </c>
      <c r="B500" s="4" t="s">
        <v>60</v>
      </c>
      <c r="C500" s="5" t="n">
        <v>33118</v>
      </c>
      <c r="D500" s="5" t="n">
        <f aca="false">AVERAGE(C494:C500)</f>
        <v>48154.5714285714</v>
      </c>
      <c r="E500" s="5" t="n">
        <f aca="false">AVERAGE(C471:C500)</f>
        <v>57190.6666666667</v>
      </c>
      <c r="F500" s="4" t="s">
        <v>50</v>
      </c>
    </row>
    <row r="501" customFormat="false" ht="15" hidden="false" customHeight="true" outlineLevel="0" collapsed="false">
      <c r="A501" s="15" t="n">
        <v>46023</v>
      </c>
      <c r="B501" s="4" t="s">
        <v>49</v>
      </c>
      <c r="C501" s="5" t="n">
        <v>37015</v>
      </c>
      <c r="D501" s="5" t="n">
        <f aca="false">AVERAGE(C495:C501)</f>
        <v>48451.4285714286</v>
      </c>
      <c r="E501" s="5" t="n">
        <f aca="false">AVERAGE(C472:C501)</f>
        <v>56045.1333333333</v>
      </c>
      <c r="F501" s="4" t="s">
        <v>50</v>
      </c>
    </row>
    <row r="502" customFormat="false" ht="15" hidden="false" customHeight="true" outlineLevel="0" collapsed="false">
      <c r="A502" s="15" t="n">
        <v>46024</v>
      </c>
      <c r="B502" s="4" t="s">
        <v>54</v>
      </c>
      <c r="C502" s="5" t="n">
        <v>42507</v>
      </c>
      <c r="D502" s="5" t="n">
        <f aca="false">AVERAGE(C496:C502)</f>
        <v>50529.2857142857</v>
      </c>
      <c r="E502" s="5" t="n">
        <f aca="false">AVERAGE(C473:C502)</f>
        <v>55000.1333333333</v>
      </c>
      <c r="F502" s="4" t="s">
        <v>50</v>
      </c>
    </row>
    <row r="503" customFormat="false" ht="15" hidden="false" customHeight="true" outlineLevel="0" collapsed="false">
      <c r="A503" s="15" t="n">
        <v>46025</v>
      </c>
      <c r="B503" s="4" t="s">
        <v>56</v>
      </c>
      <c r="C503" s="5" t="n">
        <v>28874</v>
      </c>
      <c r="D503" s="5" t="n">
        <f aca="false">AVERAGE(C497:C503)</f>
        <v>50109.1428571429</v>
      </c>
      <c r="E503" s="5" t="n">
        <f aca="false">AVERAGE(C474:C503)</f>
        <v>53398.8666666667</v>
      </c>
      <c r="F503" s="4" t="s">
        <v>57</v>
      </c>
    </row>
    <row r="504" customFormat="false" ht="15" hidden="false" customHeight="true" outlineLevel="0" collapsed="false">
      <c r="A504" s="15" t="n">
        <v>46026</v>
      </c>
      <c r="B504" s="4" t="s">
        <v>59</v>
      </c>
      <c r="C504" s="5" t="n">
        <v>67069</v>
      </c>
      <c r="D504" s="5" t="n">
        <f aca="false">AVERAGE(C498:C504)</f>
        <v>49536.5714285714</v>
      </c>
      <c r="E504" s="5" t="n">
        <f aca="false">AVERAGE(C475:C504)</f>
        <v>54379.3666666667</v>
      </c>
      <c r="F504" s="4" t="s">
        <v>57</v>
      </c>
    </row>
    <row r="505" customFormat="false" ht="15" hidden="false" customHeight="true" outlineLevel="0" collapsed="false">
      <c r="A505" s="15" t="n">
        <v>46027</v>
      </c>
      <c r="B505" s="4" t="s">
        <v>55</v>
      </c>
      <c r="C505" s="5" t="n">
        <v>77350</v>
      </c>
      <c r="D505" s="5" t="n">
        <f aca="false">AVERAGE(C499:C505)</f>
        <v>51188</v>
      </c>
      <c r="E505" s="5" t="n">
        <f aca="false">AVERAGE(C476:C505)</f>
        <v>56024.7</v>
      </c>
      <c r="F505" s="4" t="s">
        <v>50</v>
      </c>
    </row>
    <row r="506" customFormat="false" ht="15" hidden="false" customHeight="true" outlineLevel="0" collapsed="false">
      <c r="A506" s="15" t="n">
        <v>46028</v>
      </c>
      <c r="B506" s="4" t="s">
        <v>58</v>
      </c>
      <c r="C506" s="5" t="n">
        <v>79484</v>
      </c>
      <c r="D506" s="5" t="n">
        <f aca="false">AVERAGE(C500:C506)</f>
        <v>52202.4285714286</v>
      </c>
      <c r="E506" s="5" t="n">
        <f aca="false">AVERAGE(C477:C506)</f>
        <v>56539.4</v>
      </c>
      <c r="F506" s="4" t="s">
        <v>50</v>
      </c>
    </row>
    <row r="507" customFormat="false" ht="15" hidden="false" customHeight="true" outlineLevel="0" collapsed="false">
      <c r="A507" s="15" t="n">
        <v>46029</v>
      </c>
      <c r="B507" s="4" t="s">
        <v>60</v>
      </c>
      <c r="C507" s="5" t="n">
        <v>78536</v>
      </c>
      <c r="D507" s="5" t="n">
        <f aca="false">AVERAGE(C501:C507)</f>
        <v>58690.7142857143</v>
      </c>
      <c r="E507" s="5" t="n">
        <f aca="false">AVERAGE(C478:C507)</f>
        <v>56546.1666666667</v>
      </c>
      <c r="F507" s="4" t="s">
        <v>50</v>
      </c>
    </row>
    <row r="508" customFormat="false" ht="15" hidden="false" customHeight="true" outlineLevel="0" collapsed="false">
      <c r="A508" s="15" t="n">
        <v>46030</v>
      </c>
      <c r="B508" s="4" t="s">
        <v>49</v>
      </c>
      <c r="C508" s="5" t="n">
        <v>75586</v>
      </c>
      <c r="D508" s="5" t="n">
        <f aca="false">AVERAGE(C502:C508)</f>
        <v>64200.8571428571</v>
      </c>
      <c r="E508" s="5" t="n">
        <f aca="false">AVERAGE(C479:C508)</f>
        <v>56469.6333333333</v>
      </c>
      <c r="F508" s="4" t="s">
        <v>50</v>
      </c>
    </row>
    <row r="509" customFormat="false" ht="15" hidden="false" customHeight="true" outlineLevel="0" collapsed="false">
      <c r="A509" s="15" t="n">
        <v>46031</v>
      </c>
      <c r="B509" s="4" t="s">
        <v>54</v>
      </c>
      <c r="C509" s="5" t="n">
        <v>50607</v>
      </c>
      <c r="D509" s="5" t="n">
        <f aca="false">AVERAGE(C503:C509)</f>
        <v>65358</v>
      </c>
      <c r="E509" s="5" t="n">
        <f aca="false">AVERAGE(C480:C509)</f>
        <v>55736.7</v>
      </c>
      <c r="F509" s="4" t="s">
        <v>50</v>
      </c>
    </row>
    <row r="510" customFormat="false" ht="15" hidden="false" customHeight="true" outlineLevel="0" collapsed="false">
      <c r="A510" s="15" t="n">
        <v>46032</v>
      </c>
      <c r="B510" s="4" t="s">
        <v>56</v>
      </c>
      <c r="C510" s="5" t="n">
        <v>25103</v>
      </c>
      <c r="D510" s="5" t="n">
        <f aca="false">AVERAGE(C504:C510)</f>
        <v>64819.2857142857</v>
      </c>
      <c r="E510" s="5" t="n">
        <f aca="false">AVERAGE(C481:C510)</f>
        <v>54178.9</v>
      </c>
      <c r="F510" s="4" t="s">
        <v>57</v>
      </c>
    </row>
    <row r="511" customFormat="false" ht="15" hidden="false" customHeight="true" outlineLevel="0" collapsed="false">
      <c r="A511" s="15" t="n">
        <v>46033</v>
      </c>
      <c r="B511" s="4" t="s">
        <v>59</v>
      </c>
      <c r="C511" s="5" t="n">
        <v>67585</v>
      </c>
      <c r="D511" s="5" t="n">
        <f aca="false">AVERAGE(C505:C511)</f>
        <v>64893</v>
      </c>
      <c r="E511" s="5" t="n">
        <f aca="false">AVERAGE(C482:C511)</f>
        <v>55187</v>
      </c>
      <c r="F511" s="4" t="s">
        <v>57</v>
      </c>
    </row>
    <row r="512" customFormat="false" ht="15" hidden="false" customHeight="true" outlineLevel="0" collapsed="false">
      <c r="A512" s="15" t="n">
        <v>46034</v>
      </c>
      <c r="B512" s="4" t="s">
        <v>55</v>
      </c>
      <c r="C512" s="5" t="n">
        <v>67282</v>
      </c>
      <c r="D512" s="5" t="n">
        <f aca="false">AVERAGE(C506:C512)</f>
        <v>63454.7142857143</v>
      </c>
      <c r="E512" s="5" t="n">
        <f aca="false">AVERAGE(C483:C512)</f>
        <v>56532.1333333333</v>
      </c>
      <c r="F512" s="4" t="s">
        <v>50</v>
      </c>
    </row>
    <row r="513" customFormat="false" ht="15" hidden="false" customHeight="true" outlineLevel="0" collapsed="false">
      <c r="A513" s="15" t="n">
        <v>46035</v>
      </c>
      <c r="B513" s="4" t="s">
        <v>58</v>
      </c>
      <c r="C513" s="5" t="n">
        <v>77192</v>
      </c>
      <c r="D513" s="5" t="n">
        <f aca="false">AVERAGE(C507:C513)</f>
        <v>63127.2857142857</v>
      </c>
      <c r="E513" s="5" t="n">
        <f aca="false">AVERAGE(C484:C513)</f>
        <v>56765.7666666667</v>
      </c>
      <c r="F513" s="4" t="s">
        <v>50</v>
      </c>
    </row>
    <row r="514" customFormat="false" ht="15" hidden="false" customHeight="true" outlineLevel="0" collapsed="false">
      <c r="A514" s="15" t="n">
        <v>46036</v>
      </c>
      <c r="B514" s="4" t="s">
        <v>60</v>
      </c>
      <c r="C514" s="5" t="n">
        <v>71509</v>
      </c>
      <c r="D514" s="5" t="n">
        <f aca="false">AVERAGE(C508:C514)</f>
        <v>62123.4285714286</v>
      </c>
      <c r="E514" s="5" t="n">
        <f aca="false">AVERAGE(C485:C514)</f>
        <v>56797.5</v>
      </c>
      <c r="F514" s="4" t="s">
        <v>50</v>
      </c>
    </row>
    <row r="515" customFormat="false" ht="15" hidden="false" customHeight="true" outlineLevel="0" collapsed="false">
      <c r="A515" s="15" t="n">
        <v>46037</v>
      </c>
      <c r="B515" s="4" t="s">
        <v>49</v>
      </c>
      <c r="C515" s="5" t="n">
        <v>73171</v>
      </c>
      <c r="D515" s="5" t="n">
        <f aca="false">AVERAGE(C509:C515)</f>
        <v>61778.4285714286</v>
      </c>
      <c r="E515" s="5" t="n">
        <f aca="false">AVERAGE(C486:C515)</f>
        <v>56770.1</v>
      </c>
      <c r="F515" s="4" t="s">
        <v>50</v>
      </c>
    </row>
    <row r="516" customFormat="false" ht="15" hidden="false" customHeight="true" outlineLevel="0" collapsed="false">
      <c r="A516" s="15" t="n">
        <v>46038</v>
      </c>
      <c r="B516" s="4" t="s">
        <v>54</v>
      </c>
      <c r="C516" s="5" t="n">
        <v>36542</v>
      </c>
      <c r="D516" s="5" t="n">
        <f aca="false">AVERAGE(C510:C516)</f>
        <v>59769.1428571429</v>
      </c>
      <c r="E516" s="5" t="n">
        <f aca="false">AVERAGE(C487:C516)</f>
        <v>55514.1666666667</v>
      </c>
      <c r="F516" s="4" t="s">
        <v>50</v>
      </c>
    </row>
    <row r="517" customFormat="false" ht="15" hidden="false" customHeight="true" outlineLevel="0" collapsed="false">
      <c r="A517" s="15" t="n">
        <v>46039</v>
      </c>
      <c r="B517" s="4" t="s">
        <v>56</v>
      </c>
      <c r="C517" s="5" t="n">
        <v>34056</v>
      </c>
      <c r="D517" s="5" t="n">
        <f aca="false">AVERAGE(C511:C517)</f>
        <v>61048.1428571429</v>
      </c>
      <c r="E517" s="5" t="n">
        <f aca="false">AVERAGE(C488:C517)</f>
        <v>54088.7333333333</v>
      </c>
      <c r="F517" s="4" t="s">
        <v>57</v>
      </c>
    </row>
    <row r="518" customFormat="false" ht="15" hidden="false" customHeight="true" outlineLevel="0" collapsed="false">
      <c r="A518" s="15" t="n">
        <v>46040</v>
      </c>
      <c r="B518" s="4" t="s">
        <v>59</v>
      </c>
      <c r="C518" s="5" t="n">
        <v>65670</v>
      </c>
      <c r="D518" s="5" t="n">
        <f aca="false">AVERAGE(C512:C518)</f>
        <v>60774.5714285714</v>
      </c>
      <c r="E518" s="5" t="n">
        <f aca="false">AVERAGE(C489:C518)</f>
        <v>55238.2</v>
      </c>
      <c r="F518" s="4" t="s">
        <v>57</v>
      </c>
    </row>
    <row r="519" customFormat="false" ht="15" hidden="false" customHeight="true" outlineLevel="0" collapsed="false">
      <c r="A519" s="15" t="n">
        <v>46041</v>
      </c>
      <c r="B519" s="4" t="s">
        <v>55</v>
      </c>
      <c r="C519" s="5" t="n">
        <v>69985</v>
      </c>
      <c r="D519" s="5" t="n">
        <f aca="false">AVERAGE(C513:C519)</f>
        <v>61160.7142857143</v>
      </c>
      <c r="E519" s="5" t="n">
        <f aca="false">AVERAGE(C490:C519)</f>
        <v>56474.8333333333</v>
      </c>
      <c r="F519" s="4" t="s">
        <v>50</v>
      </c>
    </row>
    <row r="520" customFormat="false" ht="15" hidden="false" customHeight="true" outlineLevel="0" collapsed="false">
      <c r="A520" s="15" t="n">
        <v>46042</v>
      </c>
      <c r="B520" s="4" t="s">
        <v>58</v>
      </c>
      <c r="C520" s="5" t="n">
        <v>74652</v>
      </c>
      <c r="D520" s="5" t="n">
        <f aca="false">AVERAGE(C514:C520)</f>
        <v>60797.8571428571</v>
      </c>
      <c r="E520" s="5" t="n">
        <f aca="false">AVERAGE(C491:C520)</f>
        <v>56908.9333333333</v>
      </c>
      <c r="F520" s="4" t="s">
        <v>50</v>
      </c>
    </row>
    <row r="521" customFormat="false" ht="15" hidden="false" customHeight="true" outlineLevel="0" collapsed="false">
      <c r="A521" s="15" t="n">
        <v>46043</v>
      </c>
      <c r="B521" s="4" t="s">
        <v>60</v>
      </c>
      <c r="C521" s="5" t="n">
        <v>68766</v>
      </c>
      <c r="D521" s="5" t="n">
        <f aca="false">AVERAGE(C515:C521)</f>
        <v>60406</v>
      </c>
      <c r="E521" s="5" t="n">
        <f aca="false">AVERAGE(C492:C521)</f>
        <v>56928.0666666667</v>
      </c>
      <c r="F521" s="4" t="s">
        <v>50</v>
      </c>
    </row>
    <row r="522" customFormat="false" ht="15" hidden="false" customHeight="true" outlineLevel="0" collapsed="false">
      <c r="A522" s="15" t="n">
        <v>46044</v>
      </c>
      <c r="B522" s="4" t="s">
        <v>49</v>
      </c>
      <c r="C522" s="5" t="n">
        <v>71955</v>
      </c>
      <c r="D522" s="5" t="n">
        <f aca="false">AVERAGE(C516:C522)</f>
        <v>60232.2857142857</v>
      </c>
      <c r="E522" s="5" t="n">
        <f aca="false">AVERAGE(C493:C522)</f>
        <v>57069.0333333333</v>
      </c>
      <c r="F522" s="4" t="s">
        <v>50</v>
      </c>
    </row>
    <row r="523" customFormat="false" ht="15" hidden="false" customHeight="true" outlineLevel="0" collapsed="false">
      <c r="A523" s="15" t="n">
        <v>46045</v>
      </c>
      <c r="B523" s="4" t="s">
        <v>54</v>
      </c>
      <c r="C523" s="5" t="n">
        <v>34038</v>
      </c>
      <c r="D523" s="5" t="n">
        <f aca="false">AVERAGE(C517:C523)</f>
        <v>59874.5714285714</v>
      </c>
      <c r="E523" s="5" t="n">
        <f aca="false">AVERAGE(C494:C523)</f>
        <v>57053.8666666667</v>
      </c>
      <c r="F523" s="4" t="s">
        <v>50</v>
      </c>
    </row>
    <row r="524" customFormat="false" ht="15" hidden="false" customHeight="true" outlineLevel="0" collapsed="false">
      <c r="A524" s="15" t="n">
        <v>46046</v>
      </c>
      <c r="B524" s="4" t="s">
        <v>56</v>
      </c>
      <c r="C524" s="5" t="n">
        <v>30881</v>
      </c>
      <c r="D524" s="5" t="n">
        <f aca="false">AVERAGE(C518:C524)</f>
        <v>59421</v>
      </c>
      <c r="E524" s="5" t="n">
        <f aca="false">AVERAGE(C495:C524)</f>
        <v>56918.6666666667</v>
      </c>
      <c r="F524" s="4" t="s">
        <v>57</v>
      </c>
    </row>
    <row r="525" customFormat="false" ht="15" hidden="false" customHeight="true" outlineLevel="0" collapsed="false">
      <c r="A525" s="15" t="n">
        <v>46047</v>
      </c>
      <c r="B525" s="4" t="s">
        <v>59</v>
      </c>
      <c r="C525" s="5" t="n">
        <v>62701</v>
      </c>
      <c r="D525" s="5" t="n">
        <f aca="false">AVERAGE(C519:C525)</f>
        <v>58996.8571428571</v>
      </c>
      <c r="E525" s="5" t="n">
        <f aca="false">AVERAGE(C496:C525)</f>
        <v>58076.6333333333</v>
      </c>
      <c r="F525" s="4" t="s">
        <v>57</v>
      </c>
    </row>
    <row r="526" customFormat="false" ht="15" hidden="false" customHeight="true" outlineLevel="0" collapsed="false">
      <c r="A526" s="15" t="n">
        <v>46048</v>
      </c>
      <c r="B526" s="4" t="s">
        <v>55</v>
      </c>
      <c r="C526" s="5" t="n">
        <v>67022</v>
      </c>
      <c r="D526" s="5" t="n">
        <f aca="false">AVERAGE(C520:C526)</f>
        <v>58573.5714285714</v>
      </c>
      <c r="E526" s="5" t="n">
        <f aca="false">AVERAGE(C497:C526)</f>
        <v>59250.2</v>
      </c>
      <c r="F526" s="4" t="s">
        <v>50</v>
      </c>
    </row>
    <row r="527" customFormat="false" ht="15" hidden="false" customHeight="true" outlineLevel="0" collapsed="false">
      <c r="A527" s="15" t="n">
        <v>46049</v>
      </c>
      <c r="B527" s="4" t="s">
        <v>58</v>
      </c>
      <c r="C527" s="5" t="n">
        <v>71355</v>
      </c>
      <c r="D527" s="5" t="n">
        <f aca="false">AVERAGE(C521:C527)</f>
        <v>58102.5714285714</v>
      </c>
      <c r="E527" s="5" t="n">
        <f aca="false">AVERAGE(C498:C527)</f>
        <v>59259.4666666667</v>
      </c>
      <c r="F527" s="4" t="s">
        <v>50</v>
      </c>
    </row>
    <row r="528" customFormat="false" ht="15" hidden="false" customHeight="true" outlineLevel="0" collapsed="false">
      <c r="A528" s="15" t="n">
        <v>46050</v>
      </c>
      <c r="B528" s="4" t="s">
        <v>60</v>
      </c>
      <c r="C528" s="5" t="n">
        <v>69509</v>
      </c>
      <c r="D528" s="5" t="n">
        <f aca="false">AVERAGE(C522:C528)</f>
        <v>58208.7142857143</v>
      </c>
      <c r="E528" s="5" t="n">
        <f aca="false">AVERAGE(C499:C528)</f>
        <v>59383.4333333333</v>
      </c>
      <c r="F528" s="4" t="s">
        <v>50</v>
      </c>
    </row>
    <row r="529" customFormat="false" ht="15" hidden="false" customHeight="true" outlineLevel="0" collapsed="false">
      <c r="A529" s="15" t="n">
        <v>46051</v>
      </c>
      <c r="B529" s="4" t="s">
        <v>49</v>
      </c>
      <c r="C529" s="5" t="n">
        <v>71767</v>
      </c>
      <c r="D529" s="5" t="n">
        <f aca="false">AVERAGE(C523:C529)</f>
        <v>58181.8571428571</v>
      </c>
      <c r="E529" s="5" t="n">
        <f aca="false">AVERAGE(C500:C529)</f>
        <v>59362.9</v>
      </c>
      <c r="F529" s="4" t="s">
        <v>50</v>
      </c>
    </row>
    <row r="530" customFormat="false" ht="15" hidden="false" customHeight="true" outlineLevel="0" collapsed="false">
      <c r="A530" s="15" t="n">
        <v>46052</v>
      </c>
      <c r="B530" s="4" t="s">
        <v>54</v>
      </c>
      <c r="C530" s="5" t="n">
        <v>31467</v>
      </c>
      <c r="D530" s="5" t="n">
        <f aca="false">AVERAGE(C524:C530)</f>
        <v>57814.5714285714</v>
      </c>
      <c r="E530" s="5" t="n">
        <f aca="false">AVERAGE(C501:C530)</f>
        <v>59307.8666666667</v>
      </c>
      <c r="F530" s="4" t="s">
        <v>50</v>
      </c>
    </row>
    <row r="531" customFormat="false" ht="15" hidden="false" customHeight="true" outlineLevel="0" collapsed="false">
      <c r="A531" s="15" t="n">
        <v>46053</v>
      </c>
      <c r="B531" s="4" t="s">
        <v>56</v>
      </c>
      <c r="C531" s="5" t="n">
        <v>26887</v>
      </c>
      <c r="D531" s="5" t="n">
        <f aca="false">AVERAGE(C525:C531)</f>
        <v>57244</v>
      </c>
      <c r="E531" s="5" t="n">
        <f aca="false">AVERAGE(C502:C531)</f>
        <v>58970.2666666667</v>
      </c>
      <c r="F531" s="4" t="s">
        <v>57</v>
      </c>
    </row>
    <row r="532" customFormat="false" ht="15" hidden="false" customHeight="true" outlineLevel="0" collapsed="false">
      <c r="A532" s="15" t="n">
        <v>46054</v>
      </c>
      <c r="B532" s="4" t="s">
        <v>59</v>
      </c>
      <c r="C532" s="5" t="n">
        <v>68844</v>
      </c>
      <c r="D532" s="5" t="n">
        <f aca="false">AVERAGE(C526:C532)</f>
        <v>58121.5714285714</v>
      </c>
      <c r="E532" s="5" t="n">
        <f aca="false">AVERAGE(C503:C532)</f>
        <v>59848.1666666667</v>
      </c>
      <c r="F532" s="4" t="s">
        <v>57</v>
      </c>
    </row>
    <row r="533" customFormat="false" ht="15" hidden="false" customHeight="true" outlineLevel="0" collapsed="false">
      <c r="A533" s="15" t="n">
        <v>46055</v>
      </c>
      <c r="B533" s="4" t="s">
        <v>55</v>
      </c>
      <c r="C533" s="5" t="n">
        <v>71944</v>
      </c>
      <c r="D533" s="5" t="n">
        <f aca="false">AVERAGE(C527:C533)</f>
        <v>58824.7142857143</v>
      </c>
      <c r="E533" s="5" t="n">
        <f aca="false">AVERAGE(C504:C533)</f>
        <v>61283.8333333333</v>
      </c>
      <c r="F533" s="4" t="s">
        <v>50</v>
      </c>
    </row>
    <row r="534" customFormat="false" ht="15" hidden="false" customHeight="true" outlineLevel="0" collapsed="false">
      <c r="A534" s="15" t="n">
        <v>46056</v>
      </c>
      <c r="B534" s="4" t="s">
        <v>58</v>
      </c>
      <c r="C534" s="5" t="n">
        <v>75521</v>
      </c>
      <c r="D534" s="5" t="n">
        <f aca="false">AVERAGE(C528:C534)</f>
        <v>59419.8571428571</v>
      </c>
      <c r="E534" s="5" t="n">
        <f aca="false">AVERAGE(C505:C534)</f>
        <v>61565.5666666667</v>
      </c>
      <c r="F534" s="4" t="s">
        <v>50</v>
      </c>
    </row>
    <row r="535" customFormat="false" ht="15" hidden="false" customHeight="true" outlineLevel="0" collapsed="false">
      <c r="A535" s="15" t="n">
        <v>46057</v>
      </c>
      <c r="B535" s="4" t="s">
        <v>60</v>
      </c>
      <c r="C535" s="5" t="n">
        <v>71633</v>
      </c>
      <c r="D535" s="5" t="n">
        <f aca="false">AVERAGE(C529:C535)</f>
        <v>59723.2857142857</v>
      </c>
      <c r="E535" s="5" t="n">
        <f aca="false">AVERAGE(C506:C535)</f>
        <v>61375</v>
      </c>
      <c r="F535" s="4" t="s">
        <v>50</v>
      </c>
    </row>
    <row r="536" customFormat="false" ht="15" hidden="false" customHeight="true" outlineLevel="0" collapsed="false">
      <c r="A536" s="15" t="n">
        <v>46058</v>
      </c>
      <c r="B536" s="4" t="s">
        <v>49</v>
      </c>
      <c r="C536" s="5" t="n">
        <v>76031</v>
      </c>
      <c r="D536" s="5" t="n">
        <f aca="false">AVERAGE(C530:C536)</f>
        <v>60332.4285714286</v>
      </c>
      <c r="E536" s="5" t="n">
        <f aca="false">AVERAGE(C507:C536)</f>
        <v>61259.9</v>
      </c>
      <c r="F536" s="4" t="s">
        <v>50</v>
      </c>
    </row>
    <row r="537" customFormat="false" ht="15" hidden="false" customHeight="true" outlineLevel="0" collapsed="false">
      <c r="A537" s="15" t="n">
        <v>46059</v>
      </c>
      <c r="B537" s="4" t="s">
        <v>54</v>
      </c>
      <c r="C537" s="5" t="n">
        <v>31769</v>
      </c>
      <c r="D537" s="5" t="n">
        <f aca="false">AVERAGE(C531:C537)</f>
        <v>60375.5714285714</v>
      </c>
      <c r="E537" s="5" t="n">
        <f aca="false">AVERAGE(C508:C537)</f>
        <v>59701</v>
      </c>
      <c r="F537" s="4" t="s">
        <v>50</v>
      </c>
    </row>
    <row r="538" customFormat="false" ht="15" hidden="false" customHeight="true" outlineLevel="0" collapsed="false">
      <c r="A538" s="15" t="n">
        <v>46060</v>
      </c>
      <c r="B538" s="4" t="s">
        <v>56</v>
      </c>
      <c r="C538" s="5" t="n">
        <v>31743</v>
      </c>
      <c r="D538" s="5" t="n">
        <f aca="false">AVERAGE(C532:C538)</f>
        <v>61069.2857142857</v>
      </c>
      <c r="E538" s="5" t="n">
        <f aca="false">AVERAGE(C509:C538)</f>
        <v>58239.5666666667</v>
      </c>
      <c r="F538" s="4" t="s">
        <v>57</v>
      </c>
    </row>
    <row r="539" customFormat="false" ht="15" hidden="false" customHeight="true" outlineLevel="0" collapsed="false">
      <c r="A539" s="15" t="n">
        <v>46061</v>
      </c>
      <c r="B539" s="4" t="s">
        <v>59</v>
      </c>
      <c r="C539" s="5" t="n">
        <v>63628</v>
      </c>
      <c r="D539" s="5" t="n">
        <f aca="false">AVERAGE(C533:C539)</f>
        <v>60324.1428571429</v>
      </c>
      <c r="E539" s="5" t="n">
        <f aca="false">AVERAGE(C510:C539)</f>
        <v>58673.6</v>
      </c>
      <c r="F539" s="4" t="s">
        <v>57</v>
      </c>
    </row>
    <row r="540" customFormat="false" ht="15" hidden="false" customHeight="true" outlineLevel="0" collapsed="false">
      <c r="A540" s="15" t="n">
        <v>46062</v>
      </c>
      <c r="B540" s="4" t="s">
        <v>55</v>
      </c>
      <c r="C540" s="5" t="n">
        <v>62893</v>
      </c>
      <c r="D540" s="5" t="n">
        <f aca="false">AVERAGE(C534:C540)</f>
        <v>59031.1428571429</v>
      </c>
      <c r="E540" s="5" t="n">
        <f aca="false">AVERAGE(C511:C540)</f>
        <v>59933.2666666667</v>
      </c>
      <c r="F540" s="4" t="s">
        <v>50</v>
      </c>
    </row>
    <row r="541" customFormat="false" ht="15" hidden="false" customHeight="true" outlineLevel="0" collapsed="false">
      <c r="A541" s="15" t="n">
        <v>46063</v>
      </c>
      <c r="B541" s="4" t="s">
        <v>58</v>
      </c>
      <c r="C541" s="5" t="n">
        <v>73885</v>
      </c>
      <c r="D541" s="5" t="n">
        <f aca="false">AVERAGE(C535:C541)</f>
        <v>58797.4285714286</v>
      </c>
      <c r="E541" s="5" t="n">
        <f aca="false">AVERAGE(C512:C541)</f>
        <v>60143.2666666667</v>
      </c>
      <c r="F541" s="4" t="s">
        <v>50</v>
      </c>
    </row>
    <row r="542" customFormat="false" ht="15" hidden="false" customHeight="true" outlineLevel="0" collapsed="false">
      <c r="A542" s="15" t="n">
        <v>46064</v>
      </c>
      <c r="B542" s="4" t="s">
        <v>60</v>
      </c>
      <c r="C542" s="5" t="n">
        <v>75022</v>
      </c>
      <c r="D542" s="5" t="n">
        <f aca="false">AVERAGE(C536:C542)</f>
        <v>59281.5714285714</v>
      </c>
      <c r="E542" s="5" t="n">
        <f aca="false">AVERAGE(C513:C542)</f>
        <v>60401.2666666667</v>
      </c>
      <c r="F542" s="4" t="s">
        <v>50</v>
      </c>
    </row>
    <row r="543" customFormat="false" ht="15" hidden="false" customHeight="true" outlineLevel="0" collapsed="false">
      <c r="A543" s="15" t="n">
        <v>46065</v>
      </c>
      <c r="B543" s="4" t="s">
        <v>49</v>
      </c>
      <c r="C543" s="5" t="n">
        <v>69036</v>
      </c>
      <c r="D543" s="5" t="n">
        <f aca="false">AVERAGE(C537:C543)</f>
        <v>58282.2857142857</v>
      </c>
      <c r="E543" s="5" t="n">
        <f aca="false">AVERAGE(C514:C543)</f>
        <v>60129.4</v>
      </c>
      <c r="F543" s="4" t="s">
        <v>50</v>
      </c>
    </row>
    <row r="544" customFormat="false" ht="15" hidden="false" customHeight="true" outlineLevel="0" collapsed="false">
      <c r="A544" s="15" t="n">
        <v>46066</v>
      </c>
      <c r="B544" s="4" t="s">
        <v>54</v>
      </c>
      <c r="C544" s="5" t="n">
        <v>36409</v>
      </c>
      <c r="D544" s="5" t="n">
        <f aca="false">AVERAGE(C538:C544)</f>
        <v>58945.1428571429</v>
      </c>
      <c r="E544" s="5" t="n">
        <f aca="false">AVERAGE(C515:C544)</f>
        <v>58959.4</v>
      </c>
      <c r="F544" s="4" t="s">
        <v>50</v>
      </c>
    </row>
    <row r="545" customFormat="false" ht="15" hidden="false" customHeight="true" outlineLevel="0" collapsed="false">
      <c r="A545" s="15" t="n">
        <v>46067</v>
      </c>
      <c r="B545" s="4" t="s">
        <v>56</v>
      </c>
      <c r="C545" s="5" t="n">
        <v>29966</v>
      </c>
      <c r="D545" s="5" t="n">
        <f aca="false">AVERAGE(C539:C545)</f>
        <v>58691.2857142857</v>
      </c>
      <c r="E545" s="5" t="n">
        <f aca="false">AVERAGE(C516:C545)</f>
        <v>57519.2333333333</v>
      </c>
      <c r="F545" s="4" t="s">
        <v>57</v>
      </c>
    </row>
    <row r="546" customFormat="false" ht="15" hidden="false" customHeight="true" outlineLevel="0" collapsed="false">
      <c r="A546" s="15" t="n">
        <v>46068</v>
      </c>
      <c r="B546" s="4" t="s">
        <v>59</v>
      </c>
      <c r="C546" s="5" t="n">
        <v>62788</v>
      </c>
      <c r="D546" s="5" t="n">
        <f aca="false">AVERAGE(C540:C546)</f>
        <v>58571.2857142857</v>
      </c>
      <c r="E546" s="5" t="n">
        <f aca="false">AVERAGE(C517:C546)</f>
        <v>58394.1</v>
      </c>
      <c r="F546" s="4" t="s">
        <v>57</v>
      </c>
    </row>
    <row r="547" customFormat="false" ht="15" hidden="false" customHeight="true" outlineLevel="0" collapsed="false">
      <c r="A547" s="15" t="n">
        <v>46069</v>
      </c>
      <c r="B547" s="4" t="s">
        <v>55</v>
      </c>
      <c r="C547" s="5" t="n">
        <v>67373</v>
      </c>
      <c r="D547" s="5" t="n">
        <f aca="false">AVERAGE(C541:C547)</f>
        <v>59211.2857142857</v>
      </c>
      <c r="E547" s="5" t="n">
        <f aca="false">AVERAGE(C518:C547)</f>
        <v>59504.6666666667</v>
      </c>
      <c r="F547" s="4" t="s">
        <v>50</v>
      </c>
    </row>
    <row r="548" customFormat="false" ht="15" hidden="false" customHeight="true" outlineLevel="0" collapsed="false">
      <c r="A548" s="15" t="n">
        <v>46070</v>
      </c>
      <c r="B548" s="4" t="s">
        <v>58</v>
      </c>
      <c r="C548" s="5" t="n">
        <v>75221</v>
      </c>
      <c r="D548" s="5" t="n">
        <f aca="false">AVERAGE(C542:C548)</f>
        <v>59402.1428571429</v>
      </c>
      <c r="E548" s="5" t="n">
        <f aca="false">AVERAGE(C519:C548)</f>
        <v>59823.0333333333</v>
      </c>
      <c r="F548" s="4" t="s">
        <v>50</v>
      </c>
    </row>
    <row r="549" customFormat="false" ht="15" hidden="false" customHeight="true" outlineLevel="0" collapsed="false">
      <c r="A549" s="15" t="n">
        <v>46071</v>
      </c>
      <c r="B549" s="4" t="s">
        <v>60</v>
      </c>
      <c r="C549" s="5" t="n">
        <v>71394</v>
      </c>
      <c r="D549" s="5" t="n">
        <f aca="false">AVERAGE(C543:C549)</f>
        <v>58883.8571428571</v>
      </c>
      <c r="E549" s="5" t="n">
        <f aca="false">AVERAGE(C520:C549)</f>
        <v>59870</v>
      </c>
      <c r="F549" s="4" t="s">
        <v>50</v>
      </c>
    </row>
    <row r="550" customFormat="false" ht="15" hidden="false" customHeight="true" outlineLevel="0" collapsed="false">
      <c r="A550" s="15" t="n">
        <v>46072</v>
      </c>
      <c r="B550" s="4" t="s">
        <v>49</v>
      </c>
      <c r="C550" s="5" t="n">
        <v>71867</v>
      </c>
      <c r="D550" s="5" t="n">
        <f aca="false">AVERAGE(C544:C550)</f>
        <v>59288.2857142857</v>
      </c>
      <c r="E550" s="5" t="n">
        <f aca="false">AVERAGE(C521:C550)</f>
        <v>59777.1666666667</v>
      </c>
      <c r="F550" s="4" t="s">
        <v>50</v>
      </c>
    </row>
    <row r="551" customFormat="false" ht="15" hidden="false" customHeight="true" outlineLevel="0" collapsed="false">
      <c r="A551" s="15" t="n">
        <v>46073</v>
      </c>
      <c r="B551" s="4" t="s">
        <v>54</v>
      </c>
      <c r="C551" s="5" t="n">
        <v>35705</v>
      </c>
      <c r="D551" s="5" t="n">
        <f aca="false">AVERAGE(C545:C551)</f>
        <v>59187.7142857143</v>
      </c>
      <c r="E551" s="5" t="n">
        <f aca="false">AVERAGE(C522:C551)</f>
        <v>58675.1333333333</v>
      </c>
      <c r="F551" s="4" t="s">
        <v>50</v>
      </c>
    </row>
    <row r="552" customFormat="false" ht="15" hidden="false" customHeight="true" outlineLevel="0" collapsed="false">
      <c r="A552" s="15" t="n">
        <v>46074</v>
      </c>
      <c r="B552" s="4" t="s">
        <v>56</v>
      </c>
      <c r="C552" s="5" t="n">
        <v>30952</v>
      </c>
      <c r="D552" s="5" t="n">
        <f aca="false">AVERAGE(C546:C552)</f>
        <v>59328.5714285714</v>
      </c>
      <c r="E552" s="5" t="n">
        <f aca="false">AVERAGE(C523:C552)</f>
        <v>57308.3666666667</v>
      </c>
      <c r="F552" s="4" t="s">
        <v>57</v>
      </c>
    </row>
    <row r="553" customFormat="false" ht="15" hidden="false" customHeight="true" outlineLevel="0" collapsed="false">
      <c r="A553" s="15" t="n">
        <v>46075</v>
      </c>
      <c r="B553" s="4" t="s">
        <v>59</v>
      </c>
      <c r="C553" s="5" t="n">
        <v>64483</v>
      </c>
      <c r="D553" s="5" t="n">
        <f aca="false">AVERAGE(C547:C553)</f>
        <v>59570.7142857143</v>
      </c>
      <c r="E553" s="5" t="n">
        <f aca="false">AVERAGE(C524:C553)</f>
        <v>58323.2</v>
      </c>
      <c r="F553" s="4" t="s">
        <v>57</v>
      </c>
    </row>
    <row r="554" customFormat="false" ht="15" hidden="false" customHeight="true" outlineLevel="0" collapsed="false">
      <c r="A554" s="15" t="n">
        <v>46076</v>
      </c>
      <c r="B554" s="4" t="s">
        <v>55</v>
      </c>
      <c r="C554" s="5" t="n">
        <v>62945</v>
      </c>
      <c r="D554" s="5" t="n">
        <f aca="false">AVERAGE(C548:C554)</f>
        <v>58938.1428571429</v>
      </c>
      <c r="E554" s="5" t="n">
        <f aca="false">AVERAGE(C525:C554)</f>
        <v>59392</v>
      </c>
      <c r="F554" s="4" t="s">
        <v>50</v>
      </c>
    </row>
    <row r="555" customFormat="false" ht="15" hidden="false" customHeight="true" outlineLevel="0" collapsed="false">
      <c r="A555" s="15" t="n">
        <v>46077</v>
      </c>
      <c r="B555" s="4" t="s">
        <v>58</v>
      </c>
      <c r="C555" s="5" t="n">
        <v>75446</v>
      </c>
      <c r="D555" s="5" t="n">
        <f aca="false">AVERAGE(C549:C555)</f>
        <v>58970.2857142857</v>
      </c>
      <c r="E555" s="5" t="n">
        <f aca="false">AVERAGE(C526:C555)</f>
        <v>59816.8333333333</v>
      </c>
      <c r="F555" s="4" t="s">
        <v>50</v>
      </c>
    </row>
    <row r="556" customFormat="false" ht="15" hidden="false" customHeight="true" outlineLevel="0" collapsed="false">
      <c r="A556" s="15" t="n">
        <v>46078</v>
      </c>
      <c r="B556" s="4" t="s">
        <v>60</v>
      </c>
      <c r="C556" s="5" t="n">
        <v>72371</v>
      </c>
      <c r="D556" s="5" t="n">
        <f aca="false">AVERAGE(C550:C556)</f>
        <v>59109.8571428571</v>
      </c>
      <c r="E556" s="5" t="n">
        <f aca="false">AVERAGE(C527:C556)</f>
        <v>59995.1333333333</v>
      </c>
      <c r="F556" s="4" t="s">
        <v>50</v>
      </c>
    </row>
    <row r="557" customFormat="false" ht="15" hidden="false" customHeight="true" outlineLevel="0" collapsed="false">
      <c r="A557" s="15" t="n">
        <v>46079</v>
      </c>
      <c r="B557" s="4" t="s">
        <v>49</v>
      </c>
      <c r="C557" s="5" t="n">
        <v>17319</v>
      </c>
      <c r="D557" s="5" t="n">
        <f aca="false">AVERAGE(C551:C557)</f>
        <v>51317.2857142857</v>
      </c>
      <c r="E557" s="5" t="n">
        <f aca="false">AVERAGE(C528:C557)</f>
        <v>58193.9333333333</v>
      </c>
      <c r="F557" s="4" t="s">
        <v>50</v>
      </c>
    </row>
  </sheetData>
  <mergeCells count="3">
    <mergeCell ref="A1:F1"/>
    <mergeCell ref="H3:J3"/>
    <mergeCell ref="H18:J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tru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24"/>
    <col collapsed="false" customWidth="true" hidden="false" outlineLevel="0" max="5" min="5" style="1" width="28"/>
    <col collapsed="false" customWidth="true" hidden="false" outlineLevel="0" max="6" min="6" style="1" width="22"/>
    <col collapsed="false" customWidth="true" hidden="false" outlineLevel="0" max="7" min="7" style="1" width="24"/>
    <col collapsed="false" customWidth="true" hidden="false" outlineLevel="0" max="8" min="8" style="1" width="20"/>
    <col collapsed="false" customWidth="true" hidden="false" outlineLevel="0" max="9" min="9" style="1" width="14"/>
  </cols>
  <sheetData>
    <row r="1" customFormat="false" ht="17.25" hidden="false" customHeight="true" outlineLevel="0" collapsed="false">
      <c r="A1" s="2" t="s">
        <v>70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8" t="s">
        <v>71</v>
      </c>
    </row>
    <row r="4" customFormat="false" ht="15" hidden="false" customHeight="true" outlineLevel="0" collapsed="false">
      <c r="A4" s="9" t="s">
        <v>72</v>
      </c>
      <c r="B4" s="16" t="n">
        <v>1806123</v>
      </c>
      <c r="C4" s="11" t="s">
        <v>73</v>
      </c>
    </row>
    <row r="5" customFormat="false" ht="15" hidden="false" customHeight="true" outlineLevel="0" collapsed="false">
      <c r="A5" s="9" t="s">
        <v>74</v>
      </c>
      <c r="B5" s="17" t="n">
        <f aca="false">'Monthly Summary'!B27</f>
        <v>0.123216957307874</v>
      </c>
      <c r="C5" s="11" t="s">
        <v>75</v>
      </c>
    </row>
    <row r="6" customFormat="false" ht="15" hidden="false" customHeight="true" outlineLevel="0" collapsed="false">
      <c r="A6" s="9" t="s">
        <v>76</v>
      </c>
      <c r="B6" s="16" t="n">
        <v>28769017</v>
      </c>
      <c r="C6" s="11" t="s">
        <v>73</v>
      </c>
    </row>
    <row r="7" customFormat="false" ht="15" hidden="false" customHeight="true" outlineLevel="0" collapsed="false">
      <c r="A7" s="9" t="s">
        <v>77</v>
      </c>
      <c r="B7" s="16" t="n">
        <v>999</v>
      </c>
      <c r="C7" s="11" t="s">
        <v>78</v>
      </c>
    </row>
    <row r="8" customFormat="false" ht="15" hidden="false" customHeight="true" outlineLevel="0" collapsed="false">
      <c r="A8" s="9" t="s">
        <v>79</v>
      </c>
      <c r="B8" s="16" t="n">
        <v>10000</v>
      </c>
      <c r="C8" s="11" t="s">
        <v>80</v>
      </c>
    </row>
    <row r="9" customFormat="false" ht="15" hidden="false" customHeight="true" outlineLevel="0" collapsed="false">
      <c r="A9" s="9" t="s">
        <v>81</v>
      </c>
      <c r="B9" s="18" t="n">
        <v>3</v>
      </c>
      <c r="C9" s="11" t="s">
        <v>82</v>
      </c>
    </row>
    <row r="10" customFormat="false" ht="15" hidden="false" customHeight="true" outlineLevel="0" collapsed="false">
      <c r="A10" s="9" t="s">
        <v>83</v>
      </c>
      <c r="B10" s="16" t="n">
        <v>365</v>
      </c>
      <c r="C10" s="11" t="s">
        <v>84</v>
      </c>
    </row>
    <row r="11" customFormat="false" ht="15" hidden="false" customHeight="true" outlineLevel="0" collapsed="false">
      <c r="A11" s="9" t="s">
        <v>85</v>
      </c>
      <c r="B11" s="16" t="n">
        <v>20</v>
      </c>
      <c r="C11" s="11" t="s">
        <v>86</v>
      </c>
    </row>
    <row r="14" customFormat="false" ht="15" hidden="false" customHeight="true" outlineLevel="0" collapsed="false">
      <c r="A14" s="8" t="s">
        <v>87</v>
      </c>
    </row>
    <row r="15" customFormat="false" ht="15" hidden="false" customHeight="true" outlineLevel="0" collapsed="false">
      <c r="A15" s="3" t="s">
        <v>6</v>
      </c>
      <c r="B15" s="3" t="s">
        <v>88</v>
      </c>
      <c r="C15" s="3" t="s">
        <v>89</v>
      </c>
      <c r="D15" s="3" t="s">
        <v>90</v>
      </c>
      <c r="E15" s="3" t="s">
        <v>91</v>
      </c>
      <c r="F15" s="3" t="s">
        <v>92</v>
      </c>
      <c r="G15" s="3" t="s">
        <v>93</v>
      </c>
      <c r="H15" s="3" t="s">
        <v>37</v>
      </c>
      <c r="I15" s="3" t="s">
        <v>94</v>
      </c>
    </row>
    <row r="16" customFormat="false" ht="15" hidden="false" customHeight="true" outlineLevel="0" collapsed="false">
      <c r="A16" s="4" t="s">
        <v>95</v>
      </c>
      <c r="B16" s="5" t="n">
        <f aca="false">$B$4*(1+$B$5)^2</f>
        <v>2278634.27653921</v>
      </c>
      <c r="C16" s="5" t="n">
        <f aca="false">$B$6+B16</f>
        <v>31047651.2765392</v>
      </c>
      <c r="D16" s="5" t="n">
        <f aca="false">$B$4*(1+$B$5)^-10</f>
        <v>565081.135240944</v>
      </c>
      <c r="E16" s="5" t="n">
        <f aca="false">D16*$B$11</f>
        <v>11301622.7048189</v>
      </c>
      <c r="F16" s="5" t="n">
        <f aca="false">CEILING(D16/$B$8,1)</f>
        <v>57</v>
      </c>
      <c r="G16" s="10" t="n">
        <f aca="false">F16*$B$9/3600</f>
        <v>0.0475</v>
      </c>
      <c r="H16" s="10" t="n">
        <f aca="false">C16*$B$7/1024/1024/1024</f>
        <v>28.8864631441074</v>
      </c>
      <c r="I16" s="4" t="str">
        <f aca="false">IF(G16&gt;8,"CRITICAL",IF(G16&gt;4,"WARNING","OK"))</f>
        <v>OK</v>
      </c>
    </row>
    <row r="17" customFormat="false" ht="15" hidden="false" customHeight="true" outlineLevel="0" collapsed="false">
      <c r="A17" s="4" t="s">
        <v>96</v>
      </c>
      <c r="B17" s="5" t="n">
        <f aca="false">$B$4*(1+$B$5)^3</f>
        <v>2559400.6589118</v>
      </c>
      <c r="C17" s="5" t="n">
        <f aca="false">C16+B17</f>
        <v>33607051.935451</v>
      </c>
      <c r="D17" s="5" t="n">
        <f aca="false">$B$4*(1+$B$5)^-9</f>
        <v>634708.713357412</v>
      </c>
      <c r="E17" s="5" t="n">
        <f aca="false">D17*$B$11</f>
        <v>12694174.2671482</v>
      </c>
      <c r="F17" s="5" t="n">
        <f aca="false">CEILING(D17/$B$8,1)</f>
        <v>64</v>
      </c>
      <c r="G17" s="10" t="n">
        <f aca="false">F17*$B$9/3600</f>
        <v>0.0533333333333333</v>
      </c>
      <c r="H17" s="10" t="n">
        <f aca="false">C17*$B$7/1024/1024/1024</f>
        <v>31.2677071276266</v>
      </c>
      <c r="I17" s="4" t="str">
        <f aca="false">IF(G17&gt;8,"CRITICAL",IF(G17&gt;4,"WARNING","OK"))</f>
        <v>OK</v>
      </c>
    </row>
    <row r="18" customFormat="false" ht="15" hidden="false" customHeight="true" outlineLevel="0" collapsed="false">
      <c r="A18" s="4" t="s">
        <v>97</v>
      </c>
      <c r="B18" s="5" t="n">
        <f aca="false">$B$4*(1+$B$5)^4</f>
        <v>2874762.22063468</v>
      </c>
      <c r="C18" s="5" t="n">
        <f aca="false">C17+B18</f>
        <v>36481814.1560857</v>
      </c>
      <c r="D18" s="5" t="n">
        <f aca="false">$B$4*(1+$B$5)^-8</f>
        <v>712915.589794108</v>
      </c>
      <c r="E18" s="5" t="n">
        <f aca="false">D18*$B$11</f>
        <v>14258311.7958822</v>
      </c>
      <c r="F18" s="5" t="n">
        <f aca="false">CEILING(D18/$B$8,1)</f>
        <v>72</v>
      </c>
      <c r="G18" s="10" t="n">
        <f aca="false">F18*$B$9/3600</f>
        <v>0.06</v>
      </c>
      <c r="H18" s="10" t="n">
        <f aca="false">C18*$B$7/1024/1024/1024</f>
        <v>33.9423607494026</v>
      </c>
      <c r="I18" s="4" t="str">
        <f aca="false">IF(G18&gt;8,"CRITICAL",IF(G18&gt;4,"WARNING","OK"))</f>
        <v>OK</v>
      </c>
    </row>
    <row r="19" customFormat="false" ht="15" hidden="false" customHeight="true" outlineLevel="0" collapsed="false">
      <c r="A19" s="4" t="s">
        <v>98</v>
      </c>
      <c r="B19" s="5" t="n">
        <f aca="false">$B$4*(1+$B$5)^5</f>
        <v>3228981.67444491</v>
      </c>
      <c r="C19" s="5" t="n">
        <f aca="false">C18+B19</f>
        <v>39710795.8305306</v>
      </c>
      <c r="D19" s="5" t="n">
        <f aca="false">$B$4*(1+$B$5)^-7</f>
        <v>800758.879585886</v>
      </c>
      <c r="E19" s="5" t="n">
        <f aca="false">D19*$B$11</f>
        <v>16015177.5917177</v>
      </c>
      <c r="F19" s="5" t="n">
        <f aca="false">CEILING(D19/$B$8,1)</f>
        <v>81</v>
      </c>
      <c r="G19" s="10" t="n">
        <f aca="false">F19*$B$9/3600</f>
        <v>0.0675</v>
      </c>
      <c r="H19" s="10" t="n">
        <f aca="false">C19*$B$7/1024/1024/1024</f>
        <v>36.9465770523064</v>
      </c>
      <c r="I19" s="4" t="str">
        <f aca="false">IF(G19&gt;8,"CRITICAL",IF(G19&gt;4,"WARNING","OK"))</f>
        <v>OK</v>
      </c>
    </row>
    <row r="20" customFormat="false" ht="15" hidden="false" customHeight="true" outlineLevel="0" collapsed="false">
      <c r="A20" s="4" t="s">
        <v>99</v>
      </c>
      <c r="B20" s="5" t="n">
        <f aca="false">$B$4*(1+$B$5)^6</f>
        <v>3626846.9715729</v>
      </c>
      <c r="C20" s="5" t="n">
        <f aca="false">C19+B20</f>
        <v>43337642.8021035</v>
      </c>
      <c r="D20" s="5" t="n">
        <f aca="false">$B$4*(1+$B$5)^-6</f>
        <v>899425.952265721</v>
      </c>
      <c r="E20" s="5" t="n">
        <f aca="false">D20*$B$11</f>
        <v>17988519.0453144</v>
      </c>
      <c r="F20" s="5" t="n">
        <f aca="false">CEILING(D20/$B$8,1)</f>
        <v>90</v>
      </c>
      <c r="G20" s="10" t="n">
        <f aca="false">F20*$B$9/3600</f>
        <v>0.075</v>
      </c>
      <c r="H20" s="10" t="n">
        <f aca="false">C20*$B$7/1024/1024/1024</f>
        <v>40.3209637471488</v>
      </c>
      <c r="I20" s="4" t="str">
        <f aca="false">IF(G20&gt;8,"CRITICAL",IF(G20&gt;4,"WARNING","OK"))</f>
        <v>OK</v>
      </c>
    </row>
    <row r="21" customFormat="false" ht="15" hidden="false" customHeight="true" outlineLevel="0" collapsed="false">
      <c r="A21" s="4" t="s">
        <v>100</v>
      </c>
      <c r="B21" s="5" t="n">
        <f aca="false">$B$4*(1+$B$5)^7</f>
        <v>4073736.02003139</v>
      </c>
      <c r="C21" s="5" t="n">
        <f aca="false">C20+B21</f>
        <v>47411378.8221349</v>
      </c>
      <c r="D21" s="5" t="n">
        <f aca="false">$B$4*(1+$B$5)^-5</f>
        <v>1010250.48142764</v>
      </c>
      <c r="E21" s="5" t="n">
        <f aca="false">D21*$B$11</f>
        <v>20205009.6285528</v>
      </c>
      <c r="F21" s="5" t="n">
        <f aca="false">CEILING(D21/$B$8,1)</f>
        <v>102</v>
      </c>
      <c r="G21" s="10" t="n">
        <f aca="false">F21*$B$9/3600</f>
        <v>0.085</v>
      </c>
      <c r="H21" s="10" t="n">
        <f aca="false">C21*$B$7/1024/1024/1024</f>
        <v>44.1111321033097</v>
      </c>
      <c r="I21" s="4" t="str">
        <f aca="false">IF(G21&gt;8,"CRITICAL",IF(G21&gt;4,"WARNING","OK"))</f>
        <v>OK</v>
      </c>
    </row>
    <row r="22" customFormat="false" ht="15" hidden="false" customHeight="true" outlineLevel="0" collapsed="false">
      <c r="A22" s="4" t="s">
        <v>101</v>
      </c>
      <c r="B22" s="5" t="n">
        <f aca="false">$B$4*(1+$B$5)^8</f>
        <v>4575689.37729514</v>
      </c>
      <c r="C22" s="5" t="n">
        <f aca="false">C21+B22</f>
        <v>51987068.19943</v>
      </c>
      <c r="D22" s="5" t="n">
        <f aca="false">$B$4*(1+$B$5)^-4</f>
        <v>1134730.47186797</v>
      </c>
      <c r="E22" s="5" t="n">
        <f aca="false">D22*$B$11</f>
        <v>22694609.4373594</v>
      </c>
      <c r="F22" s="5" t="n">
        <f aca="false">CEILING(D22/$B$8,1)</f>
        <v>114</v>
      </c>
      <c r="G22" s="10" t="n">
        <f aca="false">F22*$B$9/3600</f>
        <v>0.095</v>
      </c>
      <c r="H22" s="10" t="n">
        <f aca="false">C22*$B$7/1024/1024/1024</f>
        <v>48.3683134720014</v>
      </c>
      <c r="I22" s="4" t="str">
        <f aca="false">IF(G22&gt;8,"CRITICAL",IF(G22&gt;4,"WARNING","OK"))</f>
        <v>OK</v>
      </c>
    </row>
    <row r="23" customFormat="false" ht="15" hidden="false" customHeight="true" outlineLevel="0" collapsed="false">
      <c r="A23" s="4" t="s">
        <v>102</v>
      </c>
      <c r="B23" s="5" t="n">
        <f aca="false">$B$4*(1+$B$5)^9</f>
        <v>5139491.89995141</v>
      </c>
      <c r="C23" s="5" t="n">
        <f aca="false">C22+B23</f>
        <v>57126560.0993814</v>
      </c>
      <c r="D23" s="5" t="n">
        <f aca="false">$B$4*(1+$B$5)^-3</f>
        <v>1274548.50797607</v>
      </c>
      <c r="E23" s="5" t="n">
        <f aca="false">D23*$B$11</f>
        <v>25490970.1595214</v>
      </c>
      <c r="F23" s="5" t="n">
        <f aca="false">CEILING(D23/$B$8,1)</f>
        <v>128</v>
      </c>
      <c r="G23" s="10" t="n">
        <f aca="false">F23*$B$9/3600</f>
        <v>0.106666666666667</v>
      </c>
      <c r="H23" s="10" t="n">
        <f aca="false">C23*$B$7/1024/1024/1024</f>
        <v>53.1500517756511</v>
      </c>
      <c r="I23" s="4" t="str">
        <f aca="false">IF(G23&gt;8,"CRITICAL",IF(G23&gt;4,"WARNING","OK"))</f>
        <v>OK</v>
      </c>
    </row>
    <row r="24" customFormat="false" ht="15" hidden="false" customHeight="true" outlineLevel="0" collapsed="false">
      <c r="A24" s="4" t="s">
        <v>103</v>
      </c>
      <c r="B24" s="5" t="n">
        <f aca="false">$B$4*(1+$B$5)^10</f>
        <v>5772764.45397189</v>
      </c>
      <c r="C24" s="5" t="n">
        <f aca="false">C23+B24</f>
        <v>62899324.5533533</v>
      </c>
      <c r="D24" s="5" t="n">
        <f aca="false">$B$4*(1+$B$5)^-2</f>
        <v>1431594.49707017</v>
      </c>
      <c r="E24" s="5" t="n">
        <f aca="false">D24*$B$11</f>
        <v>28631889.9414034</v>
      </c>
      <c r="F24" s="5" t="n">
        <f aca="false">CEILING(D24/$B$8,1)</f>
        <v>144</v>
      </c>
      <c r="G24" s="10" t="n">
        <f aca="false">F24*$B$9/3600</f>
        <v>0.12</v>
      </c>
      <c r="H24" s="10" t="n">
        <f aca="false">C24*$B$7/1024/1024/1024</f>
        <v>58.520981323719</v>
      </c>
      <c r="I24" s="4" t="str">
        <f aca="false">IF(G24&gt;8,"CRITICAL",IF(G24&gt;4,"WARNING","OK"))</f>
        <v>OK</v>
      </c>
    </row>
    <row r="25" customFormat="false" ht="15" hidden="false" customHeight="true" outlineLevel="0" collapsed="false">
      <c r="A25" s="4" t="s">
        <v>104</v>
      </c>
      <c r="B25" s="5" t="n">
        <f aca="false">$B$4*(1+$B$5)^11</f>
        <v>6484066.92524535</v>
      </c>
      <c r="C25" s="5" t="n">
        <f aca="false">C24+B25</f>
        <v>69383391.4785987</v>
      </c>
      <c r="D25" s="5" t="n">
        <f aca="false">$B$4*(1+$B$5)^-1</f>
        <v>1607991.21509785</v>
      </c>
      <c r="E25" s="5" t="n">
        <f aca="false">D25*$B$11</f>
        <v>32159824.301957</v>
      </c>
      <c r="F25" s="5" t="n">
        <f aca="false">CEILING(D25/$B$8,1)</f>
        <v>161</v>
      </c>
      <c r="G25" s="10" t="n">
        <f aca="false">F25*$B$9/3600</f>
        <v>0.134166666666667</v>
      </c>
      <c r="H25" s="10" t="n">
        <f aca="false">C25*$B$7/1024/1024/1024</f>
        <v>64.5537004686148</v>
      </c>
      <c r="I25" s="4" t="str">
        <f aca="false">IF(G25&gt;8,"CRITICAL",IF(G25&gt;4,"WARNING","OK"))</f>
        <v>OK</v>
      </c>
    </row>
    <row r="26" customFormat="false" ht="15" hidden="false" customHeight="true" outlineLevel="0" collapsed="false">
      <c r="A26" s="4" t="s">
        <v>105</v>
      </c>
      <c r="B26" s="5" t="n">
        <f aca="false">$B$4*(1+$B$5)^12</f>
        <v>7283013.9227547</v>
      </c>
      <c r="C26" s="5" t="n">
        <f aca="false">C25+B26</f>
        <v>76666405.4013534</v>
      </c>
      <c r="D26" s="5" t="n">
        <f aca="false">$B$4*(1+$B$5)^0</f>
        <v>1806123</v>
      </c>
      <c r="E26" s="5" t="n">
        <f aca="false">D26*$B$11</f>
        <v>36122460</v>
      </c>
      <c r="F26" s="5" t="n">
        <f aca="false">CEILING(D26/$B$8,1)</f>
        <v>181</v>
      </c>
      <c r="G26" s="10" t="n">
        <f aca="false">F26*$B$9/3600</f>
        <v>0.150833333333333</v>
      </c>
      <c r="H26" s="10" t="n">
        <f aca="false">C26*$B$7/1024/1024/1024</f>
        <v>71.3297529108376</v>
      </c>
      <c r="I26" s="4" t="str">
        <f aca="false">IF(G26&gt;8,"CRITICAL",IF(G26&gt;4,"WARNING","OK"))</f>
        <v>OK</v>
      </c>
    </row>
    <row r="27" customFormat="false" ht="15" hidden="false" customHeight="true" outlineLevel="0" collapsed="false">
      <c r="A27" s="4" t="s">
        <v>106</v>
      </c>
      <c r="B27" s="5" t="n">
        <f aca="false">$B$4*(1+$B$5)^13</f>
        <v>8180404.73834742</v>
      </c>
      <c r="C27" s="5" t="n">
        <f aca="false">C26+B27</f>
        <v>84846810.1397008</v>
      </c>
      <c r="D27" s="5" t="n">
        <f aca="false">$B$4*(1+$B$5)^1</f>
        <v>2028667.98058377</v>
      </c>
      <c r="E27" s="5" t="n">
        <f aca="false">D27*$B$11</f>
        <v>40573359.6116754</v>
      </c>
      <c r="F27" s="5" t="n">
        <f aca="false">CEILING(D27/$B$8,1)</f>
        <v>203</v>
      </c>
      <c r="G27" s="10" t="n">
        <f aca="false">F27*$B$9/3600</f>
        <v>0.169166666666667</v>
      </c>
      <c r="H27" s="10" t="n">
        <f aca="false">C27*$B$7/1024/1024/1024</f>
        <v>78.9407299175496</v>
      </c>
      <c r="I27" s="4" t="str">
        <f aca="false">IF(G27&gt;8,"CRITICAL",IF(G27&gt;4,"WARNING","OK"))</f>
        <v>OK</v>
      </c>
    </row>
    <row r="28" customFormat="false" ht="15" hidden="false" customHeight="true" outlineLevel="0" collapsed="false">
      <c r="A28" s="4" t="s">
        <v>107</v>
      </c>
      <c r="B28" s="5" t="n">
        <f aca="false">$B$4*(1+$B$5)^14</f>
        <v>9188369.3197535</v>
      </c>
      <c r="C28" s="5" t="n">
        <f aca="false">C27+B28</f>
        <v>94035179.4594543</v>
      </c>
      <c r="D28" s="5" t="n">
        <f aca="false">$B$4*(1+$B$5)^2</f>
        <v>2278634.27653921</v>
      </c>
      <c r="E28" s="5" t="n">
        <f aca="false">D28*$B$11</f>
        <v>45572685.5307842</v>
      </c>
      <c r="F28" s="5" t="n">
        <f aca="false">CEILING(D28/$B$8,1)</f>
        <v>228</v>
      </c>
      <c r="G28" s="10" t="n">
        <f aca="false">F28*$B$9/3600</f>
        <v>0.19</v>
      </c>
      <c r="H28" s="10" t="n">
        <f aca="false">C28*$B$7/1024/1024/1024</f>
        <v>87.4895083531689</v>
      </c>
      <c r="I28" s="4" t="str">
        <f aca="false">IF(G28&gt;8,"CRITICAL",IF(G28&gt;4,"WARNING","OK"))</f>
        <v>OK</v>
      </c>
    </row>
    <row r="29" customFormat="false" ht="15" hidden="false" customHeight="true" outlineLevel="0" collapsed="false">
      <c r="A29" s="4" t="s">
        <v>108</v>
      </c>
      <c r="B29" s="5" t="n">
        <f aca="false">$B$4*(1+$B$5)^15</f>
        <v>10320532.2299545</v>
      </c>
      <c r="C29" s="5" t="n">
        <f aca="false">C28+B29</f>
        <v>104355711.689409</v>
      </c>
      <c r="D29" s="5" t="n">
        <f aca="false">$B$4*(1+$B$5)^3</f>
        <v>2559400.6589118</v>
      </c>
      <c r="E29" s="5" t="n">
        <f aca="false">D29*$B$11</f>
        <v>51188013.178236</v>
      </c>
      <c r="F29" s="5" t="n">
        <f aca="false">CEILING(D29/$B$8,1)</f>
        <v>256</v>
      </c>
      <c r="G29" s="10" t="n">
        <f aca="false">F29*$B$9/3600</f>
        <v>0.213333333333333</v>
      </c>
      <c r="H29" s="10" t="n">
        <f aca="false">C29*$B$7/1024/1024/1024</f>
        <v>97.0916412563244</v>
      </c>
      <c r="I29" s="4" t="str">
        <f aca="false">IF(G29&gt;8,"CRITICAL",IF(G29&gt;4,"WARNING","OK"))</f>
        <v>OK</v>
      </c>
    </row>
    <row r="30" customFormat="false" ht="15" hidden="false" customHeight="true" outlineLevel="0" collapsed="false">
      <c r="A30" s="4" t="s">
        <v>109</v>
      </c>
      <c r="B30" s="5" t="n">
        <f aca="false">$B$4*(1+$B$5)^16</f>
        <v>11592196.8091274</v>
      </c>
      <c r="C30" s="5" t="n">
        <f aca="false">C29+B30</f>
        <v>115947908.498536</v>
      </c>
      <c r="D30" s="5" t="n">
        <f aca="false">$B$4*(1+$B$5)^4</f>
        <v>2874762.22063468</v>
      </c>
      <c r="E30" s="5" t="n">
        <f aca="false">D30*$B$11</f>
        <v>57495244.4126936</v>
      </c>
      <c r="F30" s="5" t="n">
        <f aca="false">CEILING(D30/$B$8,1)</f>
        <v>288</v>
      </c>
      <c r="G30" s="10" t="n">
        <f aca="false">F30*$B$9/3600</f>
        <v>0.24</v>
      </c>
      <c r="H30" s="10" t="n">
        <f aca="false">C30*$B$7/1024/1024/1024</f>
        <v>107.876919759473</v>
      </c>
      <c r="I30" s="4" t="str">
        <f aca="false">IF(G30&gt;8,"CRITICAL",IF(G30&gt;4,"WARNING","OK"))</f>
        <v>OK</v>
      </c>
    </row>
    <row r="31" customFormat="false" ht="15" hidden="false" customHeight="true" outlineLevel="0" collapsed="false">
      <c r="A31" s="4" t="s">
        <v>110</v>
      </c>
      <c r="B31" s="5" t="n">
        <f aca="false">$B$4*(1+$B$5)^17</f>
        <v>13020552.0284621</v>
      </c>
      <c r="C31" s="5" t="n">
        <f aca="false">C30+B31</f>
        <v>128968460.526998</v>
      </c>
      <c r="D31" s="5" t="n">
        <f aca="false">$B$4*(1+$B$5)^5</f>
        <v>3228981.67444491</v>
      </c>
      <c r="E31" s="5" t="n">
        <f aca="false">D31*$B$11</f>
        <v>64579633.4888982</v>
      </c>
      <c r="F31" s="5" t="n">
        <f aca="false">CEILING(D31/$B$8,1)</f>
        <v>323</v>
      </c>
      <c r="G31" s="10" t="n">
        <f aca="false">F31*$B$9/3600</f>
        <v>0.269166666666667</v>
      </c>
      <c r="H31" s="10" t="n">
        <f aca="false">C31*$B$7/1024/1024/1024</f>
        <v>119.991127463497</v>
      </c>
      <c r="I31" s="4" t="str">
        <f aca="false">IF(G31&gt;8,"CRITICAL",IF(G31&gt;4,"WARNING","OK"))</f>
        <v>OK</v>
      </c>
    </row>
    <row r="32" customFormat="false" ht="15" hidden="false" customHeight="true" outlineLevel="0" collapsed="false">
      <c r="A32" s="4" t="s">
        <v>111</v>
      </c>
      <c r="B32" s="5" t="n">
        <f aca="false">$B$4*(1+$B$5)^18</f>
        <v>14624904.8318781</v>
      </c>
      <c r="C32" s="5" t="n">
        <f aca="false">C31+B32</f>
        <v>143593365.358876</v>
      </c>
      <c r="D32" s="5" t="n">
        <f aca="false">$B$4*(1+$B$5)^6</f>
        <v>3626846.9715729</v>
      </c>
      <c r="E32" s="5" t="n">
        <f aca="false">D32*$B$11</f>
        <v>72536939.4314579</v>
      </c>
      <c r="F32" s="5" t="n">
        <f aca="false">CEILING(D32/$B$8,1)</f>
        <v>363</v>
      </c>
      <c r="G32" s="10" t="n">
        <f aca="false">F32*$B$9/3600</f>
        <v>0.3025</v>
      </c>
      <c r="H32" s="10" t="n">
        <f aca="false">C32*$B$7/1024/1024/1024</f>
        <v>133.598010981006</v>
      </c>
      <c r="I32" s="4" t="str">
        <f aca="false">IF(G32&gt;8,"CRITICAL",IF(G32&gt;4,"WARNING","OK"))</f>
        <v>OK</v>
      </c>
    </row>
    <row r="33" customFormat="false" ht="15" hidden="false" customHeight="true" outlineLevel="0" collapsed="false">
      <c r="A33" s="4" t="s">
        <v>112</v>
      </c>
      <c r="B33" s="5" t="n">
        <f aca="false">$B$4*(1+$B$5)^19</f>
        <v>16426941.1061793</v>
      </c>
      <c r="C33" s="5" t="n">
        <f aca="false">C32+B33</f>
        <v>160020306.465056</v>
      </c>
      <c r="D33" s="5" t="n">
        <f aca="false">$B$4*(1+$B$5)^7</f>
        <v>4073736.02003139</v>
      </c>
      <c r="E33" s="5" t="n">
        <f aca="false">D33*$B$11</f>
        <v>81474720.4006277</v>
      </c>
      <c r="F33" s="5" t="n">
        <f aca="false">CEILING(D33/$B$8,1)</f>
        <v>408</v>
      </c>
      <c r="G33" s="10" t="n">
        <f aca="false">F33*$B$9/3600</f>
        <v>0.34</v>
      </c>
      <c r="H33" s="10" t="n">
        <f aca="false">C33*$B$7/1024/1024/1024</f>
        <v>148.881493283986</v>
      </c>
      <c r="I33" s="4" t="str">
        <f aca="false">IF(G33&gt;8,"CRITICAL",IF(G33&gt;4,"WARNING","OK"))</f>
        <v>OK</v>
      </c>
    </row>
    <row r="34" customFormat="false" ht="15" hidden="false" customHeight="true" outlineLevel="0" collapsed="false">
      <c r="A34" s="4" t="s">
        <v>113</v>
      </c>
      <c r="B34" s="5" t="n">
        <f aca="false">$B$4*(1+$B$5)^20</f>
        <v>18451018.8071584</v>
      </c>
      <c r="C34" s="5" t="n">
        <f aca="false">C33+B34</f>
        <v>178471325.272214</v>
      </c>
      <c r="D34" s="5" t="n">
        <f aca="false">$B$4*(1+$B$5)^8</f>
        <v>4575689.37729514</v>
      </c>
      <c r="E34" s="5" t="n">
        <f aca="false">D34*$B$11</f>
        <v>91513787.5459028</v>
      </c>
      <c r="F34" s="5" t="n">
        <f aca="false">CEILING(D34/$B$8,1)</f>
        <v>458</v>
      </c>
      <c r="G34" s="10" t="n">
        <f aca="false">F34*$B$9/3600</f>
        <v>0.381666666666667</v>
      </c>
      <c r="H34" s="10" t="n">
        <f aca="false">C34*$B$7/1024/1024/1024</f>
        <v>166.048159773407</v>
      </c>
      <c r="I34" s="4" t="str">
        <f aca="false">IF(G34&gt;8,"CRITICAL",IF(G34&gt;4,"WARNING","OK"))</f>
        <v>OK</v>
      </c>
    </row>
    <row r="35" customFormat="false" ht="15" hidden="false" customHeight="true" outlineLevel="0" collapsed="false">
      <c r="A35" s="4" t="s">
        <v>114</v>
      </c>
      <c r="B35" s="5" t="n">
        <f aca="false">$B$4*(1+$B$5)^21</f>
        <v>20724497.2038068</v>
      </c>
      <c r="C35" s="5" t="n">
        <f aca="false">C34+B35</f>
        <v>199195822.476021</v>
      </c>
      <c r="D35" s="5" t="n">
        <f aca="false">$B$4*(1+$B$5)^9</f>
        <v>5139491.89995141</v>
      </c>
      <c r="E35" s="5" t="n">
        <f aca="false">D35*$B$11</f>
        <v>102789837.999028</v>
      </c>
      <c r="F35" s="5" t="n">
        <f aca="false">CEILING(D35/$B$8,1)</f>
        <v>514</v>
      </c>
      <c r="G35" s="10" t="n">
        <f aca="false">F35*$B$9/3600</f>
        <v>0.428333333333333</v>
      </c>
      <c r="H35" s="10" t="n">
        <f aca="false">C35*$B$7/1024/1024/1024</f>
        <v>185.330050674775</v>
      </c>
      <c r="I35" s="4" t="str">
        <f aca="false">IF(G35&gt;8,"CRITICAL",IF(G35&gt;4,"WARNING","OK"))</f>
        <v>OK</v>
      </c>
    </row>
    <row r="36" customFormat="false" ht="15" hidden="false" customHeight="true" outlineLevel="0" collapsed="false">
      <c r="A36" s="4" t="s">
        <v>115</v>
      </c>
      <c r="B36" s="5" t="n">
        <f aca="false">$B$4*(1+$B$5)^22</f>
        <v>23278106.6909954</v>
      </c>
      <c r="C36" s="5" t="n">
        <f aca="false">C35+B36</f>
        <v>222473929.167016</v>
      </c>
      <c r="D36" s="5" t="n">
        <f aca="false">$B$4*(1+$B$5)^10</f>
        <v>5772764.45397189</v>
      </c>
      <c r="E36" s="5" t="n">
        <f aca="false">D36*$B$11</f>
        <v>115455289.079438</v>
      </c>
      <c r="F36" s="5" t="n">
        <f aca="false">CEILING(D36/$B$8,1)</f>
        <v>578</v>
      </c>
      <c r="G36" s="10" t="n">
        <f aca="false">F36*$B$9/3600</f>
        <v>0.481666666666667</v>
      </c>
      <c r="H36" s="10" t="n">
        <f aca="false">C36*$B$7/1024/1024/1024</f>
        <v>206.987797504151</v>
      </c>
      <c r="I36" s="4" t="str">
        <f aca="false">IF(G36&gt;8,"CRITICAL",IF(G36&gt;4,"WARNING","OK"))</f>
        <v>OK</v>
      </c>
    </row>
    <row r="37" customFormat="false" ht="15" hidden="false" customHeight="true" outlineLevel="0" collapsed="false">
      <c r="A37" s="4" t="s">
        <v>116</v>
      </c>
      <c r="B37" s="5" t="n">
        <f aca="false">$B$4*(1+$B$5)^23</f>
        <v>26146364.1693479</v>
      </c>
      <c r="C37" s="5" t="n">
        <f aca="false">C36+B37</f>
        <v>248620293.336364</v>
      </c>
      <c r="D37" s="5" t="n">
        <f aca="false">$B$4*(1+$B$5)^11</f>
        <v>6484066.92524535</v>
      </c>
      <c r="E37" s="5" t="n">
        <f aca="false">D37*$B$11</f>
        <v>129681338.504907</v>
      </c>
      <c r="F37" s="5" t="n">
        <f aca="false">CEILING(D37/$B$8,1)</f>
        <v>649</v>
      </c>
      <c r="G37" s="10" t="n">
        <f aca="false">F37*$B$9/3600</f>
        <v>0.540833333333333</v>
      </c>
      <c r="H37" s="10" t="n">
        <f aca="false">C37*$B$7/1024/1024/1024</f>
        <v>231.314145999987</v>
      </c>
      <c r="I37" s="4" t="str">
        <f aca="false">IF(G37&gt;8,"CRITICAL",IF(G37&gt;4,"WARNING","OK"))</f>
        <v>OK</v>
      </c>
    </row>
    <row r="38" customFormat="false" ht="15" hidden="false" customHeight="true" outlineLevel="0" collapsed="false">
      <c r="A38" s="4" t="s">
        <v>117</v>
      </c>
      <c r="B38" s="5" t="n">
        <f aca="false">$B$4*(1+$B$5)^24</f>
        <v>29368039.6069586</v>
      </c>
      <c r="C38" s="5" t="n">
        <f aca="false">C37+B38</f>
        <v>277988332.943323</v>
      </c>
      <c r="D38" s="5" t="n">
        <f aca="false">$B$4*(1+$B$5)^12</f>
        <v>7283013.9227547</v>
      </c>
      <c r="E38" s="5" t="n">
        <f aca="false">D38*$B$11</f>
        <v>145660278.455094</v>
      </c>
      <c r="F38" s="5" t="n">
        <f aca="false">CEILING(D38/$B$8,1)</f>
        <v>729</v>
      </c>
      <c r="G38" s="10" t="n">
        <f aca="false">F38*$B$9/3600</f>
        <v>0.6075</v>
      </c>
      <c r="H38" s="10" t="n">
        <f aca="false">C38*$B$7/1024/1024/1024</f>
        <v>258.63791313989</v>
      </c>
      <c r="I38" s="4" t="str">
        <f aca="false">IF(G38&gt;8,"CRITICAL",IF(G38&gt;4,"WARNING","OK"))</f>
        <v>OK</v>
      </c>
    </row>
    <row r="39" customFormat="false" ht="15" hidden="false" customHeight="true" outlineLevel="0" collapsed="false">
      <c r="A39" s="4" t="s">
        <v>118</v>
      </c>
      <c r="B39" s="5" t="n">
        <f aca="false">$B$4*(1+$B$5)^25</f>
        <v>32986680.0894251</v>
      </c>
      <c r="C39" s="5" t="n">
        <f aca="false">C38+B39</f>
        <v>310975013.032748</v>
      </c>
      <c r="D39" s="5" t="n">
        <f aca="false">$B$4*(1+$B$5)^13</f>
        <v>8180404.73834742</v>
      </c>
      <c r="E39" s="5" t="n">
        <f aca="false">D39*$B$11</f>
        <v>163608094.766948</v>
      </c>
      <c r="F39" s="5" t="n">
        <f aca="false">CEILING(D39/$B$8,1)</f>
        <v>819</v>
      </c>
      <c r="G39" s="10" t="n">
        <f aca="false">F39*$B$9/3600</f>
        <v>0.6825</v>
      </c>
      <c r="H39" s="10" t="n">
        <f aca="false">C39*$B$7/1024/1024/1024</f>
        <v>289.328431728962</v>
      </c>
      <c r="I39" s="4" t="str">
        <f aca="false">IF(G39&gt;8,"CRITICAL",IF(G39&gt;4,"WARNING","OK"))</f>
        <v>OK</v>
      </c>
    </row>
    <row r="41" customFormat="false" ht="15" hidden="false" customHeight="true" outlineLevel="0" collapsed="false">
      <c r="A41" s="9" t="s">
        <v>119</v>
      </c>
      <c r="B41" s="19" t="s">
        <v>120</v>
      </c>
    </row>
    <row r="42" customFormat="false" ht="15" hidden="false" customHeight="true" outlineLevel="0" collapsed="false">
      <c r="B42" s="20" t="s">
        <v>121</v>
      </c>
    </row>
    <row r="43" customFormat="false" ht="15" hidden="false" customHeight="true" outlineLevel="0" collapsed="false">
      <c r="B43" s="21" t="s">
        <v>122</v>
      </c>
    </row>
    <row r="45" customFormat="false" ht="15" hidden="false" customHeight="true" outlineLevel="0" collapsed="false">
      <c r="A45" s="11" t="s">
        <v>123</v>
      </c>
    </row>
    <row r="46" customFormat="false" ht="15" hidden="false" customHeight="true" outlineLevel="0" collapsed="false">
      <c r="A46" s="11" t="s">
        <v>124</v>
      </c>
    </row>
    <row r="47" customFormat="false" ht="15" hidden="false" customHeight="true" outlineLevel="0" collapsed="false">
      <c r="A47" s="11" t="s">
        <v>125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tru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4"/>
  </cols>
  <sheetData>
    <row r="1" customFormat="false" ht="17.25" hidden="false" customHeight="true" outlineLevel="0" collapsed="false">
      <c r="A1" s="2" t="s">
        <v>126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8" t="s">
        <v>127</v>
      </c>
    </row>
    <row r="4" customFormat="false" ht="15" hidden="false" customHeight="true" outlineLevel="0" collapsed="false">
      <c r="A4" s="9" t="s">
        <v>128</v>
      </c>
      <c r="B4" s="22"/>
    </row>
    <row r="5" customFormat="false" ht="15" hidden="false" customHeight="true" outlineLevel="0" collapsed="false">
      <c r="A5" s="9" t="s">
        <v>129</v>
      </c>
      <c r="B5" s="22"/>
    </row>
    <row r="6" customFormat="false" ht="15" hidden="false" customHeight="true" outlineLevel="0" collapsed="false">
      <c r="A6" s="9" t="s">
        <v>130</v>
      </c>
      <c r="B6" s="22"/>
    </row>
    <row r="7" customFormat="false" ht="15" hidden="false" customHeight="true" outlineLevel="0" collapsed="false">
      <c r="A7" s="9" t="s">
        <v>131</v>
      </c>
      <c r="B7" s="22"/>
    </row>
    <row r="8" customFormat="false" ht="15" hidden="false" customHeight="true" outlineLevel="0" collapsed="false">
      <c r="A8" s="9" t="s">
        <v>132</v>
      </c>
      <c r="B8" s="22"/>
    </row>
    <row r="9" customFormat="false" ht="15" hidden="false" customHeight="true" outlineLevel="0" collapsed="false">
      <c r="A9" s="9" t="s">
        <v>133</v>
      </c>
      <c r="B9" s="22"/>
    </row>
    <row r="10" customFormat="false" ht="15" hidden="false" customHeight="true" outlineLevel="0" collapsed="false">
      <c r="A10" s="9" t="s">
        <v>134</v>
      </c>
      <c r="B10" s="22"/>
    </row>
    <row r="11" customFormat="false" ht="15" hidden="false" customHeight="true" outlineLevel="0" collapsed="false">
      <c r="A11" s="9" t="s">
        <v>135</v>
      </c>
      <c r="B11" s="22"/>
    </row>
    <row r="12" customFormat="false" ht="15" hidden="false" customHeight="true" outlineLevel="0" collapsed="false">
      <c r="A12" s="9" t="s">
        <v>136</v>
      </c>
      <c r="B12" s="22"/>
    </row>
    <row r="13" customFormat="false" ht="15" hidden="false" customHeight="true" outlineLevel="0" collapsed="false">
      <c r="A13" s="9" t="s">
        <v>137</v>
      </c>
      <c r="B13" s="22"/>
    </row>
    <row r="15" customFormat="false" ht="15" hidden="false" customHeight="true" outlineLevel="0" collapsed="false">
      <c r="A15" s="11" t="s">
        <v>138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2026-02-26T17:34:14Z</dcterms:created>
  <dc:creator>Apache POI</dc:creator>
  <dc:description/>
  <dc:language>en-US</dc:language>
  <cp:lastModifiedBy/>
  <dcterms:modified xsi:type="dcterms:W3CDTF">2026-02-26T18:00:08Z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